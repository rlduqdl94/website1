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(주)인트라락\파일-엑셀\관리-영업\생산의뢰서\"/>
    </mc:Choice>
  </mc:AlternateContent>
  <xr:revisionPtr revIDLastSave="0" documentId="13_ncr:1_{9281CDBB-B4EA-4C85-9273-EA68D064748F}" xr6:coauthVersionLast="47" xr6:coauthVersionMax="47" xr10:uidLastSave="{00000000-0000-0000-0000-000000000000}"/>
  <workbookProtection workbookAlgorithmName="SHA-512" workbookHashValue="yMHvjTpotjfa+r+Ejh1FO1lFtDk0/kGKjUvNq2+wAPDEUMK5gO4OhETfIvyrqviZacRPVBJTLjn/x6X9WWTd0g==" workbookSaltValue="5hLl2F55bAgw0lKffTGGBA==" workbookSpinCount="100000" lockStructure="1"/>
  <bookViews>
    <workbookView xWindow="-120" yWindow="-120" windowWidth="29040" windowHeight="15840" activeTab="1" xr2:uid="{00000000-000D-0000-FFFF-FFFF00000000}"/>
  </bookViews>
  <sheets>
    <sheet name="정렬시트" sheetId="13" r:id="rId1"/>
    <sheet name="방충망발주서" sheetId="8" r:id="rId2"/>
    <sheet name="바절단치수" sheetId="11" r:id="rId3"/>
    <sheet name="망재단치수" sheetId="9" r:id="rId4"/>
    <sheet name="견적서&amp;청구서" sheetId="12" r:id="rId5"/>
    <sheet name="위치표기시트" sheetId="17" r:id="rId6"/>
    <sheet name="데이터" sheetId="14" state="hidden" r:id="rId7"/>
    <sheet name="일반단가표" sheetId="15" state="veryHidden" r:id="rId8"/>
    <sheet name="거래처리스트" sheetId="16" state="hidden" r:id="rId9"/>
  </sheets>
  <externalReferences>
    <externalReference r:id="rId10"/>
  </externalReferences>
  <definedNames>
    <definedName name="_xlnm._FilterDatabase" localSheetId="8" hidden="1">거래처리스트!$B$1:$B$3000</definedName>
    <definedName name="_xlnm._FilterDatabase" localSheetId="1" hidden="1">방충망발주서!$A$1:$AG$37</definedName>
    <definedName name="_xlnm.Criteria" localSheetId="1">방충망발주서!$AQ$2:$AQ$3</definedName>
    <definedName name="DvListSource1">[1]Sheet2!$AC$1:$AC$2</definedName>
    <definedName name="DvListSource2">[1]Sheet2!$AD$1:$AD$2</definedName>
    <definedName name="_xlnm.Extract" localSheetId="1">방충망발주서!$AQ$5</definedName>
    <definedName name="_xlnm.Print_Area" localSheetId="4">'견적서&amp;청구서'!$A$1:$J$46</definedName>
    <definedName name="_xlnm.Print_Area" localSheetId="3">망재단치수!$A$1:$N$35</definedName>
    <definedName name="_xlnm.Print_Area" localSheetId="2">바절단치수!$A$1:$O$35</definedName>
    <definedName name="_xlnm.Print_Area" localSheetId="1">방충망발주서!$A$1:$N$37</definedName>
    <definedName name="_xlnm.Print_Titles" localSheetId="3">망재단치수!$1:$9</definedName>
    <definedName name="_xlnm.Print_Titles" localSheetId="2">바절단치수!$1:$9</definedName>
    <definedName name="_xlnm.Print_Titles" localSheetId="1">방충망발주서!$1:$11</definedName>
    <definedName name="담당">데이터!$G$4:$G$12</definedName>
    <definedName name="사출색상">데이터!$D$4:$D$9</definedName>
    <definedName name="색상">데이터!$A$4:$A$7</definedName>
    <definedName name="종류">데이터!$E$4:$E$13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8" l="1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F5" i="9"/>
  <c r="E5" i="9"/>
  <c r="D5" i="9"/>
  <c r="F5" i="11"/>
  <c r="E5" i="11"/>
  <c r="D5" i="11"/>
  <c r="AI6" i="8" l="1"/>
  <c r="H39" i="12" l="1"/>
  <c r="H38" i="12"/>
  <c r="H37" i="12"/>
  <c r="J13" i="8" l="1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F34" i="8" l="1"/>
  <c r="F30" i="8"/>
  <c r="F26" i="8"/>
  <c r="G34" i="8"/>
  <c r="G30" i="8"/>
  <c r="G26" i="8"/>
  <c r="H34" i="8"/>
  <c r="H30" i="8"/>
  <c r="H26" i="8"/>
  <c r="F33" i="8"/>
  <c r="F29" i="8"/>
  <c r="F25" i="8"/>
  <c r="G33" i="8"/>
  <c r="G29" i="8"/>
  <c r="G25" i="8"/>
  <c r="H33" i="8"/>
  <c r="H29" i="8"/>
  <c r="H25" i="8"/>
  <c r="F36" i="8"/>
  <c r="F32" i="8"/>
  <c r="F28" i="8"/>
  <c r="G36" i="8"/>
  <c r="G32" i="8"/>
  <c r="G28" i="8"/>
  <c r="H36" i="8"/>
  <c r="H32" i="8"/>
  <c r="H28" i="8"/>
  <c r="F35" i="8"/>
  <c r="F31" i="8"/>
  <c r="F27" i="8"/>
  <c r="G35" i="8"/>
  <c r="G31" i="8"/>
  <c r="G27" i="8"/>
  <c r="H35" i="8"/>
  <c r="H31" i="8"/>
  <c r="H27" i="8"/>
  <c r="F24" i="8"/>
  <c r="F20" i="8"/>
  <c r="F16" i="8"/>
  <c r="F23" i="8"/>
  <c r="F19" i="8"/>
  <c r="F15" i="8"/>
  <c r="F22" i="8"/>
  <c r="F18" i="8"/>
  <c r="F14" i="8"/>
  <c r="F21" i="8"/>
  <c r="F17" i="8"/>
  <c r="F13" i="8"/>
  <c r="G24" i="8"/>
  <c r="G20" i="8"/>
  <c r="G16" i="8"/>
  <c r="H24" i="8"/>
  <c r="H20" i="8"/>
  <c r="H16" i="8"/>
  <c r="G23" i="8"/>
  <c r="G19" i="8"/>
  <c r="G15" i="8"/>
  <c r="H23" i="8"/>
  <c r="H19" i="8"/>
  <c r="H15" i="8"/>
  <c r="G22" i="8"/>
  <c r="G18" i="8"/>
  <c r="G14" i="8"/>
  <c r="H22" i="8"/>
  <c r="H18" i="8"/>
  <c r="H14" i="8"/>
  <c r="G21" i="8"/>
  <c r="G17" i="8"/>
  <c r="G13" i="8"/>
  <c r="H21" i="8"/>
  <c r="H17" i="8"/>
  <c r="H13" i="8"/>
  <c r="I34" i="8"/>
  <c r="I30" i="8"/>
  <c r="I26" i="8"/>
  <c r="I22" i="8"/>
  <c r="I18" i="8"/>
  <c r="I14" i="8"/>
  <c r="I33" i="8"/>
  <c r="I29" i="8"/>
  <c r="I25" i="8"/>
  <c r="I21" i="8"/>
  <c r="I17" i="8"/>
  <c r="I13" i="8"/>
  <c r="I36" i="8"/>
  <c r="I32" i="8"/>
  <c r="I28" i="8"/>
  <c r="I24" i="8"/>
  <c r="I20" i="8"/>
  <c r="I16" i="8"/>
  <c r="I35" i="8"/>
  <c r="I31" i="8"/>
  <c r="I27" i="8"/>
  <c r="I23" i="8"/>
  <c r="I19" i="8"/>
  <c r="I15" i="8"/>
  <c r="J12" i="8"/>
  <c r="I12" i="8" l="1"/>
  <c r="F12" i="8"/>
  <c r="A4" i="12"/>
  <c r="AB1" i="8" l="1"/>
  <c r="AN10" i="8"/>
  <c r="AF36" i="8" l="1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12" i="8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12" i="12"/>
  <c r="P12" i="8" l="1"/>
  <c r="AW8" i="8" l="1"/>
  <c r="AC13" i="8" l="1"/>
  <c r="AC17" i="8"/>
  <c r="AC21" i="8"/>
  <c r="AC25" i="8"/>
  <c r="AC29" i="8"/>
  <c r="AC33" i="8"/>
  <c r="AC12" i="8"/>
  <c r="AC14" i="8"/>
  <c r="AC18" i="8"/>
  <c r="AC22" i="8"/>
  <c r="AC26" i="8"/>
  <c r="AC30" i="8"/>
  <c r="AC34" i="8"/>
  <c r="AC15" i="8"/>
  <c r="AC19" i="8"/>
  <c r="AC23" i="8"/>
  <c r="AC27" i="8"/>
  <c r="AC31" i="8"/>
  <c r="AC35" i="8"/>
  <c r="AC16" i="8"/>
  <c r="AC20" i="8"/>
  <c r="AC24" i="8"/>
  <c r="AC28" i="8"/>
  <c r="AC32" i="8"/>
  <c r="AC36" i="8"/>
  <c r="D2" i="8"/>
  <c r="Q12" i="8" s="1"/>
  <c r="D3" i="8" l="1"/>
  <c r="A3" i="12" l="1"/>
  <c r="S14" i="8"/>
  <c r="S18" i="8"/>
  <c r="S22" i="8"/>
  <c r="S26" i="8"/>
  <c r="S30" i="8"/>
  <c r="S34" i="8"/>
  <c r="S15" i="8"/>
  <c r="S19" i="8"/>
  <c r="S23" i="8"/>
  <c r="S27" i="8"/>
  <c r="S31" i="8"/>
  <c r="S35" i="8"/>
  <c r="S16" i="8"/>
  <c r="S20" i="8"/>
  <c r="S24" i="8"/>
  <c r="S28" i="8"/>
  <c r="S32" i="8"/>
  <c r="S36" i="8"/>
  <c r="S13" i="8"/>
  <c r="S17" i="8"/>
  <c r="S21" i="8"/>
  <c r="S25" i="8"/>
  <c r="S29" i="8"/>
  <c r="S33" i="8"/>
  <c r="S12" i="8"/>
  <c r="B10" i="11"/>
  <c r="BE6" i="8" l="1"/>
  <c r="AD12" i="8" s="1"/>
  <c r="BG8" i="8"/>
  <c r="AV6" i="8" l="1"/>
  <c r="AV5" i="8" s="1"/>
  <c r="BI8" i="8" s="1"/>
  <c r="AQ3" i="8"/>
  <c r="AN17" i="8" l="1"/>
  <c r="AO17" i="8"/>
  <c r="AN18" i="8"/>
  <c r="AO18" i="8"/>
  <c r="AN19" i="8"/>
  <c r="AO19" i="8"/>
  <c r="AN20" i="8"/>
  <c r="AO20" i="8"/>
  <c r="AN21" i="8"/>
  <c r="AO21" i="8"/>
  <c r="AN22" i="8"/>
  <c r="AO22" i="8"/>
  <c r="AN23" i="8"/>
  <c r="AO23" i="8"/>
  <c r="AN24" i="8"/>
  <c r="AO24" i="8"/>
  <c r="AN25" i="8"/>
  <c r="AO25" i="8"/>
  <c r="AN26" i="8"/>
  <c r="AO26" i="8"/>
  <c r="AN27" i="8"/>
  <c r="AO27" i="8"/>
  <c r="AN28" i="8"/>
  <c r="AO28" i="8"/>
  <c r="AN29" i="8"/>
  <c r="AO29" i="8"/>
  <c r="AN30" i="8"/>
  <c r="AO30" i="8"/>
  <c r="AN31" i="8"/>
  <c r="AO31" i="8"/>
  <c r="AN32" i="8"/>
  <c r="AO32" i="8"/>
  <c r="AN33" i="8"/>
  <c r="AO33" i="8"/>
  <c r="AN34" i="8"/>
  <c r="AO34" i="8"/>
  <c r="AN35" i="8"/>
  <c r="AO35" i="8"/>
  <c r="AN36" i="8"/>
  <c r="AO36" i="8"/>
  <c r="AP36" i="8" l="1"/>
  <c r="AP34" i="8"/>
  <c r="AP32" i="8"/>
  <c r="AP30" i="8"/>
  <c r="AP28" i="8"/>
  <c r="AP26" i="8"/>
  <c r="AP24" i="8"/>
  <c r="AP22" i="8"/>
  <c r="AP20" i="8"/>
  <c r="AP18" i="8"/>
  <c r="AP33" i="8"/>
  <c r="AP31" i="8"/>
  <c r="AP29" i="8"/>
  <c r="AP27" i="8"/>
  <c r="AP23" i="8"/>
  <c r="AP21" i="8"/>
  <c r="AP19" i="8"/>
  <c r="AP17" i="8"/>
  <c r="AP35" i="8"/>
  <c r="AP25" i="8"/>
  <c r="K1" i="8"/>
  <c r="AN12" i="8" l="1"/>
  <c r="AN13" i="8"/>
  <c r="AO13" i="8"/>
  <c r="AN14" i="8"/>
  <c r="AO14" i="8"/>
  <c r="AN15" i="8"/>
  <c r="AO15" i="8"/>
  <c r="AN16" i="8"/>
  <c r="AO16" i="8"/>
  <c r="AO12" i="8"/>
  <c r="AP15" i="8" l="1"/>
  <c r="AP13" i="8"/>
  <c r="AP16" i="8"/>
  <c r="AP14" i="8"/>
  <c r="AP12" i="8"/>
  <c r="A13" i="12"/>
  <c r="A1" i="12"/>
  <c r="G46" i="12"/>
  <c r="C7" i="12"/>
  <c r="C6" i="12"/>
  <c r="I7" i="12"/>
  <c r="G7" i="12"/>
  <c r="AE24" i="8"/>
  <c r="K11" i="8"/>
  <c r="A27" i="13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11" i="9"/>
  <c r="D10" i="9"/>
  <c r="B37" i="8"/>
  <c r="G5" i="8" s="1"/>
  <c r="C5" i="12"/>
  <c r="I11" i="11"/>
  <c r="R12" i="8"/>
  <c r="T12" i="8"/>
  <c r="U12" i="8"/>
  <c r="V12" i="8"/>
  <c r="W12" i="8"/>
  <c r="X12" i="8"/>
  <c r="Y12" i="8"/>
  <c r="Z12" i="8"/>
  <c r="AA12" i="8"/>
  <c r="AB12" i="8"/>
  <c r="P13" i="8"/>
  <c r="Q13" i="8"/>
  <c r="R13" i="8"/>
  <c r="T13" i="8"/>
  <c r="U13" i="8"/>
  <c r="V13" i="8"/>
  <c r="W13" i="8"/>
  <c r="X13" i="8"/>
  <c r="Y13" i="8"/>
  <c r="Z13" i="8"/>
  <c r="AA13" i="8"/>
  <c r="AB13" i="8"/>
  <c r="AD13" i="8"/>
  <c r="P14" i="8"/>
  <c r="Q14" i="8"/>
  <c r="R14" i="8"/>
  <c r="T14" i="8"/>
  <c r="U14" i="8"/>
  <c r="V14" i="8"/>
  <c r="W14" i="8"/>
  <c r="X14" i="8"/>
  <c r="Y14" i="8"/>
  <c r="Z14" i="8"/>
  <c r="AA14" i="8"/>
  <c r="AB14" i="8"/>
  <c r="AD14" i="8"/>
  <c r="P15" i="8"/>
  <c r="Q15" i="8"/>
  <c r="R15" i="8"/>
  <c r="T15" i="8"/>
  <c r="U15" i="8"/>
  <c r="V15" i="8"/>
  <c r="W15" i="8"/>
  <c r="X15" i="8"/>
  <c r="Y15" i="8"/>
  <c r="Z15" i="8"/>
  <c r="AA15" i="8"/>
  <c r="AB15" i="8"/>
  <c r="AD15" i="8"/>
  <c r="P16" i="8"/>
  <c r="Q16" i="8"/>
  <c r="R16" i="8"/>
  <c r="T16" i="8"/>
  <c r="U16" i="8"/>
  <c r="V16" i="8"/>
  <c r="W16" i="8"/>
  <c r="X16" i="8"/>
  <c r="Y16" i="8"/>
  <c r="Z16" i="8"/>
  <c r="AA16" i="8"/>
  <c r="AB16" i="8"/>
  <c r="AD16" i="8"/>
  <c r="P17" i="8"/>
  <c r="Q17" i="8"/>
  <c r="R17" i="8"/>
  <c r="T17" i="8"/>
  <c r="U17" i="8"/>
  <c r="V17" i="8"/>
  <c r="W17" i="8"/>
  <c r="X17" i="8"/>
  <c r="Y17" i="8"/>
  <c r="Z17" i="8"/>
  <c r="AA17" i="8"/>
  <c r="AB17" i="8"/>
  <c r="AD17" i="8"/>
  <c r="P18" i="8"/>
  <c r="Q18" i="8"/>
  <c r="R18" i="8"/>
  <c r="T18" i="8"/>
  <c r="U18" i="8"/>
  <c r="V18" i="8"/>
  <c r="W18" i="8"/>
  <c r="X18" i="8"/>
  <c r="Y18" i="8"/>
  <c r="Z18" i="8"/>
  <c r="AA18" i="8"/>
  <c r="AB18" i="8"/>
  <c r="AD18" i="8"/>
  <c r="P19" i="8"/>
  <c r="Q19" i="8"/>
  <c r="R19" i="8"/>
  <c r="T19" i="8"/>
  <c r="U19" i="8"/>
  <c r="V19" i="8"/>
  <c r="W19" i="8"/>
  <c r="X19" i="8"/>
  <c r="Y19" i="8"/>
  <c r="Z19" i="8"/>
  <c r="AA19" i="8"/>
  <c r="AB19" i="8"/>
  <c r="AD19" i="8"/>
  <c r="P20" i="8"/>
  <c r="Q20" i="8"/>
  <c r="R20" i="8"/>
  <c r="T20" i="8"/>
  <c r="U20" i="8"/>
  <c r="V20" i="8"/>
  <c r="W20" i="8"/>
  <c r="X20" i="8"/>
  <c r="Y20" i="8"/>
  <c r="Z20" i="8"/>
  <c r="AA20" i="8"/>
  <c r="AB20" i="8"/>
  <c r="AD20" i="8"/>
  <c r="P21" i="8"/>
  <c r="Q21" i="8"/>
  <c r="R21" i="8"/>
  <c r="T21" i="8"/>
  <c r="U21" i="8"/>
  <c r="V21" i="8"/>
  <c r="W21" i="8"/>
  <c r="X21" i="8"/>
  <c r="Y21" i="8"/>
  <c r="Z21" i="8"/>
  <c r="AA21" i="8"/>
  <c r="AB21" i="8"/>
  <c r="AD21" i="8"/>
  <c r="P22" i="8"/>
  <c r="Q22" i="8"/>
  <c r="R22" i="8"/>
  <c r="T22" i="8"/>
  <c r="U22" i="8"/>
  <c r="V22" i="8"/>
  <c r="W22" i="8"/>
  <c r="X22" i="8"/>
  <c r="Y22" i="8"/>
  <c r="Z22" i="8"/>
  <c r="AA22" i="8"/>
  <c r="AB22" i="8"/>
  <c r="AD22" i="8"/>
  <c r="P23" i="8"/>
  <c r="Q23" i="8"/>
  <c r="R23" i="8"/>
  <c r="T23" i="8"/>
  <c r="U23" i="8"/>
  <c r="V23" i="8"/>
  <c r="W23" i="8"/>
  <c r="X23" i="8"/>
  <c r="Y23" i="8"/>
  <c r="Z23" i="8"/>
  <c r="AA23" i="8"/>
  <c r="AB23" i="8"/>
  <c r="AD23" i="8"/>
  <c r="P24" i="8"/>
  <c r="Q24" i="8"/>
  <c r="R24" i="8"/>
  <c r="T24" i="8"/>
  <c r="U24" i="8"/>
  <c r="V24" i="8"/>
  <c r="W24" i="8"/>
  <c r="X24" i="8"/>
  <c r="Y24" i="8"/>
  <c r="Z24" i="8"/>
  <c r="AA24" i="8"/>
  <c r="AB24" i="8"/>
  <c r="AD24" i="8"/>
  <c r="P25" i="8"/>
  <c r="Q25" i="8"/>
  <c r="R25" i="8"/>
  <c r="T25" i="8"/>
  <c r="U25" i="8"/>
  <c r="V25" i="8"/>
  <c r="W25" i="8"/>
  <c r="X25" i="8"/>
  <c r="Y25" i="8"/>
  <c r="Z25" i="8"/>
  <c r="AA25" i="8"/>
  <c r="AB25" i="8"/>
  <c r="AD25" i="8"/>
  <c r="P26" i="8"/>
  <c r="Q26" i="8"/>
  <c r="R26" i="8"/>
  <c r="T26" i="8"/>
  <c r="U26" i="8"/>
  <c r="V26" i="8"/>
  <c r="W26" i="8"/>
  <c r="X26" i="8"/>
  <c r="Y26" i="8"/>
  <c r="Z26" i="8"/>
  <c r="AA26" i="8"/>
  <c r="AB26" i="8"/>
  <c r="AD26" i="8"/>
  <c r="P27" i="8"/>
  <c r="Q27" i="8"/>
  <c r="R27" i="8"/>
  <c r="T27" i="8"/>
  <c r="U27" i="8"/>
  <c r="V27" i="8"/>
  <c r="W27" i="8"/>
  <c r="X27" i="8"/>
  <c r="Y27" i="8"/>
  <c r="Z27" i="8"/>
  <c r="AA27" i="8"/>
  <c r="AB27" i="8"/>
  <c r="AD27" i="8"/>
  <c r="P28" i="8"/>
  <c r="Q28" i="8"/>
  <c r="R28" i="8"/>
  <c r="T28" i="8"/>
  <c r="U28" i="8"/>
  <c r="V28" i="8"/>
  <c r="W28" i="8"/>
  <c r="X28" i="8"/>
  <c r="Y28" i="8"/>
  <c r="Z28" i="8"/>
  <c r="AA28" i="8"/>
  <c r="AB28" i="8"/>
  <c r="AD28" i="8"/>
  <c r="P29" i="8"/>
  <c r="Q29" i="8"/>
  <c r="R29" i="8"/>
  <c r="T29" i="8"/>
  <c r="U29" i="8"/>
  <c r="V29" i="8"/>
  <c r="W29" i="8"/>
  <c r="X29" i="8"/>
  <c r="Y29" i="8"/>
  <c r="Z29" i="8"/>
  <c r="AA29" i="8"/>
  <c r="AB29" i="8"/>
  <c r="AD29" i="8"/>
  <c r="P30" i="8"/>
  <c r="Q30" i="8"/>
  <c r="R30" i="8"/>
  <c r="T30" i="8"/>
  <c r="U30" i="8"/>
  <c r="V30" i="8"/>
  <c r="W30" i="8"/>
  <c r="X30" i="8"/>
  <c r="Y30" i="8"/>
  <c r="Z30" i="8"/>
  <c r="AA30" i="8"/>
  <c r="AB30" i="8"/>
  <c r="AD30" i="8"/>
  <c r="P31" i="8"/>
  <c r="Q31" i="8"/>
  <c r="R31" i="8"/>
  <c r="T31" i="8"/>
  <c r="U31" i="8"/>
  <c r="V31" i="8"/>
  <c r="W31" i="8"/>
  <c r="X31" i="8"/>
  <c r="Y31" i="8"/>
  <c r="Z31" i="8"/>
  <c r="AA31" i="8"/>
  <c r="AB31" i="8"/>
  <c r="AD31" i="8"/>
  <c r="P32" i="8"/>
  <c r="Q32" i="8"/>
  <c r="R32" i="8"/>
  <c r="T32" i="8"/>
  <c r="U32" i="8"/>
  <c r="V32" i="8"/>
  <c r="W32" i="8"/>
  <c r="X32" i="8"/>
  <c r="Y32" i="8"/>
  <c r="Z32" i="8"/>
  <c r="AA32" i="8"/>
  <c r="AB32" i="8"/>
  <c r="AD32" i="8"/>
  <c r="P33" i="8"/>
  <c r="Q33" i="8"/>
  <c r="R33" i="8"/>
  <c r="T33" i="8"/>
  <c r="U33" i="8"/>
  <c r="V33" i="8"/>
  <c r="W33" i="8"/>
  <c r="X33" i="8"/>
  <c r="Y33" i="8"/>
  <c r="Z33" i="8"/>
  <c r="AA33" i="8"/>
  <c r="AB33" i="8"/>
  <c r="AD33" i="8"/>
  <c r="P34" i="8"/>
  <c r="Q34" i="8"/>
  <c r="R34" i="8"/>
  <c r="T34" i="8"/>
  <c r="U34" i="8"/>
  <c r="V34" i="8"/>
  <c r="W34" i="8"/>
  <c r="X34" i="8"/>
  <c r="Y34" i="8"/>
  <c r="Z34" i="8"/>
  <c r="AA34" i="8"/>
  <c r="AB34" i="8"/>
  <c r="AD34" i="8"/>
  <c r="P35" i="8"/>
  <c r="Q35" i="8"/>
  <c r="R35" i="8"/>
  <c r="T35" i="8"/>
  <c r="U35" i="8"/>
  <c r="V35" i="8"/>
  <c r="W35" i="8"/>
  <c r="X35" i="8"/>
  <c r="Y35" i="8"/>
  <c r="Z35" i="8"/>
  <c r="AA35" i="8"/>
  <c r="AB35" i="8"/>
  <c r="AD35" i="8"/>
  <c r="P36" i="8"/>
  <c r="Q36" i="8"/>
  <c r="R36" i="8"/>
  <c r="T36" i="8"/>
  <c r="U36" i="8"/>
  <c r="V36" i="8"/>
  <c r="W36" i="8"/>
  <c r="X36" i="8"/>
  <c r="Y36" i="8"/>
  <c r="Z36" i="8"/>
  <c r="AA36" i="8"/>
  <c r="AB36" i="8"/>
  <c r="AD36" i="8"/>
  <c r="L11" i="8"/>
  <c r="A12" i="12"/>
  <c r="C13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E12" i="12"/>
  <c r="D12" i="12"/>
  <c r="C12" i="12"/>
  <c r="A5" i="9"/>
  <c r="A5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B31" i="9"/>
  <c r="A31" i="9"/>
  <c r="B30" i="9"/>
  <c r="A30" i="9"/>
  <c r="B29" i="9"/>
  <c r="A29" i="9"/>
  <c r="A25" i="11"/>
  <c r="A26" i="11"/>
  <c r="A27" i="11"/>
  <c r="A28" i="11"/>
  <c r="A29" i="11"/>
  <c r="A30" i="11"/>
  <c r="A31" i="11"/>
  <c r="A32" i="11"/>
  <c r="A33" i="11"/>
  <c r="A34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D10" i="11"/>
  <c r="C10" i="11"/>
  <c r="A10" i="11"/>
  <c r="E7" i="11"/>
  <c r="D7" i="11"/>
  <c r="A7" i="11"/>
  <c r="K6" i="11"/>
  <c r="I6" i="11"/>
  <c r="D6" i="11"/>
  <c r="C6" i="11"/>
  <c r="A6" i="11"/>
  <c r="K5" i="11"/>
  <c r="I5" i="11"/>
  <c r="C5" i="11"/>
  <c r="N4" i="11"/>
  <c r="L4" i="11"/>
  <c r="K4" i="11"/>
  <c r="I4" i="11"/>
  <c r="D4" i="11"/>
  <c r="C4" i="11"/>
  <c r="L3" i="11"/>
  <c r="K3" i="11"/>
  <c r="I3" i="11"/>
  <c r="D3" i="11"/>
  <c r="C3" i="11"/>
  <c r="A3" i="11"/>
  <c r="N2" i="11"/>
  <c r="L2" i="11"/>
  <c r="K2" i="11"/>
  <c r="I2" i="11"/>
  <c r="F2" i="11"/>
  <c r="E2" i="11"/>
  <c r="D2" i="11"/>
  <c r="C2" i="11"/>
  <c r="A2" i="11"/>
  <c r="N1" i="11"/>
  <c r="M1" i="11"/>
  <c r="I1" i="11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32" i="9"/>
  <c r="A33" i="9"/>
  <c r="A34" i="9"/>
  <c r="A10" i="9"/>
  <c r="B34" i="9"/>
  <c r="B33" i="9"/>
  <c r="B32" i="9"/>
  <c r="B28" i="9"/>
  <c r="B27" i="9"/>
  <c r="B26" i="9"/>
  <c r="B25" i="9"/>
  <c r="B24" i="9"/>
  <c r="B23" i="9"/>
  <c r="B22" i="9"/>
  <c r="B21" i="9"/>
  <c r="B20" i="9"/>
  <c r="B19" i="9"/>
  <c r="F10" i="9"/>
  <c r="B18" i="9"/>
  <c r="B17" i="9"/>
  <c r="B16" i="9"/>
  <c r="B15" i="9"/>
  <c r="B14" i="9"/>
  <c r="B13" i="9"/>
  <c r="B12" i="9"/>
  <c r="B11" i="9"/>
  <c r="B10" i="9"/>
  <c r="I1" i="9"/>
  <c r="N7" i="9"/>
  <c r="E7" i="9"/>
  <c r="D7" i="9"/>
  <c r="A7" i="9"/>
  <c r="K6" i="9"/>
  <c r="I6" i="9"/>
  <c r="D6" i="9"/>
  <c r="C6" i="9"/>
  <c r="A6" i="9"/>
  <c r="K5" i="9"/>
  <c r="I5" i="9"/>
  <c r="C5" i="9"/>
  <c r="N4" i="9"/>
  <c r="L4" i="9"/>
  <c r="K4" i="9"/>
  <c r="I4" i="9"/>
  <c r="D4" i="9"/>
  <c r="C4" i="9"/>
  <c r="N3" i="9"/>
  <c r="L3" i="9"/>
  <c r="K3" i="9"/>
  <c r="I3" i="9"/>
  <c r="D3" i="9"/>
  <c r="C3" i="9"/>
  <c r="A3" i="9"/>
  <c r="N2" i="9"/>
  <c r="L2" i="9"/>
  <c r="K2" i="9"/>
  <c r="I2" i="9"/>
  <c r="F2" i="9"/>
  <c r="E2" i="9"/>
  <c r="D2" i="9"/>
  <c r="C2" i="9"/>
  <c r="N1" i="9"/>
  <c r="M1" i="9"/>
  <c r="A2" i="9"/>
  <c r="E6" i="9"/>
  <c r="E6" i="11"/>
  <c r="AH29" i="8"/>
  <c r="AH20" i="8"/>
  <c r="AH15" i="8"/>
  <c r="AH33" i="8"/>
  <c r="AH31" i="8"/>
  <c r="AH30" i="8"/>
  <c r="AH21" i="8"/>
  <c r="AH25" i="8"/>
  <c r="AH24" i="8"/>
  <c r="AH17" i="8"/>
  <c r="AH26" i="8"/>
  <c r="AH19" i="8"/>
  <c r="AH36" i="8"/>
  <c r="AH22" i="8"/>
  <c r="AH23" i="8"/>
  <c r="AH14" i="8"/>
  <c r="AH27" i="8"/>
  <c r="AH12" i="8"/>
  <c r="AH34" i="8"/>
  <c r="AH32" i="8"/>
  <c r="AH16" i="8"/>
  <c r="AH18" i="8"/>
  <c r="AH28" i="8"/>
  <c r="AH13" i="8"/>
  <c r="AH35" i="8"/>
  <c r="G5" i="9" l="1"/>
  <c r="G5" i="11"/>
  <c r="I32" i="11"/>
  <c r="I31" i="11"/>
  <c r="I33" i="11"/>
  <c r="I27" i="11"/>
  <c r="J19" i="11"/>
  <c r="I12" i="11"/>
  <c r="J22" i="11"/>
  <c r="I18" i="11"/>
  <c r="I17" i="11"/>
  <c r="I30" i="11"/>
  <c r="I24" i="11"/>
  <c r="I16" i="11"/>
  <c r="I26" i="11"/>
  <c r="I21" i="11"/>
  <c r="I15" i="11"/>
  <c r="I25" i="11"/>
  <c r="I34" i="11"/>
  <c r="E28" i="11"/>
  <c r="I20" i="11"/>
  <c r="I13" i="11"/>
  <c r="I14" i="11"/>
  <c r="H33" i="9"/>
  <c r="H23" i="9"/>
  <c r="H20" i="9"/>
  <c r="H25" i="9"/>
  <c r="H34" i="9"/>
  <c r="H22" i="9"/>
  <c r="H32" i="9"/>
  <c r="H24" i="9"/>
  <c r="H26" i="9"/>
  <c r="H18" i="11"/>
  <c r="H17" i="9"/>
  <c r="H32" i="11"/>
  <c r="G18" i="11"/>
  <c r="H22" i="11"/>
  <c r="G28" i="11"/>
  <c r="H20" i="11"/>
  <c r="F30" i="11"/>
  <c r="H27" i="11"/>
  <c r="F27" i="11"/>
  <c r="G24" i="11"/>
  <c r="G27" i="11"/>
  <c r="H24" i="11"/>
  <c r="H17" i="11"/>
  <c r="G26" i="11"/>
  <c r="G19" i="11"/>
  <c r="H23" i="11"/>
  <c r="F26" i="11"/>
  <c r="G17" i="11"/>
  <c r="H29" i="11"/>
  <c r="G21" i="11"/>
  <c r="H28" i="11"/>
  <c r="H19" i="11"/>
  <c r="F17" i="11"/>
  <c r="F20" i="11"/>
  <c r="H25" i="11"/>
  <c r="F22" i="11"/>
  <c r="G31" i="11"/>
  <c r="G25" i="11"/>
  <c r="G15" i="11"/>
  <c r="G20" i="11"/>
  <c r="G33" i="11"/>
  <c r="F31" i="11"/>
  <c r="F19" i="11"/>
  <c r="H16" i="11"/>
  <c r="F24" i="11"/>
  <c r="F18" i="11"/>
  <c r="F25" i="11"/>
  <c r="F34" i="11"/>
  <c r="H34" i="11"/>
  <c r="G34" i="11"/>
  <c r="F33" i="11"/>
  <c r="H33" i="11"/>
  <c r="F32" i="11"/>
  <c r="G32" i="11"/>
  <c r="H31" i="9"/>
  <c r="H31" i="11"/>
  <c r="H30" i="9"/>
  <c r="H30" i="11"/>
  <c r="G30" i="11"/>
  <c r="F29" i="11"/>
  <c r="G29" i="11"/>
  <c r="H29" i="9"/>
  <c r="H28" i="9"/>
  <c r="F28" i="11"/>
  <c r="H27" i="9"/>
  <c r="H26" i="11"/>
  <c r="F23" i="11"/>
  <c r="G23" i="11"/>
  <c r="G22" i="11"/>
  <c r="F21" i="11"/>
  <c r="H21" i="9"/>
  <c r="H21" i="11"/>
  <c r="H19" i="9"/>
  <c r="H18" i="9"/>
  <c r="F16" i="11"/>
  <c r="G16" i="11"/>
  <c r="H16" i="9"/>
  <c r="H13" i="9"/>
  <c r="H15" i="9"/>
  <c r="H14" i="9"/>
  <c r="H14" i="11"/>
  <c r="H12" i="11"/>
  <c r="I10" i="11"/>
  <c r="I22" i="11"/>
  <c r="I23" i="11"/>
  <c r="E22" i="11"/>
  <c r="I29" i="11"/>
  <c r="I28" i="11"/>
  <c r="J32" i="11"/>
  <c r="I19" i="11"/>
  <c r="AE21" i="8"/>
  <c r="AE25" i="8"/>
  <c r="AE31" i="8"/>
  <c r="H13" i="11"/>
  <c r="F22" i="12"/>
  <c r="G22" i="12" s="1"/>
  <c r="H22" i="12" s="1"/>
  <c r="E10" i="11"/>
  <c r="AE18" i="8"/>
  <c r="AE29" i="8"/>
  <c r="K1" i="11"/>
  <c r="H11" i="11"/>
  <c r="F13" i="11"/>
  <c r="AE16" i="8"/>
  <c r="AE23" i="8"/>
  <c r="L20" i="8"/>
  <c r="J24" i="11"/>
  <c r="E14" i="11"/>
  <c r="G14" i="11"/>
  <c r="E46" i="12"/>
  <c r="AE13" i="8"/>
  <c r="AE34" i="8"/>
  <c r="E31" i="11"/>
  <c r="J29" i="11"/>
  <c r="J27" i="11"/>
  <c r="E16" i="11"/>
  <c r="G12" i="11"/>
  <c r="F14" i="11"/>
  <c r="F15" i="11"/>
  <c r="H15" i="11"/>
  <c r="G13" i="11"/>
  <c r="E18" i="11"/>
  <c r="J13" i="11"/>
  <c r="E29" i="11"/>
  <c r="J28" i="11"/>
  <c r="AE30" i="8"/>
  <c r="E32" i="11"/>
  <c r="E26" i="11"/>
  <c r="E15" i="11"/>
  <c r="J15" i="11"/>
  <c r="F17" i="12"/>
  <c r="G17" i="12" s="1"/>
  <c r="H17" i="12" s="1"/>
  <c r="J18" i="11"/>
  <c r="E21" i="11"/>
  <c r="J34" i="11"/>
  <c r="E19" i="11"/>
  <c r="E25" i="11"/>
  <c r="AE17" i="8"/>
  <c r="AE19" i="8"/>
  <c r="AE14" i="8"/>
  <c r="AE28" i="8"/>
  <c r="K1" i="9"/>
  <c r="J33" i="11"/>
  <c r="J17" i="11"/>
  <c r="L35" i="8"/>
  <c r="AE12" i="8"/>
  <c r="AE20" i="8"/>
  <c r="AE26" i="8"/>
  <c r="AE36" i="8"/>
  <c r="AE15" i="8"/>
  <c r="E34" i="11"/>
  <c r="E33" i="11"/>
  <c r="E27" i="11"/>
  <c r="E17" i="11"/>
  <c r="J30" i="11"/>
  <c r="J20" i="11"/>
  <c r="F11" i="11"/>
  <c r="G11" i="11"/>
  <c r="J11" i="11"/>
  <c r="J23" i="11"/>
  <c r="F25" i="12"/>
  <c r="G25" i="12" s="1"/>
  <c r="H25" i="12" s="1"/>
  <c r="L32" i="8"/>
  <c r="J14" i="11"/>
  <c r="E20" i="11"/>
  <c r="J31" i="11"/>
  <c r="L27" i="8"/>
  <c r="J25" i="11"/>
  <c r="E24" i="11"/>
  <c r="L23" i="8"/>
  <c r="J21" i="11"/>
  <c r="E30" i="11"/>
  <c r="E23" i="11"/>
  <c r="E11" i="11"/>
  <c r="J26" i="11"/>
  <c r="J16" i="11"/>
  <c r="E13" i="11"/>
  <c r="H11" i="9"/>
  <c r="AE32" i="8"/>
  <c r="AE35" i="8"/>
  <c r="AE33" i="8"/>
  <c r="AE22" i="8"/>
  <c r="AE27" i="8"/>
  <c r="E40" i="12"/>
  <c r="F40" i="12" s="1"/>
  <c r="J12" i="11"/>
  <c r="E12" i="11"/>
  <c r="F12" i="11"/>
  <c r="H12" i="9"/>
  <c r="J10" i="11"/>
  <c r="H10" i="9"/>
  <c r="G12" i="8"/>
  <c r="L12" i="8" s="1"/>
  <c r="H12" i="8"/>
  <c r="B35" i="9"/>
  <c r="B35" i="11"/>
  <c r="L16" i="8" l="1"/>
  <c r="K26" i="8"/>
  <c r="L30" i="8"/>
  <c r="K17" i="8"/>
  <c r="L34" i="8"/>
  <c r="K32" i="8"/>
  <c r="K30" i="8"/>
  <c r="L14" i="8"/>
  <c r="K20" i="8"/>
  <c r="L21" i="8"/>
  <c r="K35" i="8"/>
  <c r="K23" i="8"/>
  <c r="L36" i="8"/>
  <c r="L33" i="8"/>
  <c r="L31" i="8"/>
  <c r="K19" i="8"/>
  <c r="L24" i="8"/>
  <c r="L26" i="8"/>
  <c r="L22" i="8"/>
  <c r="K28" i="8"/>
  <c r="L29" i="8"/>
  <c r="L18" i="8"/>
  <c r="L28" i="8"/>
  <c r="L17" i="8"/>
  <c r="L19" i="8"/>
  <c r="L15" i="8"/>
  <c r="K15" i="8"/>
  <c r="K22" i="8"/>
  <c r="K29" i="8"/>
  <c r="K25" i="8"/>
  <c r="K31" i="8"/>
  <c r="L25" i="8"/>
  <c r="K27" i="8"/>
  <c r="K34" i="8"/>
  <c r="K21" i="8"/>
  <c r="K24" i="8"/>
  <c r="K14" i="8"/>
  <c r="K18" i="8"/>
  <c r="K33" i="8"/>
  <c r="K36" i="8"/>
  <c r="I35" i="11"/>
  <c r="L13" i="8"/>
  <c r="I37" i="8"/>
  <c r="F14" i="12"/>
  <c r="G14" i="12" s="1"/>
  <c r="H14" i="12" s="1"/>
  <c r="F21" i="12"/>
  <c r="G21" i="12" s="1"/>
  <c r="H21" i="12" s="1"/>
  <c r="F24" i="12"/>
  <c r="G24" i="12" s="1"/>
  <c r="H24" i="12" s="1"/>
  <c r="F18" i="12"/>
  <c r="G18" i="12" s="1"/>
  <c r="H18" i="12" s="1"/>
  <c r="F13" i="12"/>
  <c r="G13" i="12" s="1"/>
  <c r="H13" i="12" s="1"/>
  <c r="F28" i="12"/>
  <c r="G28" i="12" s="1"/>
  <c r="H28" i="12" s="1"/>
  <c r="F33" i="12"/>
  <c r="G33" i="12" s="1"/>
  <c r="H33" i="12" s="1"/>
  <c r="F15" i="12"/>
  <c r="G15" i="12" s="1"/>
  <c r="H15" i="12" s="1"/>
  <c r="F27" i="12"/>
  <c r="G27" i="12" s="1"/>
  <c r="H27" i="12" s="1"/>
  <c r="F34" i="12"/>
  <c r="G34" i="12" s="1"/>
  <c r="H34" i="12" s="1"/>
  <c r="F20" i="12"/>
  <c r="G20" i="12" s="1"/>
  <c r="H20" i="12" s="1"/>
  <c r="F30" i="12"/>
  <c r="G30" i="12" s="1"/>
  <c r="H30" i="12" s="1"/>
  <c r="F19" i="12"/>
  <c r="G19" i="12" s="1"/>
  <c r="H19" i="12" s="1"/>
  <c r="F29" i="12"/>
  <c r="G29" i="12" s="1"/>
  <c r="H29" i="12" s="1"/>
  <c r="F31" i="12"/>
  <c r="G31" i="12" s="1"/>
  <c r="H31" i="12" s="1"/>
  <c r="F16" i="12"/>
  <c r="G16" i="12" s="1"/>
  <c r="H16" i="12" s="1"/>
  <c r="F26" i="12"/>
  <c r="G26" i="12" s="1"/>
  <c r="H26" i="12" s="1"/>
  <c r="F32" i="12"/>
  <c r="G32" i="12" s="1"/>
  <c r="H32" i="12" s="1"/>
  <c r="F36" i="12"/>
  <c r="G36" i="12" s="1"/>
  <c r="H36" i="12" s="1"/>
  <c r="F23" i="12"/>
  <c r="G23" i="12" s="1"/>
  <c r="H23" i="12" s="1"/>
  <c r="F35" i="12"/>
  <c r="G35" i="12" s="1"/>
  <c r="H35" i="12" s="1"/>
  <c r="F12" i="12"/>
  <c r="K16" i="8"/>
  <c r="G37" i="8"/>
  <c r="L19" i="11"/>
  <c r="H35" i="9"/>
  <c r="L21" i="11"/>
  <c r="K13" i="8"/>
  <c r="L10" i="11"/>
  <c r="K10" i="11" s="1" a="1"/>
  <c r="K10" i="11" s="1"/>
  <c r="L14" i="11"/>
  <c r="L26" i="11"/>
  <c r="L11" i="11"/>
  <c r="L29" i="11"/>
  <c r="L32" i="11"/>
  <c r="L18" i="11"/>
  <c r="L16" i="11"/>
  <c r="L27" i="11"/>
  <c r="L23" i="11"/>
  <c r="J35" i="11"/>
  <c r="L22" i="11"/>
  <c r="L13" i="11"/>
  <c r="L34" i="11"/>
  <c r="L15" i="11"/>
  <c r="L30" i="11"/>
  <c r="L17" i="11"/>
  <c r="J37" i="8"/>
  <c r="L31" i="11"/>
  <c r="L20" i="11"/>
  <c r="L24" i="11"/>
  <c r="L33" i="11"/>
  <c r="L12" i="11"/>
  <c r="L25" i="11"/>
  <c r="L28" i="11"/>
  <c r="F10" i="11"/>
  <c r="F35" i="11" s="1"/>
  <c r="F37" i="8"/>
  <c r="K12" i="8"/>
  <c r="G10" i="11"/>
  <c r="G35" i="11" s="1"/>
  <c r="H37" i="8"/>
  <c r="H10" i="11"/>
  <c r="H35" i="11" s="1"/>
  <c r="G12" i="12" l="1"/>
  <c r="H12" i="12" s="1"/>
  <c r="H40" i="12" s="1"/>
  <c r="K12" i="11" a="1"/>
  <c r="K12" i="11" s="1"/>
  <c r="K27" i="11" a="1"/>
  <c r="K27" i="11" s="1"/>
  <c r="K22" i="11" a="1"/>
  <c r="K22" i="11" s="1"/>
  <c r="K11" i="11" a="1"/>
  <c r="K11" i="11" s="1"/>
  <c r="K14" i="11" a="1"/>
  <c r="K14" i="11" s="1"/>
  <c r="K34" i="11" a="1"/>
  <c r="K34" i="11" s="1"/>
  <c r="K30" i="11" a="1"/>
  <c r="K30" i="11" s="1"/>
  <c r="K24" i="11" a="1"/>
  <c r="K24" i="11" s="1"/>
  <c r="K21" i="11" a="1"/>
  <c r="K21" i="11" s="1"/>
  <c r="K17" i="11" a="1"/>
  <c r="K17" i="11" s="1"/>
  <c r="K28" i="11" a="1"/>
  <c r="K28" i="11" s="1"/>
  <c r="K33" i="11" a="1"/>
  <c r="K33" i="11" s="1"/>
  <c r="K31" i="11" a="1"/>
  <c r="K31" i="11" s="1"/>
  <c r="K15" i="11" a="1"/>
  <c r="K15" i="11" s="1"/>
  <c r="K18" i="11" a="1"/>
  <c r="K18" i="11" s="1"/>
  <c r="K13" i="11" a="1"/>
  <c r="K13" i="11" s="1"/>
  <c r="K26" i="11" a="1"/>
  <c r="K26" i="11" s="1"/>
  <c r="K19" i="11" a="1"/>
  <c r="K19" i="11" s="1"/>
  <c r="K23" i="11" a="1"/>
  <c r="K23" i="11" s="1"/>
  <c r="K25" i="11" a="1"/>
  <c r="K25" i="11" s="1"/>
  <c r="K29" i="11" a="1"/>
  <c r="K29" i="11" s="1"/>
  <c r="K32" i="11" a="1"/>
  <c r="K32" i="11" s="1"/>
  <c r="K20" i="11" a="1"/>
  <c r="K20" i="11" s="1"/>
  <c r="K16" i="11" a="1"/>
  <c r="K16" i="11" s="1"/>
  <c r="G40" i="12" l="1"/>
  <c r="G9" i="12" s="1"/>
  <c r="C9" i="12" s="1"/>
  <c r="K35" i="11"/>
  <c r="L3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M1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이곳만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3" authorId="0" shapeId="0" xr:uid="{00000000-0006-0000-0100-000002000000}">
      <text>
        <r>
          <rPr>
            <b/>
            <sz val="8"/>
            <color indexed="81"/>
            <rFont val="굴림"/>
            <family val="3"/>
            <charset val="129"/>
          </rPr>
          <t>G타입 
발주시 
레바선택 필수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lmh</author>
  </authors>
  <commentList>
    <comment ref="E6" authorId="0" shapeId="0" xr:uid="{00000000-0006-0000-0200-000001000000}">
      <text>
        <r>
          <rPr>
            <sz val="8"/>
            <color indexed="81"/>
            <rFont val="돋움"/>
            <family val="3"/>
            <charset val="129"/>
          </rPr>
          <t>특이색상표기</t>
        </r>
      </text>
    </comment>
    <comment ref="E7" authorId="0" shapeId="0" xr:uid="{00000000-0006-0000-0200-000002000000}">
      <text>
        <r>
          <rPr>
            <b/>
            <sz val="9"/>
            <color indexed="81"/>
            <rFont val="돋움"/>
            <family val="3"/>
            <charset val="129"/>
          </rPr>
          <t>끈여부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특이사항이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
여기에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적으세요</t>
        </r>
        <r>
          <rPr>
            <b/>
            <sz val="9"/>
            <color indexed="81"/>
            <rFont val="Tahoma"/>
            <family val="2"/>
          </rPr>
          <t>~</t>
        </r>
      </text>
    </comment>
  </commentList>
</comments>
</file>

<file path=xl/sharedStrings.xml><?xml version="1.0" encoding="utf-8"?>
<sst xmlns="http://schemas.openxmlformats.org/spreadsheetml/2006/main" count="9456" uniqueCount="6663">
  <si>
    <t>수량</t>
    <phoneticPr fontId="1" type="noConversion"/>
  </si>
  <si>
    <t>발주일</t>
    <phoneticPr fontId="1" type="noConversion"/>
  </si>
  <si>
    <t>납기일</t>
    <phoneticPr fontId="1" type="noConversion"/>
  </si>
  <si>
    <t>거래처</t>
    <phoneticPr fontId="1" type="noConversion"/>
  </si>
  <si>
    <t>담당자</t>
    <phoneticPr fontId="1" type="noConversion"/>
  </si>
  <si>
    <t>NO</t>
    <phoneticPr fontId="1" type="noConversion"/>
  </si>
  <si>
    <t>No</t>
    <phoneticPr fontId="1" type="noConversion"/>
  </si>
  <si>
    <t>롤케스
크기</t>
    <phoneticPr fontId="1" type="noConversion"/>
  </si>
  <si>
    <t>하단
바</t>
    <phoneticPr fontId="1" type="noConversion"/>
  </si>
  <si>
    <t>손잡이
바</t>
    <phoneticPr fontId="1" type="noConversion"/>
  </si>
  <si>
    <t>이 부분은 입력하는 것 아닙니다. (수정하지마세요)</t>
    <phoneticPr fontId="1" type="noConversion"/>
  </si>
  <si>
    <t>문서번호:</t>
    <phoneticPr fontId="1" type="noConversion"/>
  </si>
  <si>
    <t>호</t>
    <phoneticPr fontId="1" type="noConversion"/>
  </si>
  <si>
    <t xml:space="preserve"> * 가 공 치 수</t>
  </si>
  <si>
    <t>*특이:</t>
  </si>
  <si>
    <t>(단위:mm)</t>
  </si>
  <si>
    <t>가스켓</t>
  </si>
  <si>
    <t>레바타입</t>
  </si>
  <si>
    <t>발송방법</t>
  </si>
  <si>
    <t>↳</t>
    <phoneticPr fontId="1" type="noConversion"/>
  </si>
  <si>
    <t>발주일</t>
    <phoneticPr fontId="1" type="noConversion"/>
  </si>
  <si>
    <t>납기일</t>
    <phoneticPr fontId="1" type="noConversion"/>
  </si>
  <si>
    <t>거래처명</t>
    <phoneticPr fontId="1" type="noConversion"/>
  </si>
  <si>
    <t>담당자</t>
    <phoneticPr fontId="1" type="noConversion"/>
  </si>
  <si>
    <t>종류</t>
    <phoneticPr fontId="1" type="noConversion"/>
  </si>
  <si>
    <t>색상</t>
    <phoneticPr fontId="1" type="noConversion"/>
  </si>
  <si>
    <t>가스켓</t>
    <phoneticPr fontId="1" type="noConversion"/>
  </si>
  <si>
    <t>스티커</t>
    <phoneticPr fontId="1" type="noConversion"/>
  </si>
  <si>
    <t>끈길이</t>
    <phoneticPr fontId="1" type="noConversion"/>
  </si>
  <si>
    <t>레바타입</t>
    <phoneticPr fontId="1" type="noConversion"/>
  </si>
  <si>
    <t>포장</t>
    <phoneticPr fontId="1" type="noConversion"/>
  </si>
  <si>
    <t>발송방법</t>
    <phoneticPr fontId="1" type="noConversion"/>
  </si>
  <si>
    <t>주소</t>
    <phoneticPr fontId="1" type="noConversion"/>
  </si>
  <si>
    <t>연락처</t>
    <phoneticPr fontId="1" type="noConversion"/>
  </si>
  <si>
    <t>문서번호</t>
    <phoneticPr fontId="1" type="noConversion"/>
  </si>
  <si>
    <t>끈길이</t>
    <phoneticPr fontId="1" type="noConversion"/>
  </si>
  <si>
    <t>포  장</t>
    <phoneticPr fontId="1" type="noConversion"/>
  </si>
  <si>
    <t>스 티 커</t>
    <phoneticPr fontId="1" type="noConversion"/>
  </si>
  <si>
    <t>사이즈(W*H)</t>
    <phoneticPr fontId="1" type="noConversion"/>
  </si>
  <si>
    <t>롤
바</t>
    <phoneticPr fontId="1" type="noConversion"/>
  </si>
  <si>
    <t>합계</t>
    <phoneticPr fontId="1" type="noConversion"/>
  </si>
  <si>
    <t>방충망 (망) 재단 치수</t>
    <phoneticPr fontId="1" type="noConversion"/>
  </si>
  <si>
    <t>No</t>
    <phoneticPr fontId="1" type="noConversion"/>
  </si>
  <si>
    <t>수량</t>
    <phoneticPr fontId="1" type="noConversion"/>
  </si>
  <si>
    <t>방충망 (망) 재단</t>
    <phoneticPr fontId="1" type="noConversion"/>
  </si>
  <si>
    <t>폭</t>
    <phoneticPr fontId="1" type="noConversion"/>
  </si>
  <si>
    <t>높이</t>
    <phoneticPr fontId="1" type="noConversion"/>
  </si>
  <si>
    <t>합계</t>
    <phoneticPr fontId="1" type="noConversion"/>
  </si>
  <si>
    <t>전체길이(M)</t>
    <phoneticPr fontId="1" type="noConversion"/>
  </si>
  <si>
    <t>롤케스
덮개</t>
    <phoneticPr fontId="1" type="noConversion"/>
  </si>
  <si>
    <t xml:space="preserve">  가스켓 :</t>
    <phoneticPr fontId="1" type="noConversion"/>
  </si>
  <si>
    <r>
      <t xml:space="preserve"> </t>
    </r>
    <r>
      <rPr>
        <b/>
        <sz val="11"/>
        <color indexed="12"/>
        <rFont val="굴림체"/>
        <family val="3"/>
        <charset val="129"/>
      </rPr>
      <t>○, ×</t>
    </r>
    <r>
      <rPr>
        <sz val="9"/>
        <color indexed="12"/>
        <rFont val="굴림체"/>
        <family val="3"/>
        <charset val="129"/>
      </rPr>
      <t xml:space="preserve"> 中 1개 표기</t>
    </r>
    <phoneticPr fontId="1" type="noConversion"/>
  </si>
  <si>
    <t>스 티 커 :</t>
    <phoneticPr fontId="1" type="noConversion"/>
  </si>
  <si>
    <r>
      <t xml:space="preserve"> </t>
    </r>
    <r>
      <rPr>
        <b/>
        <sz val="11"/>
        <color indexed="12"/>
        <rFont val="굴림체"/>
        <family val="3"/>
        <charset val="129"/>
      </rPr>
      <t>남선, 이지스, 미부착</t>
    </r>
    <r>
      <rPr>
        <sz val="9"/>
        <color indexed="12"/>
        <rFont val="굴림체"/>
        <family val="3"/>
        <charset val="129"/>
      </rPr>
      <t xml:space="preserve"> 中 1개 표기</t>
    </r>
    <phoneticPr fontId="1" type="noConversion"/>
  </si>
  <si>
    <t>끈길이 :</t>
    <phoneticPr fontId="1" type="noConversion"/>
  </si>
  <si>
    <t>레바타입 :</t>
    <phoneticPr fontId="1" type="noConversion"/>
  </si>
  <si>
    <t xml:space="preserve">  포  장 :</t>
    <phoneticPr fontId="1" type="noConversion"/>
  </si>
  <si>
    <r>
      <t xml:space="preserve">상기의 </t>
    </r>
    <r>
      <rPr>
        <b/>
        <sz val="9"/>
        <color indexed="12"/>
        <rFont val="굴림체"/>
        <family val="3"/>
        <charset val="129"/>
      </rPr>
      <t>[끈길이]</t>
    </r>
    <r>
      <rPr>
        <b/>
        <sz val="9"/>
        <color indexed="8"/>
        <rFont val="굴림체"/>
        <family val="3"/>
        <charset val="129"/>
      </rPr>
      <t xml:space="preserve">를 제외한 모든 예시는 이미 입력되어 있음. </t>
    </r>
    <r>
      <rPr>
        <b/>
        <sz val="11"/>
        <color indexed="10"/>
        <rFont val="굴림체"/>
        <family val="3"/>
        <charset val="129"/>
      </rPr>
      <t>입력시에 스크롤바를 (클릭)움직여서 입력</t>
    </r>
    <r>
      <rPr>
        <b/>
        <sz val="9"/>
        <color indexed="8"/>
        <rFont val="굴림체"/>
        <family val="3"/>
        <charset val="129"/>
      </rPr>
      <t>하시오.</t>
    </r>
    <phoneticPr fontId="1" type="noConversion"/>
  </si>
  <si>
    <r>
      <t xml:space="preserve"> </t>
    </r>
    <r>
      <rPr>
        <b/>
        <sz val="11"/>
        <color indexed="12"/>
        <rFont val="굴림체"/>
        <family val="3"/>
        <charset val="129"/>
      </rPr>
      <t>완제품, 박스</t>
    </r>
    <r>
      <rPr>
        <sz val="9"/>
        <color indexed="12"/>
        <rFont val="굴림체"/>
        <family val="3"/>
        <charset val="129"/>
      </rPr>
      <t xml:space="preserve"> 中 1개 표기</t>
    </r>
    <phoneticPr fontId="1" type="noConversion"/>
  </si>
  <si>
    <t>발송방법 :</t>
    <phoneticPr fontId="1" type="noConversion"/>
  </si>
  <si>
    <r>
      <t xml:space="preserve"> </t>
    </r>
    <r>
      <rPr>
        <b/>
        <sz val="11"/>
        <color indexed="12"/>
        <rFont val="굴림체"/>
        <family val="3"/>
        <charset val="129"/>
      </rPr>
      <t>V</t>
    </r>
    <r>
      <rPr>
        <sz val="9"/>
        <color indexed="12"/>
        <rFont val="굴림체"/>
        <family val="3"/>
        <charset val="129"/>
      </rPr>
      <t xml:space="preserve">(세로레버), </t>
    </r>
    <r>
      <rPr>
        <b/>
        <sz val="11"/>
        <color indexed="12"/>
        <rFont val="굴림체"/>
        <family val="3"/>
        <charset val="129"/>
      </rPr>
      <t>H</t>
    </r>
    <r>
      <rPr>
        <sz val="9"/>
        <color indexed="12"/>
        <rFont val="굴림체"/>
        <family val="3"/>
        <charset val="129"/>
      </rPr>
      <t>(가로레버) 中 1개 표기</t>
    </r>
    <phoneticPr fontId="1" type="noConversion"/>
  </si>
  <si>
    <r>
      <t xml:space="preserve"> </t>
    </r>
    <r>
      <rPr>
        <b/>
        <sz val="11"/>
        <color indexed="12"/>
        <rFont val="굴림체"/>
        <family val="3"/>
        <charset val="129"/>
      </rPr>
      <t>현택, 현불, 착택, 착불, 화물, 직배송</t>
    </r>
    <r>
      <rPr>
        <sz val="9"/>
        <color indexed="12"/>
        <rFont val="굴림체"/>
        <family val="3"/>
        <charset val="129"/>
      </rPr>
      <t xml:space="preserve"> 中 1개 표기</t>
    </r>
    <phoneticPr fontId="1" type="noConversion"/>
  </si>
  <si>
    <t>측면
바</t>
    <phoneticPr fontId="1" type="noConversion"/>
  </si>
  <si>
    <t>W</t>
    <phoneticPr fontId="1" type="noConversion"/>
  </si>
  <si>
    <t>H</t>
    <phoneticPr fontId="1" type="noConversion"/>
  </si>
  <si>
    <r>
      <rPr>
        <b/>
        <sz val="9"/>
        <color indexed="12"/>
        <rFont val="굴림체"/>
        <family val="3"/>
        <charset val="129"/>
      </rPr>
      <t xml:space="preserve"> </t>
    </r>
    <r>
      <rPr>
        <b/>
        <sz val="11"/>
        <color indexed="12"/>
        <rFont val="굴림체"/>
        <family val="3"/>
        <charset val="129"/>
      </rPr>
      <t>입력 or 공란</t>
    </r>
    <phoneticPr fontId="1" type="noConversion"/>
  </si>
  <si>
    <t>종  류</t>
    <phoneticPr fontId="1" type="noConversion"/>
  </si>
  <si>
    <t>색  상</t>
    <phoneticPr fontId="1" type="noConversion"/>
  </si>
  <si>
    <t>락킹바</t>
    <phoneticPr fontId="10" type="noConversion"/>
  </si>
  <si>
    <t>좌</t>
    <phoneticPr fontId="10" type="noConversion"/>
  </si>
  <si>
    <t>우</t>
    <phoneticPr fontId="10" type="noConversion"/>
  </si>
  <si>
    <t>비고</t>
    <phoneticPr fontId="1" type="noConversion"/>
  </si>
  <si>
    <t>방충망 {바} 절단 치수</t>
    <phoneticPr fontId="1" type="noConversion"/>
  </si>
  <si>
    <t>수량</t>
    <phoneticPr fontId="1" type="noConversion"/>
  </si>
  <si>
    <t>측면
바</t>
    <phoneticPr fontId="1" type="noConversion"/>
  </si>
  <si>
    <t>특이</t>
    <phoneticPr fontId="1" type="noConversion"/>
  </si>
  <si>
    <t>할인율</t>
    <phoneticPr fontId="1" type="noConversion"/>
  </si>
  <si>
    <t>블랙</t>
    <phoneticPr fontId="1" type="noConversion"/>
  </si>
  <si>
    <t>화이트</t>
    <phoneticPr fontId="1" type="noConversion"/>
  </si>
  <si>
    <t>MS</t>
    <phoneticPr fontId="1" type="noConversion"/>
  </si>
  <si>
    <t>단가</t>
    <phoneticPr fontId="1" type="noConversion"/>
  </si>
  <si>
    <t>끈금액</t>
    <phoneticPr fontId="1" type="noConversion"/>
  </si>
  <si>
    <t>화이트</t>
    <phoneticPr fontId="1" type="noConversion"/>
  </si>
  <si>
    <t>사출색상↓</t>
    <phoneticPr fontId="1" type="noConversion"/>
  </si>
  <si>
    <t>블랙</t>
    <phoneticPr fontId="1" type="noConversion"/>
  </si>
  <si>
    <t>실버</t>
    <phoneticPr fontId="1" type="noConversion"/>
  </si>
  <si>
    <t>아이보리</t>
    <phoneticPr fontId="1" type="noConversion"/>
  </si>
  <si>
    <t>브라운</t>
    <phoneticPr fontId="1" type="noConversion"/>
  </si>
  <si>
    <t>등록번호</t>
    <phoneticPr fontId="22" type="noConversion"/>
  </si>
  <si>
    <t>1 2 6 - 8 6 - 4 4 2 7 9</t>
    <phoneticPr fontId="22" type="noConversion"/>
  </si>
  <si>
    <t>작성요령</t>
    <phoneticPr fontId="1" type="noConversion"/>
  </si>
  <si>
    <t>현장</t>
    <phoneticPr fontId="22" type="noConversion"/>
  </si>
  <si>
    <t>주    소</t>
    <phoneticPr fontId="22" type="noConversion"/>
  </si>
  <si>
    <t xml:space="preserve"> 경북 경산시 압량면 내리길25길 42 가동</t>
    <phoneticPr fontId="22" type="noConversion"/>
  </si>
  <si>
    <t>수량</t>
  </si>
  <si>
    <t>비  고</t>
    <phoneticPr fontId="22" type="noConversion"/>
  </si>
  <si>
    <t>합  계</t>
    <phoneticPr fontId="22" type="noConversion"/>
  </si>
  <si>
    <t>특이사항</t>
    <phoneticPr fontId="22" type="noConversion"/>
  </si>
  <si>
    <t>주식회사 인트라락  http://www.intralock.co.kr</t>
    <phoneticPr fontId="1" type="noConversion"/>
  </si>
  <si>
    <t>외부유출엄금-대외비</t>
    <phoneticPr fontId="22" type="noConversion"/>
  </si>
  <si>
    <t>귀중</t>
    <phoneticPr fontId="22" type="noConversion"/>
  </si>
  <si>
    <t>상    호</t>
    <phoneticPr fontId="22" type="noConversion"/>
  </si>
  <si>
    <t>(주)인트라락</t>
    <phoneticPr fontId="22" type="noConversion"/>
  </si>
  <si>
    <t>대 표 자</t>
    <phoneticPr fontId="22" type="noConversion"/>
  </si>
  <si>
    <t>서윤현</t>
    <phoneticPr fontId="22" type="noConversion"/>
  </si>
  <si>
    <t>* 당사 담당자 :</t>
    <phoneticPr fontId="22" type="noConversion"/>
  </si>
  <si>
    <t>업    태</t>
    <phoneticPr fontId="22" type="noConversion"/>
  </si>
  <si>
    <t>제조,도소매</t>
    <phoneticPr fontId="22" type="noConversion"/>
  </si>
  <si>
    <t>종    목</t>
    <phoneticPr fontId="22" type="noConversion"/>
  </si>
  <si>
    <t>샷시부속</t>
    <phoneticPr fontId="22" type="noConversion"/>
  </si>
  <si>
    <t>* 담당 연락처 :</t>
    <phoneticPr fontId="22" type="noConversion"/>
  </si>
  <si>
    <t>전    화</t>
    <phoneticPr fontId="22" type="noConversion"/>
  </si>
  <si>
    <t>팩    스</t>
    <phoneticPr fontId="22" type="noConversion"/>
  </si>
  <si>
    <t>금 액  :</t>
    <phoneticPr fontId="22" type="noConversion"/>
  </si>
  <si>
    <t>타입 / 색상</t>
    <phoneticPr fontId="22" type="noConversion"/>
  </si>
  <si>
    <t>가로(W)</t>
    <phoneticPr fontId="22" type="noConversion"/>
  </si>
  <si>
    <t>세로(H)</t>
    <phoneticPr fontId="22" type="noConversion"/>
  </si>
  <si>
    <t>단 가</t>
    <phoneticPr fontId="22" type="noConversion"/>
  </si>
  <si>
    <t>공급가액</t>
    <phoneticPr fontId="22" type="noConversion"/>
  </si>
  <si>
    <t>세  액</t>
    <phoneticPr fontId="22" type="noConversion"/>
  </si>
  <si>
    <t>비  고</t>
    <phoneticPr fontId="22" type="noConversion"/>
  </si>
  <si>
    <t>우측동일</t>
  </si>
  <si>
    <t>우측동일</t>
    <phoneticPr fontId="1" type="noConversion"/>
  </si>
  <si>
    <t>1. 문서종류 선택 - 견적서 or 청구서</t>
    <phoneticPr fontId="1" type="noConversion"/>
  </si>
  <si>
    <t>3. 현장명 입력 - 없으면 생략</t>
    <phoneticPr fontId="1" type="noConversion"/>
  </si>
  <si>
    <t>4. 시공비, 기타사항은 분홍색 란에 입력</t>
    <phoneticPr fontId="1" type="noConversion"/>
  </si>
  <si>
    <t>5. 비고 및 특이사항 입력 (끝)</t>
    <phoneticPr fontId="1" type="noConversion"/>
  </si>
  <si>
    <t>이기선</t>
    <phoneticPr fontId="1" type="noConversion"/>
  </si>
  <si>
    <t>* 일      자 :</t>
    <phoneticPr fontId="22" type="noConversion"/>
  </si>
  <si>
    <t>2. 거래처명, 일자 입력</t>
    <phoneticPr fontId="1" type="noConversion"/>
  </si>
  <si>
    <t>수량</t>
    <phoneticPr fontId="1" type="noConversion"/>
  </si>
  <si>
    <t>W</t>
    <phoneticPr fontId="1" type="noConversion"/>
  </si>
  <si>
    <t>H</t>
    <phoneticPr fontId="1" type="noConversion"/>
  </si>
  <si>
    <t>비고</t>
    <phoneticPr fontId="26" type="noConversion"/>
  </si>
  <si>
    <t>공용A, 김성진B, 김지수C, 이기선D, 박상용E, 정상호F, 박영재G, 정호정H, 박수진I, 최온후J, 김지훈K</t>
    <phoneticPr fontId="1" type="noConversion"/>
  </si>
  <si>
    <t>김성진</t>
    <phoneticPr fontId="1" type="noConversion"/>
  </si>
  <si>
    <t>박영재</t>
    <phoneticPr fontId="1" type="noConversion"/>
  </si>
  <si>
    <t>정호정</t>
    <phoneticPr fontId="1" type="noConversion"/>
  </si>
  <si>
    <t>김지훈</t>
    <phoneticPr fontId="1" type="noConversion"/>
  </si>
  <si>
    <t>김지수</t>
    <phoneticPr fontId="1" type="noConversion"/>
  </si>
  <si>
    <t>정상호</t>
    <phoneticPr fontId="1" type="noConversion"/>
  </si>
  <si>
    <t>박수진</t>
    <phoneticPr fontId="1" type="noConversion"/>
  </si>
  <si>
    <t>B</t>
    <phoneticPr fontId="1" type="noConversion"/>
  </si>
  <si>
    <t>010-2517-8070</t>
    <phoneticPr fontId="1" type="noConversion"/>
  </si>
  <si>
    <t>010-7506-8622</t>
    <phoneticPr fontId="1" type="noConversion"/>
  </si>
  <si>
    <t>010-3862-4455</t>
    <phoneticPr fontId="1" type="noConversion"/>
  </si>
  <si>
    <t>010-4664-6566</t>
    <phoneticPr fontId="1" type="noConversion"/>
  </si>
  <si>
    <t>010-6259-8552</t>
    <phoneticPr fontId="1" type="noConversion"/>
  </si>
  <si>
    <t>010-9175-3260</t>
    <phoneticPr fontId="1" type="noConversion"/>
  </si>
  <si>
    <t>010-3578-3702</t>
    <phoneticPr fontId="1" type="noConversion"/>
  </si>
  <si>
    <t>010-4785-6893</t>
    <phoneticPr fontId="1" type="noConversion"/>
  </si>
  <si>
    <t>G</t>
    <phoneticPr fontId="1" type="noConversion"/>
  </si>
  <si>
    <t>H</t>
    <phoneticPr fontId="1" type="noConversion"/>
  </si>
  <si>
    <t>K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</si>
  <si>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</si>
  <si>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</si>
  <si>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</si>
  <si>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I</t>
    <phoneticPr fontId="1" type="noConversion"/>
  </si>
  <si>
    <t>031-769-4326</t>
    <phoneticPr fontId="1" type="noConversion"/>
  </si>
  <si>
    <t>영업부</t>
    <phoneticPr fontId="1" type="noConversion"/>
  </si>
  <si>
    <t>A</t>
    <phoneticPr fontId="1" type="noConversion"/>
  </si>
  <si>
    <t>031-703-4323</t>
    <phoneticPr fontId="1" type="noConversion"/>
  </si>
  <si>
    <t>053-964-4321</t>
    <phoneticPr fontId="1" type="noConversion"/>
  </si>
  <si>
    <t>서울사무소-경기 광주시 오포읍 포은대로 435</t>
    <phoneticPr fontId="1" type="noConversion"/>
  </si>
  <si>
    <t xml:space="preserve"> </t>
    <phoneticPr fontId="1" type="noConversion"/>
  </si>
  <si>
    <t>-</t>
    <phoneticPr fontId="1" type="noConversion"/>
  </si>
  <si>
    <t>*색상</t>
    <phoneticPr fontId="28" type="noConversion"/>
  </si>
  <si>
    <t>*담당자</t>
    <phoneticPr fontId="28" type="noConversion"/>
  </si>
  <si>
    <t>색상</t>
    <phoneticPr fontId="28" type="noConversion"/>
  </si>
  <si>
    <t>배율</t>
    <phoneticPr fontId="28" type="noConversion"/>
  </si>
  <si>
    <t>담당</t>
    <phoneticPr fontId="28" type="noConversion"/>
  </si>
  <si>
    <t>코드</t>
    <phoneticPr fontId="28" type="noConversion"/>
  </si>
  <si>
    <t>휴대번화</t>
    <phoneticPr fontId="28" type="noConversion"/>
  </si>
  <si>
    <t>전화</t>
    <phoneticPr fontId="28" type="noConversion"/>
  </si>
  <si>
    <t>팩스</t>
    <phoneticPr fontId="28" type="noConversion"/>
  </si>
  <si>
    <t>주소 / 참고</t>
    <phoneticPr fontId="28" type="noConversion"/>
  </si>
  <si>
    <t>←</t>
    <phoneticPr fontId="19" type="noConversion"/>
  </si>
  <si>
    <t>견적/청구 선택</t>
    <phoneticPr fontId="19" type="noConversion"/>
  </si>
  <si>
    <t>부가세 선택</t>
    <phoneticPr fontId="19" type="noConversion"/>
  </si>
  <si>
    <t>) 부가세별도</t>
  </si>
  <si>
    <t>사출색상</t>
    <phoneticPr fontId="28" type="noConversion"/>
  </si>
  <si>
    <t>종류</t>
    <phoneticPr fontId="28" type="noConversion"/>
  </si>
  <si>
    <t>끈</t>
    <phoneticPr fontId="1" type="noConversion"/>
  </si>
  <si>
    <r>
      <rPr>
        <b/>
        <sz val="10"/>
        <color indexed="8"/>
        <rFont val="굴림체"/>
        <family val="3"/>
        <charset val="129"/>
      </rPr>
      <t xml:space="preserve">* </t>
    </r>
    <r>
      <rPr>
        <b/>
        <sz val="10"/>
        <color indexed="10"/>
        <rFont val="굴림체"/>
        <family val="3"/>
        <charset val="129"/>
      </rPr>
      <t xml:space="preserve">규격 </t>
    </r>
    <r>
      <rPr>
        <sz val="10"/>
        <color indexed="8"/>
        <rFont val="굴림체"/>
        <family val="3"/>
        <charset val="129"/>
      </rPr>
      <t xml:space="preserve">
</t>
    </r>
    <r>
      <rPr>
        <b/>
        <sz val="10"/>
        <color indexed="8"/>
        <rFont val="굴림체"/>
        <family val="3"/>
        <charset val="129"/>
      </rPr>
      <t/>
    </r>
    <phoneticPr fontId="1" type="noConversion"/>
  </si>
  <si>
    <r>
      <rPr>
        <b/>
        <sz val="10"/>
        <color theme="1"/>
        <rFont val="굴림체"/>
        <family val="3"/>
        <charset val="129"/>
      </rPr>
      <t>*</t>
    </r>
    <r>
      <rPr>
        <b/>
        <sz val="10"/>
        <color rgb="FF00B0F0"/>
        <rFont val="굴림체"/>
        <family val="3"/>
        <charset val="129"/>
      </rPr>
      <t xml:space="preserve"> </t>
    </r>
    <r>
      <rPr>
        <b/>
        <sz val="10"/>
        <color rgb="FF0070C0"/>
        <rFont val="굴림체"/>
        <family val="3"/>
        <charset val="129"/>
      </rPr>
      <t>단가</t>
    </r>
    <phoneticPr fontId="1" type="noConversion"/>
  </si>
  <si>
    <t>100원 단위</t>
    <phoneticPr fontId="1" type="noConversion"/>
  </si>
  <si>
    <t>배송지상호</t>
    <phoneticPr fontId="1" type="noConversion"/>
  </si>
  <si>
    <t>배송지전화</t>
    <phoneticPr fontId="1" type="noConversion"/>
  </si>
  <si>
    <t>방충망 생산의뢰서</t>
    <phoneticPr fontId="1" type="noConversion"/>
  </si>
  <si>
    <t>○</t>
  </si>
  <si>
    <t>장부명</t>
  </si>
  <si>
    <t>팀</t>
    <phoneticPr fontId="70" type="noConversion"/>
  </si>
  <si>
    <t>사업주소</t>
  </si>
  <si>
    <t>전화1</t>
  </si>
  <si>
    <t>대전 유성구 박산로 62 (구암동)</t>
  </si>
  <si>
    <t>042-824-7776</t>
  </si>
  <si>
    <t>-</t>
  </si>
  <si>
    <t>충남 천안시 동남구 봉정로 21-2(봉명동)</t>
  </si>
  <si>
    <t>041-573-2958</t>
  </si>
  <si>
    <t>충남 당진시 신평면 신평길 46</t>
  </si>
  <si>
    <t>강원도 원주시 개운동 495</t>
  </si>
  <si>
    <t>대전 중구 보문산로 363, 3층(문화동)</t>
  </si>
  <si>
    <t>042-581-3501</t>
  </si>
  <si>
    <t>인천 남동구 도림동 586-2</t>
  </si>
  <si>
    <t>032-446-0762</t>
  </si>
  <si>
    <t>경북 칠곡 가산면 학신로 79</t>
  </si>
  <si>
    <t>054-973-4603</t>
  </si>
  <si>
    <t>경기 안산 단원구 성곡동 615-2</t>
  </si>
  <si>
    <t>031-417-3450</t>
  </si>
  <si>
    <t>대전 서구 계룡로629번길 68 (탄방동)</t>
  </si>
  <si>
    <t>010-5409-6507</t>
  </si>
  <si>
    <t>경북 김천 봉산면 봉산1로 185</t>
  </si>
  <si>
    <t>054-431-4415</t>
  </si>
  <si>
    <t>경기 용인 기흥구 중부대로 411 (신갈동)</t>
  </si>
  <si>
    <t>031-300-0760</t>
  </si>
  <si>
    <t>인천 서구 길주로 34 (석남동)</t>
  </si>
  <si>
    <t>032-572-2428</t>
  </si>
  <si>
    <t>강원 원주 강변로 119,106-202(단구동,유숭아파트)</t>
  </si>
  <si>
    <t>경북 구미 인동가산로 473-38 (신동)</t>
  </si>
  <si>
    <t>대구 달서구 유천동 175</t>
  </si>
  <si>
    <t>053-653-7827</t>
  </si>
  <si>
    <t>경남 창원시 의창구 의창대로 272번길 3(중동)</t>
  </si>
  <si>
    <t>055-252-9212</t>
  </si>
  <si>
    <t>인천 동구 방축로83번길 23 송림동,산업용품센타30동132호)</t>
  </si>
  <si>
    <t>032-589-7037</t>
  </si>
  <si>
    <t>대구광역시 중구 태평로 25(달성동)</t>
  </si>
  <si>
    <t>010-5292-8778</t>
  </si>
  <si>
    <t>인천 남구 숭의동 190-37 2층</t>
  </si>
  <si>
    <t>032-885-9904</t>
  </si>
  <si>
    <t>경기 남양주 오남읍 진건오남로512번길 25-1, 109동901호(신우아이딜1차아파트)</t>
  </si>
  <si>
    <t>010-8712-7335</t>
  </si>
  <si>
    <t>광주 서구 풍서좌로 311-1 (세하동)</t>
  </si>
  <si>
    <t>062-952-9533</t>
  </si>
  <si>
    <t>서울 강남구 봉은사로 219, 4층(논현동,두남빌딩)</t>
  </si>
  <si>
    <t>061-383-9114</t>
  </si>
  <si>
    <t>031-656-8600</t>
  </si>
  <si>
    <t>053-622-7820</t>
  </si>
  <si>
    <t>충북 청주 흥덕 장암동 264-1</t>
  </si>
  <si>
    <t>043-293-8348</t>
  </si>
  <si>
    <t>경북 경산시 계양동 675-1</t>
  </si>
  <si>
    <t>충남 아산 둔포면 관대리 35</t>
  </si>
  <si>
    <t>041-531-0744</t>
  </si>
  <si>
    <t>인천 부평 장제로340번길 5, 401호(삼산동,덕성빌딩)</t>
  </si>
  <si>
    <t>032-299-7742</t>
  </si>
  <si>
    <t>대전 동구 대전천동로 710 (삼성동,3층)</t>
  </si>
  <si>
    <t>042-471-3870</t>
  </si>
  <si>
    <t>충남 아산 둔포면 관대안길 91-5</t>
  </si>
  <si>
    <t>041-533-5852</t>
  </si>
  <si>
    <t>전북 고창 고창읍 월곡원길 39</t>
  </si>
  <si>
    <t>063-564-9511</t>
  </si>
  <si>
    <t>경기 평택 장당동 182-4</t>
  </si>
  <si>
    <t>031-664-3100</t>
  </si>
  <si>
    <t>울산 남구 삼산동 170-13</t>
  </si>
  <si>
    <t>053-561-0989</t>
  </si>
  <si>
    <t>02-491-2165</t>
  </si>
  <si>
    <t>전북 전주 덕진구 신복천변1길 14-39 (팔복동1가)</t>
  </si>
  <si>
    <t>063-212-8170</t>
  </si>
  <si>
    <t>경기 파주 조리읍 은골길 273-7</t>
  </si>
  <si>
    <t>031-944-9138</t>
  </si>
  <si>
    <t>경기 파주 조리 장곡 44-4</t>
  </si>
  <si>
    <t>경남 창원시 마산합포구 경남대학로 7 (월영동)</t>
  </si>
  <si>
    <t>충남 예산 고덕면 예덕로 596</t>
  </si>
  <si>
    <t>041-668-5542</t>
  </si>
  <si>
    <t>울산시 중구 성안 13길 34(성안동)</t>
  </si>
  <si>
    <t>052-287-3605</t>
  </si>
  <si>
    <t>대구 동구 방촌동 1084-34</t>
  </si>
  <si>
    <t>053-985-2881</t>
  </si>
  <si>
    <t>경기도 광주시 광남안로 104-20 (태전동)</t>
  </si>
  <si>
    <t>031-766-6410</t>
  </si>
  <si>
    <t>054-336-7742</t>
  </si>
  <si>
    <t>경북 경산 원효로40길 30-7(사동)</t>
  </si>
  <si>
    <t>053-812-4606</t>
  </si>
  <si>
    <t>인천 남구 주안동 866-119</t>
  </si>
  <si>
    <t>063-837-2000</t>
  </si>
  <si>
    <t>경북 경산시 원효로40길 58-6 (사동)</t>
  </si>
  <si>
    <t>053-802-6233</t>
  </si>
  <si>
    <t>경북 구미 사곡 484-12</t>
  </si>
  <si>
    <t>인천시 남동구 논고개로 325 (도림동,15블럭11롯트)</t>
  </si>
  <si>
    <t>032-441-0380</t>
  </si>
  <si>
    <t>대전 유성구 박산로 62(구암동)</t>
  </si>
  <si>
    <t>경북 경산 대평동 60-1</t>
  </si>
  <si>
    <t>경기 고양 일산 지영동 1025</t>
  </si>
  <si>
    <t>031-977-7195</t>
  </si>
  <si>
    <t>대전 유성구 교촌대정로 202 (대정동)</t>
  </si>
  <si>
    <t>041-736-0907</t>
  </si>
  <si>
    <t>경기도 용인시 기흥구 한보라2로28번길 11-10. 101호(보라동)</t>
  </si>
  <si>
    <t>031-285-8996</t>
  </si>
  <si>
    <t>인천광역시 계양구 계산로 62(계산동)</t>
  </si>
  <si>
    <t>031-470-6182</t>
  </si>
  <si>
    <t>서울시 광진구 뚝섬로 48길 15, 1층(자양동)</t>
  </si>
  <si>
    <t>02-457-3335</t>
  </si>
  <si>
    <t>전북 완주군 이서면 콩쥐팥쥐로 1296-102</t>
  </si>
  <si>
    <t>063-242-0574</t>
  </si>
  <si>
    <t>인천 남동구 만경로 3 (만수동)</t>
  </si>
  <si>
    <t>031-413-0408</t>
  </si>
  <si>
    <t>인천광역시 부평구 부평문화로 115번길 50(부평동)</t>
  </si>
  <si>
    <t>032-512-3838</t>
  </si>
  <si>
    <t>경기 용인 처인구 마평동 638-5 2층</t>
  </si>
  <si>
    <t>031-336-3345</t>
  </si>
  <si>
    <t>경기 광명 하안동 460</t>
  </si>
  <si>
    <t>02-898-0481</t>
  </si>
  <si>
    <t>경북 경산시 자인면 계남길 73</t>
  </si>
  <si>
    <t>053-801-3030</t>
  </si>
  <si>
    <t>경기도 김포시 고촌면 신곡리 1062-4</t>
  </si>
  <si>
    <t>대구시 동구 화랑로 108길 5(용계동)</t>
  </si>
  <si>
    <t>053-965-0226</t>
  </si>
  <si>
    <t>경기 수원 권선구 고색동 181-1</t>
  </si>
  <si>
    <t>031-291-9801</t>
  </si>
  <si>
    <t>광주 광산구 신창동 1086-13 A동</t>
  </si>
  <si>
    <t>062-955-7410</t>
  </si>
  <si>
    <t>서울 성북구 인촌로 73 (안암동5가)</t>
  </si>
  <si>
    <t>02-920-5262</t>
  </si>
  <si>
    <t>경북 칠곡 동명면 봉암리 170-1</t>
  </si>
  <si>
    <t>054-976-4439</t>
  </si>
  <si>
    <t>서울 서초구 효령로 336, 6층(서초동,윤일빌딩)</t>
  </si>
  <si>
    <t>02-525-0983</t>
  </si>
  <si>
    <t>대전 서구 도산로 334 (용문동)</t>
  </si>
  <si>
    <t>042-537-4451</t>
  </si>
  <si>
    <t>충북 진천군 덕상면 정동로 9, 210호(태양광기술지원센터)</t>
  </si>
  <si>
    <t>전북 정읍 용계동 37-2</t>
  </si>
  <si>
    <t>063-226-6929</t>
  </si>
  <si>
    <t>경기 용인 처인구 백암면 백봉리 587-2</t>
  </si>
  <si>
    <t>031-322-4150</t>
  </si>
  <si>
    <t>제주 제주 고마로 110, 101동 303호(일도이동)</t>
  </si>
  <si>
    <t>031-484-3200</t>
  </si>
  <si>
    <t>서울 종로구 인의동 112-2 세운스퀘어 테크노관1층 121</t>
  </si>
  <si>
    <t>02-2279-2270</t>
  </si>
  <si>
    <t>서울 영등포구 당산동 6가 350-14</t>
  </si>
  <si>
    <t>서울 송파구 가락동 79-5 밀라아나2차 803</t>
  </si>
  <si>
    <t>서울시 영등포구 여의대방로 43라길 6 (신길동, 신길프라자3층)</t>
  </si>
  <si>
    <t>02-6217-3105</t>
  </si>
  <si>
    <t>서울 광진구 화양동 101-3</t>
  </si>
  <si>
    <t>경기도 남양주시 진건읍 독정로성지2길 104, 나동2층</t>
  </si>
  <si>
    <t>031-575-1729</t>
  </si>
  <si>
    <t>광주 북구 고운로13번길 11(용봉동)</t>
  </si>
  <si>
    <t>062-373-2815</t>
  </si>
  <si>
    <t>대전 동구 대동 403-14</t>
  </si>
  <si>
    <t>042-672-4204</t>
  </si>
  <si>
    <t>대전 중구 산성동 144-6  17</t>
  </si>
  <si>
    <t>042-582-2721</t>
  </si>
  <si>
    <t>대구 동구 불로동 1072-4</t>
  </si>
  <si>
    <t>053-981-6637</t>
  </si>
  <si>
    <t>전남 영광 홍농읍 상하리 256-3, 시장상가지상4호</t>
  </si>
  <si>
    <t>062-251-0476</t>
  </si>
  <si>
    <t>서울 구로구 구로 604-1 공구상가 D-29-210</t>
  </si>
  <si>
    <t>전북 익산 영등동 271</t>
  </si>
  <si>
    <t>063-851-4000</t>
  </si>
  <si>
    <t>대구 달서구 성지로 42 804-702(용산동,성서8주공아파트)</t>
  </si>
  <si>
    <t>010-3525-1958</t>
  </si>
  <si>
    <t>광주 북구 중흥 700-14</t>
  </si>
  <si>
    <t>062-529-3014</t>
  </si>
  <si>
    <t>경남 창원 의창구 남산로 27번길 2 (팔용동,선산빌딩3층)</t>
  </si>
  <si>
    <t>055-262-2678</t>
  </si>
  <si>
    <t>광주시 북구 군왕로 17 (풍향동)</t>
  </si>
  <si>
    <t>062-512-2616</t>
  </si>
  <si>
    <t>대구 동구 신덕로 116-20(신평동)</t>
  </si>
  <si>
    <t>053-961-7803</t>
  </si>
  <si>
    <t>서울 구로구 경인로 638 102-102(신도림동, 신도림에스케이뷰)</t>
  </si>
  <si>
    <t>02-2672-0959</t>
  </si>
  <si>
    <t>경기 구리 벌말로 226 (수택동)</t>
  </si>
  <si>
    <t>010-2632-8132</t>
  </si>
  <si>
    <t>전남 완도군 완도읍 개포로 62번길 17-12, 1층</t>
  </si>
  <si>
    <t>061-550-0922</t>
  </si>
  <si>
    <t>대구 북구 유통단지로 16, 16동 21(산격동, 유통단지산업용재관)</t>
  </si>
  <si>
    <t>053-944-6691</t>
  </si>
  <si>
    <t>서울 서대문구 충정로 36 (충정로3가,국민연금관리공단충정로사옥9,13층)</t>
  </si>
  <si>
    <t>010-6800-5480</t>
  </si>
  <si>
    <t>064-733-1885</t>
  </si>
  <si>
    <t>광주 북구 신안동 163-11번지</t>
  </si>
  <si>
    <t>062-525-3885</t>
  </si>
  <si>
    <t>대전 서구 가장동 34-34</t>
  </si>
  <si>
    <t>042-526-7885</t>
  </si>
  <si>
    <t>충남 금산군 금산읍 금산로 1501</t>
  </si>
  <si>
    <t>041-752-5351</t>
  </si>
  <si>
    <t>경남 양산시 내연3길 12(평산동)</t>
  </si>
  <si>
    <t>055-367-3539</t>
  </si>
  <si>
    <t>경기 수원 장안구 이목로 39 (정자동)</t>
  </si>
  <si>
    <t>031-237-8845</t>
  </si>
  <si>
    <t>경기도 부천시 원미구 수도로 76번길 22(도담동, 1층)</t>
  </si>
  <si>
    <t>032-671-5700</t>
  </si>
  <si>
    <t>경기 안양 동안구 호계동 555-9 안양국제유통단지 26-105</t>
  </si>
  <si>
    <t>031-388-1188</t>
  </si>
  <si>
    <t>서울시 노원구 동일로 175길 12-4 2층(공릉동)</t>
  </si>
  <si>
    <t>031-529-0277</t>
  </si>
  <si>
    <t>충남 천안시 동남구 수신면 신풍1길 12-65</t>
  </si>
  <si>
    <t>041-554-1284</t>
  </si>
  <si>
    <t>대구 달서구 상인동 1460-36</t>
  </si>
  <si>
    <t>053-636-2441</t>
  </si>
  <si>
    <t>대구 동구 동촌로 364 (용계동)</t>
  </si>
  <si>
    <t>053-983-6269</t>
  </si>
  <si>
    <t>서울특별시 강남구 봉은사로 304 (역삼동)</t>
  </si>
  <si>
    <t>02-2019-0102</t>
  </si>
  <si>
    <t>대구 동구 율하동 775-2</t>
  </si>
  <si>
    <t>053-423-7085</t>
  </si>
  <si>
    <t>서울시 서초구 남부순환로 356길 95-15, 201호(양재동, 연이회관)</t>
  </si>
  <si>
    <t>02-6014-3669</t>
  </si>
  <si>
    <t>서울 동대문구 용두동 238-167</t>
  </si>
  <si>
    <t>02-922-0169</t>
  </si>
  <si>
    <t>063-633-3376</t>
  </si>
  <si>
    <t>울산 남구 여천동 1252-2</t>
  </si>
  <si>
    <t>052-275-9995</t>
  </si>
  <si>
    <t>서울시 중랑구 신내동 795 새한아파트 102-104</t>
  </si>
  <si>
    <t>경기 하남 초일동 37-3</t>
  </si>
  <si>
    <t>02-427-0682</t>
  </si>
  <si>
    <t>광주 서구 상무대로1194번길 2-31 (능성동)</t>
  </si>
  <si>
    <t>010-3622-0800</t>
  </si>
  <si>
    <t>서울 광진구 용마산로 180</t>
  </si>
  <si>
    <t>02-498-8545</t>
  </si>
  <si>
    <t>인천 부평구 부평동 439-1</t>
  </si>
  <si>
    <t>032-522-7720</t>
  </si>
  <si>
    <t>대구시 수성구 무학로 12, 5층 501호(상동)</t>
  </si>
  <si>
    <t>053-622-1590</t>
  </si>
  <si>
    <t>경기 고양 덕양구 무원로 41, 907-1502(행신동,무원마을907동1502호)</t>
  </si>
  <si>
    <t>010-3212-3227</t>
  </si>
  <si>
    <t>대구 동구 불로동 1012-2</t>
  </si>
  <si>
    <t>053-982-5766</t>
  </si>
  <si>
    <t>서울 동대문구 청계천로 433, 1층 4호 (신설동, 미우오피스텔1층)</t>
  </si>
  <si>
    <t>02-2238-0989</t>
  </si>
  <si>
    <t>서울시 종로구 돈화문로2길 8-3, 4호(장사동)</t>
  </si>
  <si>
    <t>02-2265-3333</t>
  </si>
  <si>
    <t>경기도 안산시 단원구 신촌1길 54, 201호(초지동)</t>
  </si>
  <si>
    <t>대전 동구 현암로 12(삼성동)</t>
  </si>
  <si>
    <t>042-624-4445</t>
  </si>
  <si>
    <t>전남 목포 산정 1390-9</t>
  </si>
  <si>
    <t>010-3633-1145</t>
  </si>
  <si>
    <t>대구 달서구 본리동 553-2</t>
  </si>
  <si>
    <t>053-527-1780</t>
  </si>
  <si>
    <t>인천 남동구 인주대로 747 (구월동,대종빌딩1층)</t>
  </si>
  <si>
    <t>032-462-8190</t>
  </si>
  <si>
    <t>인천시 남구 인주대로 346-1, 외2필지 1층(주만동)</t>
  </si>
  <si>
    <t>032-867-0202</t>
  </si>
  <si>
    <t>서울 중구 청계천로 100(수표동,시그니쳐타워스서울)</t>
  </si>
  <si>
    <t>02-6303-3544</t>
  </si>
  <si>
    <t>대구 동구 둔산로 204(방촌동)</t>
  </si>
  <si>
    <t>010-4578-8518</t>
  </si>
  <si>
    <t>경북 포항시 남구 중흥로 126번길8-1, 2층(상도동)</t>
  </si>
  <si>
    <t>부산 기장군 기장읍 기장대로 506</t>
  </si>
  <si>
    <t>051-724-7828</t>
  </si>
  <si>
    <t>경기 고양 덕양구 벽제동 512-21</t>
  </si>
  <si>
    <t>031-963-2391</t>
  </si>
  <si>
    <t>경기 하남 동남로424번길 23-10 (감일동,234)</t>
  </si>
  <si>
    <t>02-403-1388</t>
  </si>
  <si>
    <t>충남 천안 서북구 성환읍 연암로 371</t>
  </si>
  <si>
    <t>041-582-1426</t>
  </si>
  <si>
    <t>경기 화성 팔탄면 노하길470번길 6</t>
  </si>
  <si>
    <t>031-366-6391</t>
  </si>
  <si>
    <t>경기 광주 초월읍 선동리 230-8</t>
  </si>
  <si>
    <t>경기도 광주시 도척면 유정리 323-2 외 1</t>
  </si>
  <si>
    <t>031-765-5857</t>
  </si>
  <si>
    <t>서울 서초구 서초대로 53길 23, 4층,5층동 (서초동, 수성수빌딩)</t>
  </si>
  <si>
    <t>경북 포항시 남구 동해면 세오로 60</t>
  </si>
  <si>
    <t>경기 수원 영통구 중부대로 295 (원천동 외10필지)</t>
  </si>
  <si>
    <t>010-4185-0445</t>
  </si>
  <si>
    <t>인천 남구 석바위로 108-1 (주안동)</t>
  </si>
  <si>
    <t>010-6326-2054</t>
  </si>
  <si>
    <t>강원 원주 흥업면 사제리 790-1</t>
  </si>
  <si>
    <t>033-762-2460</t>
  </si>
  <si>
    <t>경기 수원 장안구 서부로 2179 203(율전동,프라임오피스텔)</t>
  </si>
  <si>
    <t>031-269-6460</t>
  </si>
  <si>
    <t>경기 양주 광적면 덕도리 691-2</t>
  </si>
  <si>
    <t>031-873-9967</t>
  </si>
  <si>
    <t>광주 서구 무진대로 631(유촌동)</t>
  </si>
  <si>
    <t>062-672-4412</t>
  </si>
  <si>
    <t>제주 서귀포 동홍동 496-10</t>
  </si>
  <si>
    <t>064-733-0064</t>
  </si>
  <si>
    <t>전남 순천 중앙2길 2 (장천동)</t>
  </si>
  <si>
    <t>061-746-0208</t>
  </si>
  <si>
    <t>경기 김포 대곶면 대곶북로305번길 118-44</t>
  </si>
  <si>
    <t>031-983-8985</t>
  </si>
  <si>
    <t>경기 김포 대곶면 석정리 61-1 61-8</t>
  </si>
  <si>
    <t>경기도 시흥시 금오로 212번길 7(무지내동)</t>
  </si>
  <si>
    <t>031-404-2956</t>
  </si>
  <si>
    <t>대구 달성 다사읍 서재본4길 25-3</t>
  </si>
  <si>
    <t>053-585-6321</t>
  </si>
  <si>
    <t>062-956-1711</t>
  </si>
  <si>
    <t>대전 유성구 벅선로 125-22 (구암동,1층일부)</t>
  </si>
  <si>
    <t>010-5455-6504</t>
  </si>
  <si>
    <t>경북 경산 장산로 279 (사동)</t>
  </si>
  <si>
    <t>010-8382-4646</t>
  </si>
  <si>
    <t>경기 고양 덕양구 서정로 66-8 (도내동)</t>
  </si>
  <si>
    <t>031-971-1608</t>
  </si>
  <si>
    <t>경기 의정부 평화로 9 (호원동)</t>
  </si>
  <si>
    <t>경북 구미 사곡 380</t>
  </si>
  <si>
    <t>054-463-0114</t>
  </si>
  <si>
    <t>043-848-4420</t>
  </si>
  <si>
    <t>041-736-8422</t>
  </si>
  <si>
    <t>061-244-5454</t>
  </si>
  <si>
    <t>전남 목포 산정동 1350-9</t>
  </si>
  <si>
    <t>061-245-1217</t>
  </si>
  <si>
    <t>053-254-3991</t>
  </si>
  <si>
    <t>경기 구리 수택동 437-16</t>
  </si>
  <si>
    <t>031-553-3304</t>
  </si>
  <si>
    <t>서울 강북구 노해로 114, 지하1층(수유동)</t>
  </si>
  <si>
    <t>02-900-5000</t>
  </si>
  <si>
    <t>강원 춘천 동면 소양강로 232</t>
  </si>
  <si>
    <t>033-255-2900</t>
  </si>
  <si>
    <t>대구 달성군 화원 비슬로485길 39</t>
  </si>
  <si>
    <t>053-639-7558</t>
  </si>
  <si>
    <t>광주 북구 하남대로 467 (동림동)</t>
  </si>
  <si>
    <t>062-513-5665</t>
  </si>
  <si>
    <t>광주 북구 하남대로 521 (동림동)</t>
  </si>
  <si>
    <t>062-524-6631</t>
  </si>
  <si>
    <t>대구 달성군 논공읍 논공중앙로 288</t>
  </si>
  <si>
    <t>053-610-5343</t>
  </si>
  <si>
    <t>경북 상주시 함창읍 윤직2길 6 (외)</t>
  </si>
  <si>
    <t>054-541-2488</t>
  </si>
  <si>
    <t>서울 서대문구 홍은동 172-7</t>
  </si>
  <si>
    <t>031-966-9737</t>
  </si>
  <si>
    <t>경북 상주시 신봉동 333-3</t>
  </si>
  <si>
    <t>054-535-4442</t>
  </si>
  <si>
    <t>대구 달성군 논공 논공중앙로 288</t>
  </si>
  <si>
    <t>경북 영주 가흥 201</t>
  </si>
  <si>
    <t>031-636-6575</t>
  </si>
  <si>
    <t>전북 전주 완산 효자 3 1051</t>
  </si>
  <si>
    <t>063-223-6442</t>
  </si>
  <si>
    <t>충북 제천 교동 52</t>
  </si>
  <si>
    <t>043-646-1541</t>
  </si>
  <si>
    <t>전남 여수 문수동 43-1</t>
  </si>
  <si>
    <t>061-651-2073</t>
  </si>
  <si>
    <t>충남 천안시 서북고 신당새터2길 78(신당동)</t>
  </si>
  <si>
    <t>041-574-7991</t>
  </si>
  <si>
    <t>경기 파주 야동동 124-12</t>
  </si>
  <si>
    <t>031-941-8458</t>
  </si>
  <si>
    <t>서울 금천구 가산동 345-30</t>
  </si>
  <si>
    <t>02-2026-1902</t>
  </si>
  <si>
    <t>광주 북구 하남대로 507 (동림동)</t>
  </si>
  <si>
    <t>062-523-1511</t>
  </si>
  <si>
    <t>경기 포천 영중면 백로주길 15</t>
  </si>
  <si>
    <t>031-536-0633</t>
  </si>
  <si>
    <t>경북 칠곡 왜관 낙산 142-2</t>
  </si>
  <si>
    <t>054-976-7637</t>
  </si>
  <si>
    <t>전남 나주시 남평읍 지석로 95</t>
  </si>
  <si>
    <t>061-331-2134</t>
  </si>
  <si>
    <t>인천시 남동구 남동대로 894(간석동, 강남빌딩4층)</t>
  </si>
  <si>
    <t>032-442-5026</t>
  </si>
  <si>
    <t>부산 부산진구 서전로 68번길 39, 2층 201호(전포동)</t>
  </si>
  <si>
    <t>051-639-9495</t>
  </si>
  <si>
    <t>충남 논산 반월동 199-6</t>
  </si>
  <si>
    <t>041-736-7084</t>
  </si>
  <si>
    <t>054-451-4079</t>
  </si>
  <si>
    <t>경기 파주 파주읍 통일로 1494, 나동 2호</t>
  </si>
  <si>
    <t>031-952-7135</t>
  </si>
  <si>
    <t>대전 동구 현암로 27-1, 1층(삼성동)</t>
  </si>
  <si>
    <t>042-627-0669</t>
  </si>
  <si>
    <t>경기도 안산시 단원구 다리간로 18, 4동 401층(고잔동)</t>
  </si>
  <si>
    <t>031-413-9913</t>
  </si>
  <si>
    <t>부산 해운대구 송정광어골로 76 (송정동)</t>
  </si>
  <si>
    <t>051-701-6662</t>
  </si>
  <si>
    <t>서울 서초구 동광로12가길 22, 502(방배동,대현빌딩)</t>
  </si>
  <si>
    <t>02-533-9404</t>
  </si>
  <si>
    <t>경기 양주 고덕로139번길 61-76(덕계동)</t>
  </si>
  <si>
    <t>031-867-9807</t>
  </si>
  <si>
    <t>경기도 화성시 비봉면 양노남길 74-2</t>
  </si>
  <si>
    <t>031-357-8308</t>
  </si>
  <si>
    <t>대구시 북구 칠성로17길 23(칠성동2가)</t>
  </si>
  <si>
    <t>053-958-9930</t>
  </si>
  <si>
    <t>서울 강동구 천호동 354 B동 101-102호</t>
  </si>
  <si>
    <t>02-470-5088</t>
  </si>
  <si>
    <t>경기도 평택시 서탄면 수월암길 117, 2동</t>
  </si>
  <si>
    <t>031-611-0057</t>
  </si>
  <si>
    <t>전남 영암 학산면 독천리 176-7</t>
  </si>
  <si>
    <t>대구 수성구 팔현길 88 (고모동)</t>
  </si>
  <si>
    <t>053-745-4834</t>
  </si>
  <si>
    <t>충북 청주 흥덕구 강내면 태성탑연로 95</t>
  </si>
  <si>
    <t>043-238-8978</t>
  </si>
  <si>
    <t>053-961-4600</t>
  </si>
  <si>
    <t>울산 북구 호계동 749-1</t>
  </si>
  <si>
    <t>경북 경산 장산로 39(옥곡동)</t>
  </si>
  <si>
    <t>경기 광명 기아로 24 (소하동,1층)</t>
  </si>
  <si>
    <t>010-5415-4501</t>
  </si>
  <si>
    <t>인천 부평구 경인로 1014(부개동)</t>
  </si>
  <si>
    <t>032-765-3465</t>
  </si>
  <si>
    <t>서울시 송파구 삼학사로 33(삼천동, 동원빌딩 3층)</t>
  </si>
  <si>
    <t>02-425-6484</t>
  </si>
  <si>
    <t>대구 달성군 다사읍 서재로36길 17-18, 104호(센텀팩토리)</t>
  </si>
  <si>
    <t>053-325-3628</t>
  </si>
  <si>
    <t>서울시 영등포구 선유동1로 4(당산동2가)</t>
  </si>
  <si>
    <t>02-2676-9861</t>
  </si>
  <si>
    <t>경기 광주 초월면 신월리 193</t>
  </si>
  <si>
    <t>031-764-2460</t>
  </si>
  <si>
    <t>대구 달성 하빈면 하산2길 37-18</t>
  </si>
  <si>
    <t>010-3512-0721</t>
  </si>
  <si>
    <t>충남 당진 합덕읍 미락5길 43</t>
  </si>
  <si>
    <t>041-363-3488</t>
  </si>
  <si>
    <t>경북 칠곡군 동명면 경북대로 157-20</t>
  </si>
  <si>
    <t>054-973-9789</t>
  </si>
  <si>
    <t>광주 북구 첨단연신로91번길 30, 3층 302호(신용동,삼성타워)</t>
  </si>
  <si>
    <t>경기 용인 기흥구 어정로 62-7 101-1101(상하동,갈천마을신일유토빌(아))</t>
  </si>
  <si>
    <t>031-281-0616</t>
  </si>
  <si>
    <t>경기도 용인시 기흥구 중부대로 724(상하동)</t>
  </si>
  <si>
    <t>인천광역시 서구 가좌동 606-16</t>
  </si>
  <si>
    <t>032-875-3045</t>
  </si>
  <si>
    <t>031-477-1232</t>
  </si>
  <si>
    <t>경기도 광명시 가학로 247-41(가학동)</t>
  </si>
  <si>
    <t>02-806-2033</t>
  </si>
  <si>
    <t>경북 포항 남구 대도동 649-5</t>
  </si>
  <si>
    <t>010-8599-1952</t>
  </si>
  <si>
    <t>경북 포항시 북구 흥해읍 해안로 1252, 1층</t>
  </si>
  <si>
    <t>대구시 북구 매천로 18길 34, 2층 (매천동)</t>
  </si>
  <si>
    <t>대구시 수성구 달구벌대로 2310 (수성동2가)</t>
  </si>
  <si>
    <t>053-740-2363</t>
  </si>
  <si>
    <t>대구 동구 동촌로 71 (검사동)</t>
  </si>
  <si>
    <t>053-980-3514</t>
  </si>
  <si>
    <t>대구 달서구 본리동 560-4</t>
  </si>
  <si>
    <t>010-3508-1085</t>
  </si>
  <si>
    <t>경북 칠곡 왜관읍 평장3길 50</t>
  </si>
  <si>
    <t>054-975-8709</t>
  </si>
  <si>
    <t>053-622-4864</t>
  </si>
  <si>
    <t>경북 안동 대안로 47 (당북동)</t>
  </si>
  <si>
    <t>054-857-8863</t>
  </si>
  <si>
    <t>경북 경주 외동읍 모화공단길 92</t>
  </si>
  <si>
    <t>054-746-3477</t>
  </si>
  <si>
    <t>경기 남양주 일패동 670-3</t>
  </si>
  <si>
    <t>031-595-0173</t>
  </si>
  <si>
    <t>서울 강서구 내발산동 737-190 1층</t>
  </si>
  <si>
    <t>02-2064-0681</t>
  </si>
  <si>
    <t>경북 경산 진량읍 다문로 170</t>
  </si>
  <si>
    <t>053-856-8381</t>
  </si>
  <si>
    <t>서울 양천구 신정동 935-2 1,2층</t>
  </si>
  <si>
    <t>02-2690-7443</t>
  </si>
  <si>
    <t>경기 화성 장안면 포승장안로 861-64</t>
  </si>
  <si>
    <t>031-351-3853</t>
  </si>
  <si>
    <t>서울 양천구 국회대로 140, 2층(신정동)</t>
  </si>
  <si>
    <t>서울시 금천구 시흥대로 97 12-117(시흥동, 시흥산업용재유통센타)</t>
  </si>
  <si>
    <t>02-892-3335</t>
  </si>
  <si>
    <t>광주 서구 하남대로 550번길 20(동천동)</t>
  </si>
  <si>
    <t>062-514-4704</t>
  </si>
  <si>
    <t>강원 원주 단구동 1517-4 현대A 107/1106</t>
  </si>
  <si>
    <t>010-5374-9176</t>
  </si>
  <si>
    <t>경기 시흥 수인로 2391 (논곡동)</t>
  </si>
  <si>
    <t>031-487-8794</t>
  </si>
  <si>
    <t>대구 서구 국채보상로57길 3(평리동)</t>
  </si>
  <si>
    <t>053-526-4174</t>
  </si>
  <si>
    <t>042-822-7721</t>
  </si>
  <si>
    <t>광주 광산구 목련로219번길 45, 203호(운남동,남양상가)</t>
  </si>
  <si>
    <t>062-956-2578</t>
  </si>
  <si>
    <t>전남 여수 화장동 811-14</t>
  </si>
  <si>
    <t>061-692-2001</t>
  </si>
  <si>
    <t>부산시 금정구 가마실로 76-1(부곡동)</t>
  </si>
  <si>
    <t>경북 김천시 구농고길 50(부곡동)</t>
  </si>
  <si>
    <t>경기 안양 동안구 호계동 944-12</t>
  </si>
  <si>
    <t>경북 구미시 공단동 110 제2주공아파트상가 301-2</t>
  </si>
  <si>
    <t>대구 북구 태전동 421-7</t>
  </si>
  <si>
    <t>010-8592-3192</t>
  </si>
  <si>
    <t>경북 경산 계양로16길 12(계양동)</t>
  </si>
  <si>
    <t>010-8550-4733</t>
  </si>
  <si>
    <t>전남 목포 산정동 1407-3</t>
  </si>
  <si>
    <t>061-242-8097</t>
  </si>
  <si>
    <t>강원 원주 단계동 799-6</t>
  </si>
  <si>
    <t>033-748-1547</t>
  </si>
  <si>
    <t>02-722-5475</t>
  </si>
  <si>
    <t>서울 동대문구 용두동 787 동의보감타워 1711</t>
  </si>
  <si>
    <t>02-3293-4701</t>
  </si>
  <si>
    <t>031-8042-2000</t>
  </si>
  <si>
    <t>서울시 노원구 노원로26가길 7, 101동 401호(상계동, 코오롱아파트)</t>
  </si>
  <si>
    <t>031-932-9526</t>
  </si>
  <si>
    <t>전북 군산 구암3.1로 324 (구암동)</t>
  </si>
  <si>
    <t>063-452-3080</t>
  </si>
  <si>
    <t>경기 용인 마평 535-3</t>
  </si>
  <si>
    <t>031-333-5617</t>
  </si>
  <si>
    <t>경기도 시흥시 황골길 57(방산동)</t>
  </si>
  <si>
    <t>063-226-4988</t>
  </si>
  <si>
    <t>서울 영등포구 영등포로 71-2(양평동1가)</t>
  </si>
  <si>
    <t>02-2633-8933</t>
  </si>
  <si>
    <t>충북 충주 산척면 천등박달로 370, 1</t>
  </si>
  <si>
    <t>043-878-6742</t>
  </si>
  <si>
    <t>대구 수성구 범어 256-1</t>
  </si>
  <si>
    <t>053-744-0744</t>
  </si>
  <si>
    <t>경기 용인 기흥구 영덕동 975-7 흥덕노블레스 303호</t>
  </si>
  <si>
    <t>031-216-6395</t>
  </si>
  <si>
    <t>대전 서구 조달청길 198 (도마동)</t>
  </si>
  <si>
    <t>042-526-1026</t>
  </si>
  <si>
    <t>서울 구로구 구로중앙로 198</t>
  </si>
  <si>
    <t>02-2633-9774</t>
  </si>
  <si>
    <t>경북 칠곡군 왜관읍 낙산리 303-2</t>
  </si>
  <si>
    <t>전북 익산 영등동 266-9</t>
  </si>
  <si>
    <t>063-857-1144</t>
  </si>
  <si>
    <t>서울 송파구 가락동 40-10</t>
  </si>
  <si>
    <t>02-400-1671</t>
  </si>
  <si>
    <t>대구 동구 안심로59길 15 (동호동)</t>
  </si>
  <si>
    <t>053-791-6490</t>
  </si>
  <si>
    <t>대구 달성군 옥포면 기산1길 3</t>
  </si>
  <si>
    <t>053-636-8750</t>
  </si>
  <si>
    <t>대전 대덕구 신일동 1693-5</t>
  </si>
  <si>
    <t>042-935-6142</t>
  </si>
  <si>
    <t>울산 동구 방어 987-15</t>
  </si>
  <si>
    <t>경북 포항 북구 흥해읍 새마을로331-18</t>
  </si>
  <si>
    <t>054-274-4000</t>
  </si>
  <si>
    <t>경기 수원 장안구 조원동 639-24 1층</t>
  </si>
  <si>
    <t>031-256-6043</t>
  </si>
  <si>
    <t>경북 포항 북구 흥해읍 새마을로 331-16 (2층)</t>
  </si>
  <si>
    <t>054-262-7761</t>
  </si>
  <si>
    <t>광주 북구 신안 297-1</t>
  </si>
  <si>
    <t>062-512-0092</t>
  </si>
  <si>
    <t>경기 광주 곤지암읍 내선길 235-6</t>
  </si>
  <si>
    <t>02-445-3181</t>
  </si>
  <si>
    <t>제주 제주 선반로2길 21-8 (화북일동)</t>
  </si>
  <si>
    <t>064-783-4005</t>
  </si>
  <si>
    <t>충북 청주 서원구 봉명로 236-3 (사창동)</t>
  </si>
  <si>
    <t>02-873-6700</t>
  </si>
  <si>
    <t>경기 성남 분당구 야탑동 353-1 영진다이비스상가 201호,202호</t>
  </si>
  <si>
    <t>경북 문경시 당교2길 28, 3층(모전동)</t>
  </si>
  <si>
    <t>054-555-1177</t>
  </si>
  <si>
    <t>제주 제주 부륵길 62 (화북이동)</t>
  </si>
  <si>
    <t>064-744-0211</t>
  </si>
  <si>
    <t>대구 수성구 국채보상로 1056-2 (만촌동)</t>
  </si>
  <si>
    <t>053-756-0694</t>
  </si>
  <si>
    <t>충북 충주시 삼원로 155 (교현동)</t>
  </si>
  <si>
    <t>서울특별시 중랑구 면목동 135-23</t>
  </si>
  <si>
    <t>042-829-3050</t>
  </si>
  <si>
    <t>서울 강서구 공항대로 48길 9(화곡동, 세림빌딩 4층)</t>
  </si>
  <si>
    <t>02-3665-6632</t>
  </si>
  <si>
    <t>경남 통영시 용남면 장문로 482</t>
  </si>
  <si>
    <t>전남 여수시 문수로 142(문수동)</t>
  </si>
  <si>
    <t>061-651-0404</t>
  </si>
  <si>
    <t>대구 수성구 범어 45-4 범어타워오피스텔1203</t>
  </si>
  <si>
    <t>053-744-5057</t>
  </si>
  <si>
    <t>063-277-1087</t>
  </si>
  <si>
    <t>경북 칠곡 지천면 연호리 216</t>
  </si>
  <si>
    <t>053-356-9193</t>
  </si>
  <si>
    <t>경북 경주 성건동 677-147</t>
  </si>
  <si>
    <t>054-771-9335</t>
  </si>
  <si>
    <t>광주 북구 동림동 925-17</t>
  </si>
  <si>
    <t>054-283-3587</t>
  </si>
  <si>
    <t>경북 경주 산내면 의곡중앙길 32</t>
  </si>
  <si>
    <t>053-766-5672</t>
  </si>
  <si>
    <t>경기 시흥 적살뚝길 15 (계수동)</t>
  </si>
  <si>
    <t>031-312-5511</t>
  </si>
  <si>
    <t>031-435-1252</t>
  </si>
  <si>
    <t>충남 아산시 신창면 행목로 11-28</t>
  </si>
  <si>
    <t>041-548-6176</t>
  </si>
  <si>
    <t>경기도 고양시 일산동구 고봉로 742, 723-4</t>
  </si>
  <si>
    <t>010-9008-9021</t>
  </si>
  <si>
    <t>경기 남양주 오남 양지 96</t>
  </si>
  <si>
    <t>031-575-4817</t>
  </si>
  <si>
    <t>전남 화수군 화순읍 진각로 124</t>
  </si>
  <si>
    <t>대구시 달성군 옥포면 옥포로 13</t>
  </si>
  <si>
    <t>광주 광산구 지죽동 357-1 1층</t>
  </si>
  <si>
    <t>062-366-7243</t>
  </si>
  <si>
    <t>031-976-7506</t>
  </si>
  <si>
    <t>충남 보령시 해수욕장 8길 70(신흑동)</t>
  </si>
  <si>
    <t>041-933-3534</t>
  </si>
  <si>
    <t>대구 북구 검단동 693-1</t>
  </si>
  <si>
    <t>053-381-4418</t>
  </si>
  <si>
    <t>강원도 춘천시 퇴계공단1길 56-11(퇴계동)</t>
  </si>
  <si>
    <t>033-263-9717</t>
  </si>
  <si>
    <t>전북 김제 백구면 번영로 2640-65</t>
  </si>
  <si>
    <t>063-544-6441</t>
  </si>
  <si>
    <t>서울 서초구 반포대로30길 81, 16층(서초동,웅진타워)</t>
  </si>
  <si>
    <t>02-577-1412</t>
  </si>
  <si>
    <t>경기도 화성시 정남면 서봉로851번길 85-13</t>
  </si>
  <si>
    <t>031-8059-7953</t>
  </si>
  <si>
    <t>02-433-3575</t>
  </si>
  <si>
    <t>인천시 남동구 인주대로 768-1 (구월동)</t>
  </si>
  <si>
    <t>032-471-6808</t>
  </si>
  <si>
    <t>서울 중랑구 상봉동 486-1 대화빌딩 9층</t>
  </si>
  <si>
    <t>041-554-7837</t>
  </si>
  <si>
    <t>대전 동구 성남동 495-4</t>
  </si>
  <si>
    <t>042-622-3535</t>
  </si>
  <si>
    <t>경기 의정부 의정부동 96-18</t>
  </si>
  <si>
    <t>031-871-4200</t>
  </si>
  <si>
    <t>서울 강남구 언주로90길 28(역삼동)</t>
  </si>
  <si>
    <t>02-558-6271</t>
  </si>
  <si>
    <t>경기 성남 분당구 백현동 545 백현마을 213-1903</t>
  </si>
  <si>
    <t>010-3551-4780</t>
  </si>
  <si>
    <t>서울 서초구 잠원동 42-10,11번지 701호</t>
  </si>
  <si>
    <t>02-549-2626</t>
  </si>
  <si>
    <t>경기 안성 공도읍 대신두길 103</t>
  </si>
  <si>
    <t>경남 양산시 상북면 소토리 17</t>
  </si>
  <si>
    <t>055-374-3072</t>
  </si>
  <si>
    <t>대전광역시 대덕구 계족로 521번길 79 202-207(중리동,영진상록아파트)</t>
  </si>
  <si>
    <t>경기 화성 향남읍 서봉로 677-1</t>
  </si>
  <si>
    <t>031-354-2995</t>
  </si>
  <si>
    <t>충북 제천 덕산면 약초로 591-1</t>
  </si>
  <si>
    <t>010-3796-7485</t>
  </si>
  <si>
    <t>대구광역시 동구 공항로 47길 6-5(지저동)</t>
  </si>
  <si>
    <t>053-984-7801</t>
  </si>
  <si>
    <t>서울 영등포구 도림동 251-5 연안빌딩 5층</t>
  </si>
  <si>
    <t>02-2678-1848</t>
  </si>
  <si>
    <t>부산광역시 북구 기찰로 2-1(덕천동)</t>
  </si>
  <si>
    <t>경북 경산 남산면 인흥2길 2-8</t>
  </si>
  <si>
    <t>053-963-0047</t>
  </si>
  <si>
    <t>경남 진주시 집현면 남강로 1861</t>
  </si>
  <si>
    <t>055-745-6799</t>
  </si>
  <si>
    <t>경기 고양 일산동구 마두동 912-2</t>
  </si>
  <si>
    <t>031-922-0096</t>
  </si>
  <si>
    <t>서울시 종로구 평창문화로 29(평창동, 천지인오피스텔비1호)</t>
  </si>
  <si>
    <t>02-379-1504</t>
  </si>
  <si>
    <t>054-859-3223</t>
  </si>
  <si>
    <t>경북 고령 고령읍 장기리 554-6</t>
  </si>
  <si>
    <t>053-941-7586</t>
  </si>
  <si>
    <t>제주 서귀포 남원읍 신례리 70-12</t>
  </si>
  <si>
    <t>서울시 동대문구 천호대로 126, 2층 01호 (용두동, 대원빌딩)</t>
  </si>
  <si>
    <t>부산 금정구 남산동 962-4</t>
  </si>
  <si>
    <t>051-512-3128</t>
  </si>
  <si>
    <t>대구 달성군 논공읍 금포리 2001-12</t>
  </si>
  <si>
    <t>070-4247-3199</t>
  </si>
  <si>
    <t>경기 시흥 마도면 청원리 194-1 외</t>
  </si>
  <si>
    <t>031-355-9756</t>
  </si>
  <si>
    <t>경기 파주 파평면 파산서원길 307-30</t>
  </si>
  <si>
    <t>02-2694-3861</t>
  </si>
  <si>
    <t>서울시 양천구 목동동로 12길 59</t>
  </si>
  <si>
    <t>02-2651-8480</t>
  </si>
  <si>
    <t>서울 중구 을지로 5길 19(수하동, 페럼타워)</t>
  </si>
  <si>
    <t>02-2222-0303</t>
  </si>
  <si>
    <t>부산 영도구 영선동1가 102-1</t>
  </si>
  <si>
    <t>051-253-3347</t>
  </si>
  <si>
    <t>전주 전주 완산구 배학1길 16-5 (효자동3가)</t>
  </si>
  <si>
    <t>063-227-7204</t>
  </si>
  <si>
    <t>경남 양산시 상북면 수서로 70</t>
  </si>
  <si>
    <t>055-375-9988</t>
  </si>
  <si>
    <t>서울 중구 을지로 228(을지로5가,대성을지로오피스텔상가803호)</t>
  </si>
  <si>
    <t>02-2279-4660</t>
  </si>
  <si>
    <t>경기 안양시 동안구 안양판교로 26-14 604(관양동,동진오피스텔)</t>
  </si>
  <si>
    <t>010-8596-2895</t>
  </si>
  <si>
    <t>031-837-0280</t>
  </si>
  <si>
    <t>경기 양주 남면 화합로 430번길 386</t>
  </si>
  <si>
    <t>062-951-6848</t>
  </si>
  <si>
    <t>경북 경산 대평길2길 44 (대평동)</t>
  </si>
  <si>
    <t>053-981-8222</t>
  </si>
  <si>
    <t>경남 진주 진주대로1207번길 5 (봉곡동)</t>
  </si>
  <si>
    <t>055-745-5593</t>
  </si>
  <si>
    <t>광주 북구 신안 129-6</t>
  </si>
  <si>
    <t>061-743-9990</t>
  </si>
  <si>
    <t>전북 군산시 풍전4길 49(소룡동)</t>
  </si>
  <si>
    <t>063-467-9131</t>
  </si>
  <si>
    <t>광주 광산구 산정동 917-2</t>
  </si>
  <si>
    <t>062-953-8572</t>
  </si>
  <si>
    <t>부산시 사상구 백양대로 786(덕포동)</t>
  </si>
  <si>
    <t>인천 남동구 은청로 9, 에이동 302-1호(고잔동)</t>
  </si>
  <si>
    <t>032-710-3703</t>
  </si>
  <si>
    <t>전남 장흥 장흥읍 흥성로 22-8</t>
  </si>
  <si>
    <t>062-362-5577</t>
  </si>
  <si>
    <t>울산 남구 돋질로384번길 8 (삼산동)</t>
  </si>
  <si>
    <t>052-277-6821</t>
  </si>
  <si>
    <t>전남 순천 백강로 266 (조례동)</t>
  </si>
  <si>
    <t>062-383-8502</t>
  </si>
  <si>
    <t>대구 중구 북성로 1가 64-2</t>
  </si>
  <si>
    <t>053-256-0255</t>
  </si>
  <si>
    <t>제주 제주 선반로 17 (화북일동)</t>
  </si>
  <si>
    <t>064-759-8811</t>
  </si>
  <si>
    <t>전북 군산 구암로 29 (구암동)</t>
  </si>
  <si>
    <t>063-446-9614</t>
  </si>
  <si>
    <t>충남 천안 서북구 직산읍 자은가리 180-8</t>
  </si>
  <si>
    <t>충남 태안군 태안읍 군청 12길 7(,9)</t>
  </si>
  <si>
    <t>042-823-3381</t>
  </si>
  <si>
    <t>서울 서대문구 북아현동 1-17</t>
  </si>
  <si>
    <t>02-363-3761</t>
  </si>
  <si>
    <t>경기 파주 조리읍 문원길 263-41 (외라동)</t>
  </si>
  <si>
    <t>전북 군산 경장동 510-10</t>
  </si>
  <si>
    <t>063-446-1811</t>
  </si>
  <si>
    <t>전북 군산 구암동 284</t>
  </si>
  <si>
    <t>063-446-3399</t>
  </si>
  <si>
    <t>대전 대덕구 대화동 275-2</t>
  </si>
  <si>
    <t>042-635-2677</t>
  </si>
  <si>
    <t>경기도 의정부시 호국로 1607(금오동)</t>
  </si>
  <si>
    <t>031-821-5545</t>
  </si>
  <si>
    <t>경기 용인 마평동 511-3</t>
  </si>
  <si>
    <t>031-336-5949</t>
  </si>
  <si>
    <t>강원 원주 관설동 1501-4</t>
  </si>
  <si>
    <t>033-761-8108</t>
  </si>
  <si>
    <t>경기 의왕 월암동 295</t>
  </si>
  <si>
    <t>전북 전주시 덕진구 초포다리로 106-21(호성동1가)</t>
  </si>
  <si>
    <t>063-253-6111</t>
  </si>
  <si>
    <t>전북 익산 인화 1 204</t>
  </si>
  <si>
    <t>063-855-7597</t>
  </si>
  <si>
    <t>전북 전주 완산구 중화산동2 483-1</t>
  </si>
  <si>
    <t>063-227-4500</t>
  </si>
  <si>
    <t>경기도 안성시 일죽면 주래본죽로 198</t>
  </si>
  <si>
    <t>031-673-4024</t>
  </si>
  <si>
    <t>전남 목포시 삼학로 224(산정동)</t>
  </si>
  <si>
    <t>061-243-0021</t>
  </si>
  <si>
    <t>강원 강릉 성산면 구산리 148-1</t>
  </si>
  <si>
    <t>033-643-1737</t>
  </si>
  <si>
    <t>경기도 광주시 오포읍 매자리길 94-22, 1층</t>
  </si>
  <si>
    <t>031-763-1630</t>
  </si>
  <si>
    <t>제주 제주 화북일동 2144-1</t>
  </si>
  <si>
    <t>064-713-1677</t>
  </si>
  <si>
    <t>053-763-8300</t>
  </si>
  <si>
    <t>서울 중랑구 동일로 690 (상봉동)</t>
  </si>
  <si>
    <t>02-496-9485</t>
  </si>
  <si>
    <t>충남 예산 오가면 역탑리 75-16</t>
  </si>
  <si>
    <t>041-333-2900</t>
  </si>
  <si>
    <t>충남 태안 태안읍 동문리 214</t>
  </si>
  <si>
    <t>041-674-0511</t>
  </si>
  <si>
    <t>인천 서구 신현동 143-7</t>
  </si>
  <si>
    <t>032-577-0415</t>
  </si>
  <si>
    <t>대전 서구 변동 15-2</t>
  </si>
  <si>
    <t>강원 원주 나비허리길 149, 1층(관설동)</t>
  </si>
  <si>
    <t>제주 제주 일도이동 323-2</t>
  </si>
  <si>
    <t>064-722-5166</t>
  </si>
  <si>
    <t>경기 하남 초일로 381(초일동)</t>
  </si>
  <si>
    <t>031-791-8514</t>
  </si>
  <si>
    <t>경남 창원 봉곡 26-5</t>
  </si>
  <si>
    <t>055-265-6111</t>
  </si>
  <si>
    <t>대전 대덕구 오정동 304-4</t>
  </si>
  <si>
    <t>042-627-5011</t>
  </si>
  <si>
    <t>서울 금천구 가산동 60-15 리더스타워 606</t>
  </si>
  <si>
    <t>02-2026-7273</t>
  </si>
  <si>
    <t>경기 파주 법원읍 자운서원로 410-50</t>
  </si>
  <si>
    <t>031-959-1833</t>
  </si>
  <si>
    <t>부산 해운대구 재송동 1071-17 5층</t>
  </si>
  <si>
    <t>051-515-2544</t>
  </si>
  <si>
    <t>경기 평택 포승읍 방림리 154-1</t>
  </si>
  <si>
    <t>031-681-4190</t>
  </si>
  <si>
    <t>031-904-3123</t>
  </si>
  <si>
    <t>서울 강서구 화곡동 367-30 진민아파트상가101호</t>
  </si>
  <si>
    <t>02-2602-6955</t>
  </si>
  <si>
    <t>경기 고양 일산서구 하이파크로 158-1 (덕이동)</t>
  </si>
  <si>
    <t>031-914-7604</t>
  </si>
  <si>
    <t>충남 홍성 홍성읍 옥암리 263-16</t>
  </si>
  <si>
    <t>041-631-3069</t>
  </si>
  <si>
    <t>서울 성동구 송정 68-15</t>
  </si>
  <si>
    <t>02-466-6222</t>
  </si>
  <si>
    <t>서울 은평구 신사동 265-5</t>
  </si>
  <si>
    <t>02-357-4234</t>
  </si>
  <si>
    <t>경북 영천시 고경면 호국로 332-41</t>
  </si>
  <si>
    <t>경북 칠곡 동명면 학명리 177-2</t>
  </si>
  <si>
    <t>010-3806-0505</t>
  </si>
  <si>
    <t>전남 영광군 백수읍 백수로 789</t>
  </si>
  <si>
    <t>061-371-9700</t>
  </si>
  <si>
    <t>대구 수성구 들안로2길 10-6</t>
  </si>
  <si>
    <t>053-776-9983</t>
  </si>
  <si>
    <t>전남 순천 조곡 193-3</t>
  </si>
  <si>
    <t>061-742-4774</t>
  </si>
  <si>
    <t>서울 서초구 방배동 954-31</t>
  </si>
  <si>
    <t>02-588-8269</t>
  </si>
  <si>
    <t>경기 수원 장안구 수일로16번길 15-17</t>
  </si>
  <si>
    <t>010-5249-7850</t>
  </si>
  <si>
    <t>경기 의정부 평화로 32 (호원동)</t>
  </si>
  <si>
    <t>031-878-5599</t>
  </si>
  <si>
    <t>경기도 광주시 도척면 국사봉로 39-19</t>
  </si>
  <si>
    <t>경기 파주 교하읍 야당리 421-43</t>
  </si>
  <si>
    <t>031-949-5656</t>
  </si>
  <si>
    <t>경북 포항시 남구 대이로1번길 24(대잠동)</t>
  </si>
  <si>
    <t>054-275-0478</t>
  </si>
  <si>
    <t>부산 금정구 부곡동 232-20</t>
  </si>
  <si>
    <t>051-517-0190</t>
  </si>
  <si>
    <t>울산시 울주군 웅촌면 동녘골길 3</t>
  </si>
  <si>
    <t>경기 시흥 논곡동 119-2외 2필지</t>
  </si>
  <si>
    <t>031-411-900</t>
  </si>
  <si>
    <t>충북 음성 맹동면 덕금로310번길 39-7</t>
  </si>
  <si>
    <t>043-882-2548</t>
  </si>
  <si>
    <t>경북 포항시 북구 흥해읍 용금길163번길 64</t>
  </si>
  <si>
    <t>054-261-8375</t>
  </si>
  <si>
    <t>경북 경산 진량읍 속초리 495</t>
  </si>
  <si>
    <t>053-857-3646</t>
  </si>
  <si>
    <t>경기도 구리시 갈매길 153-27(갈매동)</t>
  </si>
  <si>
    <t>02-971-4193</t>
  </si>
  <si>
    <t>경남 김해시 흥동로 53번길 11(흥동)</t>
  </si>
  <si>
    <t>055-329-0304</t>
  </si>
  <si>
    <t>경북 영천시 청통면 애련길 140</t>
  </si>
  <si>
    <t>053-817-3850</t>
  </si>
  <si>
    <t>충남 천안 서북구 업성2길 39 (업성동)</t>
  </si>
  <si>
    <t>041-621-9300</t>
  </si>
  <si>
    <t>충남 보령 주포면 관산리 320-20 주포논공단지</t>
  </si>
  <si>
    <t>041-935-4031</t>
  </si>
  <si>
    <t>경북 영주 가흥동 521-54</t>
  </si>
  <si>
    <t>경기 화성 동탄면 금곡로257번길 65-6</t>
  </si>
  <si>
    <t>031-375-2695</t>
  </si>
  <si>
    <t>경기도 시흥시 목감초등길 28, 상가동 1층 101호(조남동)</t>
  </si>
  <si>
    <t>031-481-8065</t>
  </si>
  <si>
    <t>전남 순천 백강로 57 (연향동)</t>
  </si>
  <si>
    <t>062-236-5003</t>
  </si>
  <si>
    <t>전북 전주시 완산구 백제대로 85, 110동 402호(삼천동1가,쌍용아파트)</t>
  </si>
  <si>
    <t>서울 송파구 가락동 155</t>
  </si>
  <si>
    <t>02-400-2790</t>
  </si>
  <si>
    <t>충북 청주 흥덕구 봉명동 2337</t>
  </si>
  <si>
    <t>043-257-7606</t>
  </si>
  <si>
    <t>전북 남원 주생면 효동길 11</t>
  </si>
  <si>
    <t>063-625-2318</t>
  </si>
  <si>
    <t>경기 파주 상골길 104-10(맥금동)</t>
  </si>
  <si>
    <t>1588-8895</t>
  </si>
  <si>
    <t>인천 계양구 경명대로 1155 (임학동)</t>
  </si>
  <si>
    <t>032-545-2294</t>
  </si>
  <si>
    <t>대구 중구 태평로 2가 37-6</t>
  </si>
  <si>
    <t>053-253-3861</t>
  </si>
  <si>
    <t>대전 중구 태평로 144-1(태평동)</t>
  </si>
  <si>
    <t>042-254-1500</t>
  </si>
  <si>
    <t>전북 전주 덕진구 장동 607-3</t>
  </si>
  <si>
    <t>063-214-4663</t>
  </si>
  <si>
    <t>경기도 이천시 설성면 대죽로 195번길 135</t>
  </si>
  <si>
    <t>031-633-0163</t>
  </si>
  <si>
    <t>강원도 태백시 황지로 296-1</t>
  </si>
  <si>
    <t>제주 제주시 중앙로 304 (이도이동)</t>
  </si>
  <si>
    <t>070-8990-8118</t>
  </si>
  <si>
    <t>010-5554-4028</t>
  </si>
  <si>
    <t>서울시 강서구 공항대로 213, 12층 1213호(마곡동, 보타닉파크타워2)</t>
  </si>
  <si>
    <t>02-6929-4949</t>
  </si>
  <si>
    <t>경기 화성 장안면 포승장안로1120번길 8-15</t>
  </si>
  <si>
    <t>031-382-1772</t>
  </si>
  <si>
    <t>대구시 남구 봉덕로 27길 30</t>
  </si>
  <si>
    <t>서울 강남구 강남대로 122길 31(논현동)</t>
  </si>
  <si>
    <t>02-518-4614</t>
  </si>
  <si>
    <t>서울 성동구 성수일로11길 15 (성수동1가,뚝섬리버빌내)</t>
  </si>
  <si>
    <t>02-466*-5838</t>
  </si>
  <si>
    <t>전북 군산 비응도동 85-13</t>
  </si>
  <si>
    <t>010-6610-5871</t>
  </si>
  <si>
    <t>서울 송파구 위례성대로 14길 11(방이동,옥산크리스탈아파트5층509호)</t>
  </si>
  <si>
    <t>충남 공주시 반포면 공암장터길 30</t>
  </si>
  <si>
    <t>041-881-6513</t>
  </si>
  <si>
    <t>서울시 강남구 강남대로 158번길 9(신사동, 지하2층)</t>
  </si>
  <si>
    <t>경기 고양 덕양구 화전동 511-66</t>
  </si>
  <si>
    <t>02-3158-4141</t>
  </si>
  <si>
    <t>강원도 원주시 소초면 송황유사길 42</t>
  </si>
  <si>
    <t>070-7789-5489</t>
  </si>
  <si>
    <t>대구 동구 동내로 66-24(동내동)</t>
  </si>
  <si>
    <t>1577-2805</t>
  </si>
  <si>
    <t>경기 하남 초광로 209(초이동)</t>
  </si>
  <si>
    <t>02-472-1360</t>
  </si>
  <si>
    <t>02-2648-7171</t>
  </si>
  <si>
    <t>울산 남구 산업로355번길 19 (야음동)</t>
  </si>
  <si>
    <t>052-265-9192</t>
  </si>
  <si>
    <t>서울 도봉구 방학동 639-1</t>
  </si>
  <si>
    <t>02-955-7768</t>
  </si>
  <si>
    <t>서울 강동구 고덕로 133 (암사동)</t>
  </si>
  <si>
    <t>02-3426-3385</t>
  </si>
  <si>
    <t>울산 남구 삼산로 204 (달동)</t>
  </si>
  <si>
    <t>052-990-1113</t>
  </si>
  <si>
    <t>경기도 안양시 동안구 엘에스로 92, 13-221호(호계동)</t>
  </si>
  <si>
    <t>031-453-6555</t>
  </si>
  <si>
    <t>제주 제주시 애월읍 광상로 15-10</t>
  </si>
  <si>
    <t>경기 용인 수지구 신봉1로 84, 3층 308호(신봉동,상록신봉종합상가)</t>
  </si>
  <si>
    <t>031-286-6413</t>
  </si>
  <si>
    <t>서울시 중랑구 묵동 7 101</t>
  </si>
  <si>
    <t>02-975-9477</t>
  </si>
  <si>
    <t>서울 서초구 양재동 275-1삼호물산빌딩 A-1401</t>
  </si>
  <si>
    <t>02-589-1397</t>
  </si>
  <si>
    <t>서울 서초구 양재천로19길 48 ((용진빌딩7층)</t>
  </si>
  <si>
    <t>서울 중구 을지로 6가 23 1505</t>
  </si>
  <si>
    <t>서울시 강서구 공항대로 140 (마곡동)</t>
  </si>
  <si>
    <t>02-2661-7733</t>
  </si>
  <si>
    <t>충북 청주 상당구 원봉로93번길 8 (용암동)</t>
  </si>
  <si>
    <t>경기도 남양주시 진건읍 진건우회로 120번길 56-20</t>
  </si>
  <si>
    <t>031-529-2502~3</t>
  </si>
  <si>
    <t>서울 서대문구 가재올로4길 33-6 (남가좌동)</t>
  </si>
  <si>
    <t>010-7710-2981</t>
  </si>
  <si>
    <t>경기도 용인시 처인구 고진로 33, 나동 102호 (고림동, 용성빌라)</t>
  </si>
  <si>
    <t>경기도 성남시 중원구 둔촌대로 151번길 42-1, 1층 103호(성남동)</t>
  </si>
  <si>
    <t>031-742-2167</t>
  </si>
  <si>
    <t>대구 북구 신천동로 148길 14-12, 202호(대현동)</t>
  </si>
  <si>
    <t>경기도 남양주시 경강로 196-15(이패동)</t>
  </si>
  <si>
    <t>02-417-0875</t>
  </si>
  <si>
    <t>인천 부평구 산곡동 191-10 제일B/D 310</t>
  </si>
  <si>
    <t>032-517-4478</t>
  </si>
  <si>
    <t>010-2807-1190</t>
  </si>
  <si>
    <t>경기도 화성시 마도면 쌍송북로 63-34</t>
  </si>
  <si>
    <t>031-353-6249</t>
  </si>
  <si>
    <t>대구 북구 산격동 1691 센추리빌딩 402호</t>
  </si>
  <si>
    <t>053-382-4828</t>
  </si>
  <si>
    <t>경남 양산시 북정동 907-6</t>
  </si>
  <si>
    <t>055-381-9624</t>
  </si>
  <si>
    <t>경북 경산시 자인면 일연로 49, 3층</t>
  </si>
  <si>
    <t>경기도 의정부시 효자로 25, 209동 2003호(민락동, 송산주공아파트)</t>
  </si>
  <si>
    <t>서울 구로구 개봉동 403-78</t>
  </si>
  <si>
    <t>02-2688-6404</t>
  </si>
  <si>
    <t>울산 남구 달동 1286-14</t>
  </si>
  <si>
    <t>052-266-6000</t>
  </si>
  <si>
    <t>053-556-3128</t>
  </si>
  <si>
    <t>전남 순천 장평로 7 (남정동)</t>
  </si>
  <si>
    <t>서울 강북구 한천로 985-1(번동)</t>
  </si>
  <si>
    <t>02-907-4041</t>
  </si>
  <si>
    <t>010-5482-8784</t>
  </si>
  <si>
    <t>대구 중구 삼덕동3가 376-43</t>
  </si>
  <si>
    <t>053-422-1655</t>
  </si>
  <si>
    <t>경기 파주 광탄면 분수리 154-1</t>
  </si>
  <si>
    <t>070-4179-2166</t>
  </si>
  <si>
    <t>경기 고양 일산동구 지영동 447</t>
  </si>
  <si>
    <t>070-8157-2452</t>
  </si>
  <si>
    <t>043-250-3011</t>
  </si>
  <si>
    <t>02-436-3707</t>
  </si>
  <si>
    <t>제주 서귀포 동홍동 415-6 그레이스빌1층B호</t>
  </si>
  <si>
    <t>064-763-2221</t>
  </si>
  <si>
    <t>경기도 고양시 일산동구 장진천길 30-49(설문동)</t>
  </si>
  <si>
    <t>경기 파주 월롱면 영태리 527-8</t>
  </si>
  <si>
    <t>031-945-0988</t>
  </si>
  <si>
    <t>경북 경산 옥산동 863-2</t>
  </si>
  <si>
    <t>053-812-2290</t>
  </si>
  <si>
    <t>경기도 고양시 덕양구 용두로 33(용두동)</t>
  </si>
  <si>
    <t>02-6497-8204</t>
  </si>
  <si>
    <t>서울 마포구 와우산로73, 3층(서교동,홍일빌딩)</t>
  </si>
  <si>
    <t>전남 남주 금천면 금영로 979-1</t>
  </si>
  <si>
    <t>062-671-5753</t>
  </si>
  <si>
    <t>광주 서구 유촌동 596-5</t>
  </si>
  <si>
    <t>062-374-2102</t>
  </si>
  <si>
    <t>충북 청주 상당구 사천동 452-3</t>
  </si>
  <si>
    <t>대전 중구 사정동 461-6 우남빌딩3층</t>
  </si>
  <si>
    <t>042-824-0001</t>
  </si>
  <si>
    <t>광주 서구 서창길 27</t>
  </si>
  <si>
    <t>010-6617-9972</t>
  </si>
  <si>
    <t>강원 원주 개운동 495</t>
  </si>
  <si>
    <t>033-735-6000</t>
  </si>
  <si>
    <t>경북 영천시 금호읍 금호로 201</t>
  </si>
  <si>
    <t>055-673-8582</t>
  </si>
  <si>
    <t>충북 진천군 진천읍 문화로 274(문화빌딩)</t>
  </si>
  <si>
    <t>043-533-3057</t>
  </si>
  <si>
    <t>광주 북구 동배들길41번길 17 (동림동)</t>
  </si>
  <si>
    <t>062-384-7840</t>
  </si>
  <si>
    <t>충남 천안시 동남구 목천읍 삼성 3길 47</t>
  </si>
  <si>
    <t>대구시 수성구 동원로 64-12, 102호(만촌동,기화빌라)</t>
  </si>
  <si>
    <t>경기 안산 단원구 원포공원1로 59</t>
  </si>
  <si>
    <t>031-413-6963</t>
  </si>
  <si>
    <t>서울시 중랑구 상봉동 89</t>
  </si>
  <si>
    <t>02-438-3001</t>
  </si>
  <si>
    <t>광주 북구 신안동 494-4</t>
  </si>
  <si>
    <t>062-521-2268</t>
  </si>
  <si>
    <t>충남 서산 잠동1길 12(잠홍동)</t>
  </si>
  <si>
    <t>제주 제주시 영평7길 25, 1층 (영평동)</t>
  </si>
  <si>
    <t>064-742-4246</t>
  </si>
  <si>
    <t>경북 경주 금성로347번길 40 (성건동)</t>
  </si>
  <si>
    <t>010-3827-2054</t>
  </si>
  <si>
    <t>서울 강동구 상일동 458-4번지 1층</t>
  </si>
  <si>
    <t>02-441-7030</t>
  </si>
  <si>
    <t>부산 금정구 남산동 42-1</t>
  </si>
  <si>
    <t>051-582-2866</t>
  </si>
  <si>
    <t>경북 경산시 자인면 일연로 21</t>
  </si>
  <si>
    <t>010-3052-8077</t>
  </si>
  <si>
    <t>경북 문경시 산양면 경서로 523-8</t>
  </si>
  <si>
    <t>054-554-3077~9</t>
  </si>
  <si>
    <t>경기 하남 수리남로 27-5(덕풍동)</t>
  </si>
  <si>
    <t>062-384-6438</t>
  </si>
  <si>
    <t>경기도 남양주시 별녀3로 23 (별내동, LH주공미리내아파트)</t>
  </si>
  <si>
    <t>서울 용산구 한남동 739-12 미맥빌딩 2층</t>
  </si>
  <si>
    <t>02-547-0043</t>
  </si>
  <si>
    <t>경남 창원시 마산회원구 합성동 7길 3(합성동)</t>
  </si>
  <si>
    <t>경기도 광주시 초월읍 동막골길 140-34</t>
  </si>
  <si>
    <t>031-766-7201</t>
  </si>
  <si>
    <t>경남 통영시 안개4길 40(무전동)</t>
  </si>
  <si>
    <t>경기 하남 광암동 111-3, 112번지</t>
  </si>
  <si>
    <t>02-477-2236</t>
  </si>
  <si>
    <t>전남 해남 해남읍 홍교로 104</t>
  </si>
  <si>
    <t>경북 영천 영화로 336 (조교통)</t>
  </si>
  <si>
    <t>054-332-0712</t>
  </si>
  <si>
    <t>경기 포천 신북면 만세교리 352</t>
  </si>
  <si>
    <t>031-531-9015</t>
  </si>
  <si>
    <t>서울시 송파구 송파대로 167, 에이동 에이914호. 에이915호(문정동,문정역테라타워)</t>
  </si>
  <si>
    <t>02-577-2605</t>
  </si>
  <si>
    <t>광주광역시 남구 봉선로 83(주월동)</t>
  </si>
  <si>
    <t>062-673-8778</t>
  </si>
  <si>
    <t>인천시 남동구 호구포로 765번길 18, 지하(구월동)</t>
  </si>
  <si>
    <t>032-469-5740</t>
  </si>
  <si>
    <t>광주시 북구 문화소통로 68, 1층 (용봉동)</t>
  </si>
  <si>
    <t>062-269-6514</t>
  </si>
  <si>
    <t>서울특별시 강동구 성내로 12길 20, 2층 201호(성내동, 형기빌딩)</t>
  </si>
  <si>
    <t>광주 북구 천단과기로 333 (대촌동,광주테크노파크210호)</t>
  </si>
  <si>
    <t>063-635-0797</t>
  </si>
  <si>
    <t>경기 광주 토월읍 산수로 164</t>
  </si>
  <si>
    <t>02-487-0112</t>
  </si>
  <si>
    <t>경기도 광주시 초월읍 산수로 164</t>
  </si>
  <si>
    <t>031-767-0112</t>
  </si>
  <si>
    <t>광주 북구 용봉동 1415-3</t>
  </si>
  <si>
    <t>062-514-0482</t>
  </si>
  <si>
    <t>경기 김포 풍무동 532-3 프라임빌프라자</t>
  </si>
  <si>
    <t>031-987-8377</t>
  </si>
  <si>
    <t>경기도 포천시 군내면 유교리 741-1</t>
  </si>
  <si>
    <t>031-535-8110</t>
  </si>
  <si>
    <t>경북 경산시 하양읍 대경로 105길 4</t>
  </si>
  <si>
    <t>전북 군산 조촌동 874-9</t>
  </si>
  <si>
    <t>063-452-8504</t>
  </si>
  <si>
    <t>경기 광명 하안로 108, 420 (소하동,에이스광명타워)</t>
  </si>
  <si>
    <t>02-806-0485</t>
  </si>
  <si>
    <t>경기 용인 처인구 남동 91-2</t>
  </si>
  <si>
    <t>031-321-5125</t>
  </si>
  <si>
    <t>광주시 서구 풍서좌로 309-1, 2층(세하동)</t>
  </si>
  <si>
    <t>062-514-1050</t>
  </si>
  <si>
    <t>대구광역시 북구 성북로 5길 26-1 (침산동)</t>
  </si>
  <si>
    <t>053-350-4227</t>
  </si>
  <si>
    <t>대전 대덕구 오정동 346-9</t>
  </si>
  <si>
    <t>042-621-8304</t>
  </si>
  <si>
    <t>서울시 성동구 천호대로 400, 104호(융답동)</t>
  </si>
  <si>
    <t>02-2277-3658</t>
  </si>
  <si>
    <t>대구 중구 태평로 202 (태평로1가)</t>
  </si>
  <si>
    <t>053-253-3030</t>
  </si>
  <si>
    <t>광주 서구 유촌동 595-24</t>
  </si>
  <si>
    <t>062-945-3130</t>
  </si>
  <si>
    <t>전북 익산시 함열읍 박전길 23</t>
  </si>
  <si>
    <t>063-861-7786</t>
  </si>
  <si>
    <t>서울 동대문구 신설동 93-16 극동빌딩 1층</t>
  </si>
  <si>
    <t>02-2299-5080</t>
  </si>
  <si>
    <t>경북 경산시 남천면 협석2길 29, 나동, 다동</t>
  </si>
  <si>
    <t>053-817-8855</t>
  </si>
  <si>
    <t>063-224-0014</t>
  </si>
  <si>
    <t>서울 송파구 마천동 49-18 석진빌딩 4층</t>
  </si>
  <si>
    <t>02-488-5192</t>
  </si>
  <si>
    <t>02-3446-8582</t>
  </si>
  <si>
    <t>서울 중랑구 묵동 236-33</t>
  </si>
  <si>
    <t>02-975-7852</t>
  </si>
  <si>
    <t>대전 중구 안영동 670-6</t>
  </si>
  <si>
    <t>042-255-3910</t>
  </si>
  <si>
    <t>052-254-8125</t>
  </si>
  <si>
    <t>강원 동해 대호길 15 (대구동)</t>
  </si>
  <si>
    <t>033-535-3873</t>
  </si>
  <si>
    <t>경북 상주 북상주로 21 (만산동)</t>
  </si>
  <si>
    <t>010-3507-4211</t>
  </si>
  <si>
    <t>충북 충주 달천동 528-5</t>
  </si>
  <si>
    <t>043-848-0790</t>
  </si>
  <si>
    <t>충남 천안시 동남구 신촌4로 16, 102동 217호(신방동, 초원아파트)</t>
  </si>
  <si>
    <t>경기 성남 수정구 수정북로 76, 207(태평동2층)</t>
  </si>
  <si>
    <t>031-751-2237</t>
  </si>
  <si>
    <t>033-261-9495</t>
  </si>
  <si>
    <t>서울 마포구 신수로 30 (현석동,2층)</t>
  </si>
  <si>
    <t>02-715-3343</t>
  </si>
  <si>
    <t>서울시 강남구 밤고개로 1길 10, 401호(수서동, 수서현대벤쳐빌)</t>
  </si>
  <si>
    <t>대전시 대덕구 대전로 1033번길 66(오정동)</t>
  </si>
  <si>
    <t>042-531-2014</t>
  </si>
  <si>
    <t>서울특별시 서초구 언남 19길 17, 3층동(양재동,건일빌딩)</t>
  </si>
  <si>
    <t>02-529-1580</t>
  </si>
  <si>
    <t>서울 송파구 잠실 196 올림피아 610</t>
  </si>
  <si>
    <t>02-424-3111</t>
  </si>
  <si>
    <t>경기도 평택시 평택 5로 100, 1층(비전동)</t>
  </si>
  <si>
    <t>031-652-0943</t>
  </si>
  <si>
    <t>광주시 북구 하서로 395(양산동)</t>
  </si>
  <si>
    <t>경기 광명 광화로 50, (광명동,남경빌딩2층)]</t>
  </si>
  <si>
    <t>02-2619-0051</t>
  </si>
  <si>
    <t>경남 진주 유곡동 495-8</t>
  </si>
  <si>
    <t>서울 관악구 신림동 462-16 4층</t>
  </si>
  <si>
    <t>02-884-0620</t>
  </si>
  <si>
    <t>대구 달서구 학산로 19길 47</t>
  </si>
  <si>
    <t>053-527-6200</t>
  </si>
  <si>
    <t>서울 강동구 풍성로 184 201호(성내동,2층)</t>
  </si>
  <si>
    <t>010-9923-2511</t>
  </si>
  <si>
    <t>전북 전주시 덕진구 사근1길 11, 307동 107호(송천동2가, 현대3차아파트)</t>
  </si>
  <si>
    <t>032-323-6888</t>
  </si>
  <si>
    <t>제주 제주시 조천읍 조천우회로 201</t>
  </si>
  <si>
    <t>전남 순천시 서면 화정길 39</t>
  </si>
  <si>
    <t>061-751-3233</t>
  </si>
  <si>
    <t>경기 용인 처인구 중부대로 1596 (마평동,1층)</t>
  </si>
  <si>
    <t>010-3732-2768</t>
  </si>
  <si>
    <t>대구 달서구 성서공단로39길 18-17,43호,44호(갈산동,성서복합유통단지)</t>
  </si>
  <si>
    <t>053-522-7039</t>
  </si>
  <si>
    <t>광주 광산구 손재로 436-12 (오선동)</t>
  </si>
  <si>
    <t>대구 달서구 대천동 677</t>
  </si>
  <si>
    <t>053-582-2888</t>
  </si>
  <si>
    <t>서울 금천구 가산동 544-12</t>
  </si>
  <si>
    <t>02-859-1277</t>
  </si>
  <si>
    <t>전남 여수 화장동 813-2</t>
  </si>
  <si>
    <t>061-691-4213</t>
  </si>
  <si>
    <t>제주 제주 조천읍 중산간동로 370</t>
  </si>
  <si>
    <t>064-783-2901</t>
  </si>
  <si>
    <t>경북 포항 남구 중앙로 77(해도동)</t>
  </si>
  <si>
    <t>054-278-3384</t>
  </si>
  <si>
    <t>서울 동대문구 용두동 190-5 1층</t>
  </si>
  <si>
    <t>02-929-0054</t>
  </si>
  <si>
    <t>대구 동구 효목동 1252</t>
  </si>
  <si>
    <t>053-956-2671</t>
  </si>
  <si>
    <t>전북 무주 무주읍 주계로 137</t>
  </si>
  <si>
    <t>063-324-2143</t>
  </si>
  <si>
    <t>경북 안동 풍산읍 산업단지길 246</t>
  </si>
  <si>
    <t>부산 강서구 녹산산업중로 100 (송정동)</t>
  </si>
  <si>
    <t>경북 고령 다산면 벌지로 226-72</t>
  </si>
  <si>
    <t>054-954-7801</t>
  </si>
  <si>
    <t>경기도 화성시 남양읍 주석로 156</t>
  </si>
  <si>
    <t>031-355-2872</t>
  </si>
  <si>
    <t>경기 하남 천현동 65-1</t>
  </si>
  <si>
    <t>031-792-6992</t>
  </si>
  <si>
    <t>대전 대덕구 오정동 326-12</t>
  </si>
  <si>
    <t>042-627-9935</t>
  </si>
  <si>
    <t>서울시 중구 창경궁로1길 33, 4층(충무로4가)</t>
  </si>
  <si>
    <t>02-2276-0671</t>
  </si>
  <si>
    <t>충북 청주시 청원구 무심동로 564-1(우암동)</t>
  </si>
  <si>
    <t>043-222-2588</t>
  </si>
  <si>
    <t>경기 수원 권선구 입북동 265</t>
  </si>
  <si>
    <t>031-227-3034</t>
  </si>
  <si>
    <t>경북 포항시 남구 중앙로 154, 1702호(해도동)</t>
  </si>
  <si>
    <t>광주 북구 용봉 1375-6</t>
  </si>
  <si>
    <t>062-527-9676</t>
  </si>
  <si>
    <t>대구 달성군 현풍면 현풍서로 78</t>
  </si>
  <si>
    <t>053-615-3535</t>
  </si>
  <si>
    <t>서울 서초구 양재동 394-13</t>
  </si>
  <si>
    <t>02-3462-1136</t>
  </si>
  <si>
    <t>경북 영천시 금호읍 봉죽리 20-1</t>
  </si>
  <si>
    <t>전북 전주 완산 삼천천변3길 20 /103-703</t>
  </si>
  <si>
    <t>경기 시흥 군자로 74 (월곶동)</t>
  </si>
  <si>
    <t>031-404-0453</t>
  </si>
  <si>
    <t>제주 제주 이도이동 17-1</t>
  </si>
  <si>
    <t>064-721-0235</t>
  </si>
  <si>
    <t>대전 대덕 오정 346-10</t>
  </si>
  <si>
    <t>042-634-7318</t>
  </si>
  <si>
    <t>서울시 용산구 원효로 3가 52-2, 5</t>
  </si>
  <si>
    <t>02-704-6414</t>
  </si>
  <si>
    <t>서울 송파구 오금동 87-2 4층</t>
  </si>
  <si>
    <t>02-431-3052</t>
  </si>
  <si>
    <t>경기도 구리시 건원대로 36, 1001호 (관리호수 1003호)(인창동)</t>
  </si>
  <si>
    <t>031-554-0514</t>
  </si>
  <si>
    <t>충남 천안 서북구 직산읍 역전말1길 38</t>
  </si>
  <si>
    <t>010-5423-5267</t>
  </si>
  <si>
    <t>서울 영등포구 대방천로 151(신길동)</t>
  </si>
  <si>
    <t>02-845-0404</t>
  </si>
  <si>
    <t>경기 남양주 가운동 616</t>
  </si>
  <si>
    <t>031-554-0115</t>
  </si>
  <si>
    <t>서울특별시 성동구 아차산로7나길 18(성수동2가,302호성수에이팩센터)</t>
  </si>
  <si>
    <t>02-464-3100</t>
  </si>
  <si>
    <t>서울 영등포구 영등포동1가 94-5</t>
  </si>
  <si>
    <t>02-2635-3103</t>
  </si>
  <si>
    <t>경남 진주 신안들말길26번길 7 (신안동,1층)</t>
  </si>
  <si>
    <t>055-742-8887</t>
  </si>
  <si>
    <t>경기 평택 모곡 440-3</t>
  </si>
  <si>
    <t>031-668-0700</t>
  </si>
  <si>
    <t>경기 시흥 정왕동 2176-7 시화공단 2바-607</t>
  </si>
  <si>
    <t>031-497-1906</t>
  </si>
  <si>
    <t>031-762-4318</t>
  </si>
  <si>
    <t>대전 대덕구 비래동 117-3 1번지</t>
  </si>
  <si>
    <t>충북 청주시상당 사천동 48-1 충북산업용재유통상가</t>
  </si>
  <si>
    <t>043-217-1322</t>
  </si>
  <si>
    <t>경북 칠곡 지천면 백운리 155-3</t>
  </si>
  <si>
    <t>054-972-2998</t>
  </si>
  <si>
    <t>경남 함안 칠서면 무릉리 963-4</t>
  </si>
  <si>
    <t>055-587-2224</t>
  </si>
  <si>
    <t>대구 동구 반야월북로2길 15-2 (율암동)</t>
  </si>
  <si>
    <t>053-963-3381</t>
  </si>
  <si>
    <t>서울시 송파구 백제고분로 48길 42-27, 202(방이동)</t>
  </si>
  <si>
    <t>서울 강남구 역삼로 220 (역삼동,홍성빌딩4층)</t>
  </si>
  <si>
    <t>02-575-9767</t>
  </si>
  <si>
    <t>062-571-8815</t>
  </si>
  <si>
    <t>전남 순천시 하풍1길 20(풍덕동)</t>
  </si>
  <si>
    <t>061-755-8778</t>
  </si>
  <si>
    <t>서울 중랑구 면목동 1086-74</t>
  </si>
  <si>
    <t>서울 강동구 양재대로124길 76 (길동,1층)</t>
  </si>
  <si>
    <t>02-475-7430</t>
  </si>
  <si>
    <t>대전 동구 삼성동 383-19</t>
  </si>
  <si>
    <t>042-639-2533</t>
  </si>
  <si>
    <t>서울 중구 을지로3가 5-7</t>
  </si>
  <si>
    <t>02-2279-2320</t>
  </si>
  <si>
    <t>서울 종로구 율곡로 82 (운니동)</t>
  </si>
  <si>
    <t>064-711-8060</t>
  </si>
  <si>
    <t>강원도 태백시 황지동 49-214</t>
  </si>
  <si>
    <t>033-552-2355</t>
  </si>
  <si>
    <t>서울시 동작구 동작대로 33길 45(사당동)</t>
  </si>
  <si>
    <t>전북 전주 완산구 상림동 38-7</t>
  </si>
  <si>
    <t>063-229-6700</t>
  </si>
  <si>
    <t>인천 계양구 서운동 142-44</t>
  </si>
  <si>
    <t>032-546-0341</t>
  </si>
  <si>
    <t>경북 구미 오태길 100-72 (오태동)</t>
  </si>
  <si>
    <t>경기 김포 김포대로 1049 (북변동,1층)</t>
  </si>
  <si>
    <t>031-996-5536</t>
  </si>
  <si>
    <t>제주 제주 계명5길 10-1 (외도일동)</t>
  </si>
  <si>
    <t>010-3763-4047</t>
  </si>
  <si>
    <t>경기 시흥 동서로 1249-15(목감동)</t>
  </si>
  <si>
    <t>02-849-0463</t>
  </si>
  <si>
    <t>032-819-0391</t>
  </si>
  <si>
    <t>경북 경산 경산로 276-13 (중산동)</t>
  </si>
  <si>
    <t>010-3827-8406</t>
  </si>
  <si>
    <t>전북 군산 내흥동 549번지</t>
  </si>
  <si>
    <t>063-453-8826</t>
  </si>
  <si>
    <t>광주 북구 동림 894-18</t>
  </si>
  <si>
    <t>062-513-9919</t>
  </si>
  <si>
    <t>세종특별자치시 다정남로 93 (다정동)</t>
  </si>
  <si>
    <t>대구 서구 평리동 1506-7</t>
  </si>
  <si>
    <t>서울 송파구 범원로11길 7, 14층1413호)(문정동,문정현대지식산업센터1-2)</t>
  </si>
  <si>
    <t>02-2203-8100</t>
  </si>
  <si>
    <t>서울 송파구 신천동 11-9</t>
  </si>
  <si>
    <t>02-425-4227</t>
  </si>
  <si>
    <t>경기 광주 곤지암읍 새재길 87, 2호동</t>
  </si>
  <si>
    <t>031-764-9581</t>
  </si>
  <si>
    <t>제주 서귀포 월평로50번길 7-5(월평동)</t>
  </si>
  <si>
    <t>064-739-0126</t>
  </si>
  <si>
    <t>서울 구로 경민로20나길 30, 912(오류동,이좋은집)</t>
  </si>
  <si>
    <t>1800-4742</t>
  </si>
  <si>
    <t>경기도 용인시 기흥구 금화로 82번길 14, 110동 204호</t>
  </si>
  <si>
    <t>충남 금산 금성면 하신리 749 금성농공단지</t>
  </si>
  <si>
    <t>041-753-8610</t>
  </si>
  <si>
    <t>전남 목포 상동 1144-7</t>
  </si>
  <si>
    <t>061-285-0100</t>
  </si>
  <si>
    <t>경북 경산 압량면 가일길24길 2</t>
  </si>
  <si>
    <t>010-2682-0842</t>
  </si>
  <si>
    <t>경북 포항 북구 흥해읍 동해대로 1896-6</t>
  </si>
  <si>
    <t>054-261-2946</t>
  </si>
  <si>
    <t>전북 남원 도통동 608-8</t>
  </si>
  <si>
    <t>011-655-8360</t>
  </si>
  <si>
    <t>경기 광명 오리로406번길 23 (소하동)</t>
  </si>
  <si>
    <t>010-3748-8979</t>
  </si>
  <si>
    <t>인천 서구 서달로 12 (석남동)</t>
  </si>
  <si>
    <t>032-458-7352</t>
  </si>
  <si>
    <t>경북 김천시 아포읍 국사길 139-29</t>
  </si>
  <si>
    <t>울산시 중구 동동 441</t>
  </si>
  <si>
    <t>대구 달서구 와룡로13길 92 (본리동)</t>
  </si>
  <si>
    <t>053-632-3666</t>
  </si>
  <si>
    <t>경기 의왕 포일동 125-1</t>
  </si>
  <si>
    <t>031-423-5693</t>
  </si>
  <si>
    <t>제주 서귀포 동홍동 1089-5</t>
  </si>
  <si>
    <t>064-763-7141</t>
  </si>
  <si>
    <t>서울 양천구 국회대로 20 (신월동)</t>
  </si>
  <si>
    <t>02-2602-4750</t>
  </si>
  <si>
    <t>경기 부천 원미구 상동 544-2</t>
  </si>
  <si>
    <t>032-230-7504</t>
  </si>
  <si>
    <t>서울 중구 입정동 218</t>
  </si>
  <si>
    <t>02-2274-6580</t>
  </si>
  <si>
    <t>경기 안산 상록구 부곡동 737-10</t>
  </si>
  <si>
    <t>031-402-7553</t>
  </si>
  <si>
    <t>인천 계양구 아나지로 538-9 (서운동)</t>
  </si>
  <si>
    <t>032-545-7901</t>
  </si>
  <si>
    <t>경기 광명 광명동 720-10</t>
  </si>
  <si>
    <t>02-2612-5234</t>
  </si>
  <si>
    <t>경기도 고양시 일산동구 일산로 30 1348(백석동, 효성레제스오피스텔)</t>
  </si>
  <si>
    <t>031-903-5842</t>
  </si>
  <si>
    <t>서울 중구 충무로9길 14 (을지로3가,길영빌딩208호)</t>
  </si>
  <si>
    <t>02-2264-3337</t>
  </si>
  <si>
    <t>서울시 마포구 월드컵로36길 51, 비동 2층 302호(성산동)</t>
  </si>
  <si>
    <t>서울 구로구 오류동 172-23</t>
  </si>
  <si>
    <t>02-2683-3925</t>
  </si>
  <si>
    <t>서울 서초구 서초동 1564-1 서진빌딩 502</t>
  </si>
  <si>
    <t>02-574-2857</t>
  </si>
  <si>
    <t>부산 동래구 수안로 48번길 8 (수안동, 1층)</t>
  </si>
  <si>
    <t>051-552-3612</t>
  </si>
  <si>
    <t>전남 나주 청동 234-218</t>
  </si>
  <si>
    <t>062-373-0614</t>
  </si>
  <si>
    <t>전북 군산시 개정면 동정1길 23</t>
  </si>
  <si>
    <t>울산시 울주군 범서읍 관문로 609</t>
  </si>
  <si>
    <t>052-211-8989</t>
  </si>
  <si>
    <t>010-8555-1981</t>
  </si>
  <si>
    <t>대구 달서구 본동 743-1</t>
  </si>
  <si>
    <t>053-527-0367</t>
  </si>
  <si>
    <t>대구 동구 신천동 310-4</t>
  </si>
  <si>
    <t>053-755-1747</t>
  </si>
  <si>
    <t>광주 동구 필문대로192번길 28-2(산수동)</t>
  </si>
  <si>
    <t>010-3618-3915</t>
  </si>
  <si>
    <t>대구 동구 경안로101길 45(서호동)</t>
  </si>
  <si>
    <t>053-965-9792</t>
  </si>
  <si>
    <t>경기 김포 대곶면 대곶북로 305번기 42-30</t>
  </si>
  <si>
    <t>031-984-2349</t>
  </si>
  <si>
    <t>인천 남동구 논현고잔로128번길 27 (고잔동)</t>
  </si>
  <si>
    <t>032-442-2633</t>
  </si>
  <si>
    <t>경기 파주 탄현면 법흥리 1773</t>
  </si>
  <si>
    <t>031-941-2822</t>
  </si>
  <si>
    <t>대구 동구 둔산동 269</t>
  </si>
  <si>
    <t>053-985-4089</t>
  </si>
  <si>
    <t>전북 김제시 벽성로 259 (교동)</t>
  </si>
  <si>
    <t>063-544-1715</t>
  </si>
  <si>
    <t>전북 익산 남중동 458-57</t>
  </si>
  <si>
    <t>063-852-6288</t>
  </si>
  <si>
    <t>경북 경산 중방동 846-1</t>
  </si>
  <si>
    <t>053-801-6989</t>
  </si>
  <si>
    <t>울산 북구 진장동 12길17</t>
  </si>
  <si>
    <t>052-288-5980</t>
  </si>
  <si>
    <t>서울특별시 서초구 효령로 92, 406호(방배동, 대우프라자4층)</t>
  </si>
  <si>
    <t>02-582-2131</t>
  </si>
  <si>
    <t>인천 서구 고산후로 398 104-804(불로동,불로e-편한세상)</t>
  </si>
  <si>
    <t>010-8637-8312</t>
  </si>
  <si>
    <t>경남 통영시 도산면 남해안대로 1437</t>
  </si>
  <si>
    <t>055-645-4375</t>
  </si>
  <si>
    <t>대구시 동구 율암동 459-19</t>
  </si>
  <si>
    <t>대전 중구 안영동 643-3 성광빌딩3층</t>
  </si>
  <si>
    <t>042-583-9121</t>
  </si>
  <si>
    <t>광주 북구 동림동 928-8</t>
  </si>
  <si>
    <t>062-513-9040</t>
  </si>
  <si>
    <t>경기 성남시 중원구 갈마치로 215, 비 110호</t>
  </si>
  <si>
    <t>031-730-0300</t>
  </si>
  <si>
    <t>경기 성남 수정 수진 2679-33</t>
  </si>
  <si>
    <t>031-757-4656</t>
  </si>
  <si>
    <t>전북 전주 완산 효자3가 1679-1</t>
  </si>
  <si>
    <t>063-226-6717</t>
  </si>
  <si>
    <t>대구 북구 산격 1629 산업용재관(2층) 3-11</t>
  </si>
  <si>
    <t>대전 대덕구 신탄진로 685 (덕안동,1층)</t>
  </si>
  <si>
    <t>042-671-0425</t>
  </si>
  <si>
    <t>경남 창원 마산회원구 상호천길 333 (회성동)</t>
  </si>
  <si>
    <t>055-253-3404</t>
  </si>
  <si>
    <t>055-752-6681</t>
  </si>
  <si>
    <t>서울 성북구 돌곶이로 14길 78, 2층(석관동)</t>
  </si>
  <si>
    <t>010-2301-2423</t>
  </si>
  <si>
    <t>서울 강남구 광평로 280, 1519호(수서동,로즈데일오피스텔)</t>
  </si>
  <si>
    <t>02-562-8825</t>
  </si>
  <si>
    <t>광주 북구 용봉동 1338-1</t>
  </si>
  <si>
    <t>062-514-6204</t>
  </si>
  <si>
    <t>전남 장흥군 장흥읍 괘야리2길 32(2층)</t>
  </si>
  <si>
    <t>062-572-6355</t>
  </si>
  <si>
    <t>광주광역시 북구 지야길 41-8(지야동)</t>
  </si>
  <si>
    <t>1566-4911</t>
  </si>
  <si>
    <t>광주 북구 용봉동 1344-3</t>
  </si>
  <si>
    <t>062-514-4818</t>
  </si>
  <si>
    <t>인천 남동구 고잔동 178-2</t>
  </si>
  <si>
    <t>032-442-2632</t>
  </si>
  <si>
    <t>경기 성남 중원구 박석로41번길 34(상대원동)</t>
  </si>
  <si>
    <t>031-761-7215</t>
  </si>
  <si>
    <t>충남 논산 덕지동 264-2</t>
  </si>
  <si>
    <t>041-736-1114</t>
  </si>
  <si>
    <t>서울 도봉구 창동 608-167 새서울아파트상가 102</t>
  </si>
  <si>
    <t>02-902-2454</t>
  </si>
  <si>
    <t>경기 남양주 진건읍 사릉로 163-82</t>
  </si>
  <si>
    <t>031-568-0013</t>
  </si>
  <si>
    <t>대구 북구 구리로 199 (국우동,2층 202호)</t>
  </si>
  <si>
    <t>053-313-4718</t>
  </si>
  <si>
    <t>인천 계양구 서운동 144-47</t>
  </si>
  <si>
    <t>032-555-7825</t>
  </si>
  <si>
    <t>서울시 동대문구 사기정로 108-1 (전농동)</t>
  </si>
  <si>
    <t>울산 중구 성안동 성안2지구43 블럭5콧트</t>
  </si>
  <si>
    <t>052-244-3511</t>
  </si>
  <si>
    <t>대구 서구 국채보상로 38길 64, 1층(중리동)</t>
  </si>
  <si>
    <t>053-566-7890</t>
  </si>
  <si>
    <t>경기 고양 일산동구 성석로 285-19(성석동,1,2층)</t>
  </si>
  <si>
    <t>031-938-5777</t>
  </si>
  <si>
    <t>경기도 시흥시 뱀내장터로 19번길 4(대야동,1층)</t>
  </si>
  <si>
    <t>대구시 달성군 다사읍 달구벌대로 126길 61</t>
  </si>
  <si>
    <t>010-4787-6887</t>
  </si>
  <si>
    <t>경기 안산 상록구 일동 650-16</t>
  </si>
  <si>
    <t>031-415-0876</t>
  </si>
  <si>
    <t>울산시 남구 신정로 68번길 27(달동,2층)</t>
  </si>
  <si>
    <t>052-235-1640</t>
  </si>
  <si>
    <t>서울 송파구 백제고분로 101(잠실동, (주)서일빌딩)</t>
  </si>
  <si>
    <t>02-404-8877</t>
  </si>
  <si>
    <t>경북 경산시 원효로 40길 17-9, 102동 202호(사동,연안장미타운)</t>
  </si>
  <si>
    <t>광주시 서구 하남대로 550번길 39-34(동천동,제1동호)</t>
  </si>
  <si>
    <t>서울 종로구 연지동 95-1 연금빌딩 105호</t>
  </si>
  <si>
    <t>02-741-4582</t>
  </si>
  <si>
    <t>대구 동구 서호동 123-3</t>
  </si>
  <si>
    <t>053-964-6242</t>
  </si>
  <si>
    <t>광주 북구 신안동 502-4</t>
  </si>
  <si>
    <t>062-525-7580</t>
  </si>
  <si>
    <t>서울 강남구 언주로 3, 102(개포동, 개포우성6차상가)</t>
  </si>
  <si>
    <t>02-376-3302</t>
  </si>
  <si>
    <t>대구광역시 동구 둔산로 214,1층(방촌동)</t>
  </si>
  <si>
    <t>053-985-0485</t>
  </si>
  <si>
    <t>대구 북구 태전동 1008-10</t>
  </si>
  <si>
    <t>053-312-2520</t>
  </si>
  <si>
    <t>제주 서귀포 태평로431번길 3, 904호(서귀동)</t>
  </si>
  <si>
    <t>064-730-5402</t>
  </si>
  <si>
    <t>대구광역시 동구 동촌역사로 5, 2층(검사동)</t>
  </si>
  <si>
    <t>053-213-3232</t>
  </si>
  <si>
    <t>울산 남구 팔등로 13, 201(신정동,세영시티타워)</t>
  </si>
  <si>
    <t>052-247-3030</t>
  </si>
  <si>
    <t>서울시 서초구 마방로 4길 15-56(양재동, 삼화빌딩)</t>
  </si>
  <si>
    <t>02-579-8210</t>
  </si>
  <si>
    <t>충남 논산 연산면 선비로 482-31</t>
  </si>
  <si>
    <t>041-735-8150</t>
  </si>
  <si>
    <t>서울시 서초구 강남대로 241, 17층(서초동, 세원빌딩)</t>
  </si>
  <si>
    <t>02-553-2900</t>
  </si>
  <si>
    <t>제제주특별자치도 재주시 부록서길 34-2</t>
  </si>
  <si>
    <t>064-748-4811</t>
  </si>
  <si>
    <t>경기 화성 장안면 포슬장안로1120번길 8-15</t>
  </si>
  <si>
    <t>031-382-1773</t>
  </si>
  <si>
    <t>경기 용인 처인구 모현면 초하로 20-1</t>
  </si>
  <si>
    <t>031-333-2774</t>
  </si>
  <si>
    <t>대전 서구 계룡로 553번안길 45(탄방동)</t>
  </si>
  <si>
    <t>대전 대덕구 오정동 325-1</t>
  </si>
  <si>
    <t>042-623-6440</t>
  </si>
  <si>
    <t>054-281-5698</t>
  </si>
  <si>
    <t>경기 안양 만안 석수동275-1 현대아파트상가 B103호</t>
  </si>
  <si>
    <t>031-464-8622</t>
  </si>
  <si>
    <t>전남 무안군 삼향읍 남악2로 22번길 30, 뉴캐슬주상복합상가 1층</t>
  </si>
  <si>
    <t>061-282-0933</t>
  </si>
  <si>
    <t>경기 김포 통진읍 귀전리 444</t>
  </si>
  <si>
    <t>031-986-5576</t>
  </si>
  <si>
    <t>대구시 서구 국채보상로 184(중리동)</t>
  </si>
  <si>
    <t>053-522-1134</t>
  </si>
  <si>
    <t>충남 논산 구르뫼1길 28-1 (강산동)</t>
  </si>
  <si>
    <t>041-735-2606</t>
  </si>
  <si>
    <t>경기도 성남시 분당구 황새울로 200번길 28, 11층 알1168호(수내동, 오너스타워)</t>
  </si>
  <si>
    <t>전남 순천 연향동 1584-1</t>
  </si>
  <si>
    <t>061-723-4823</t>
  </si>
  <si>
    <t>서울 강서구 화곡동 1013-18</t>
  </si>
  <si>
    <t>02-2694-3772</t>
  </si>
  <si>
    <t>서울 마포구 토정로 44 (합정동,7층701호)</t>
  </si>
  <si>
    <t>02-6925-6680</t>
  </si>
  <si>
    <t>경기도 화성시 동탄대로 21길 10, 10층 1008호(영천동, 더퍼스트타워)</t>
  </si>
  <si>
    <t>대구 달서구 죽전동 367-11</t>
  </si>
  <si>
    <t>울산시 북구 송내14길 8 (화봉동)</t>
  </si>
  <si>
    <t>052-288-9500</t>
  </si>
  <si>
    <t>대구 달서구 송현 1907-20</t>
  </si>
  <si>
    <t>053-651-2041</t>
  </si>
  <si>
    <t>경기 시흥 수인로2793번길 9 (도창동)</t>
  </si>
  <si>
    <t>031-312-8814</t>
  </si>
  <si>
    <t>대전 서구 변동중로 45번길 15(변동)</t>
  </si>
  <si>
    <t>042-533-6619</t>
  </si>
  <si>
    <t>광주 광산구 하남동 509-15</t>
  </si>
  <si>
    <t>062-951-7509</t>
  </si>
  <si>
    <t>인천 연수구 먼우금로 299, 1동 505호(연수동,태경아파트)</t>
  </si>
  <si>
    <t>010-6320-1447</t>
  </si>
  <si>
    <t>충북 청주시 상당구 원봉로 25, 지하층(용암동, 소라아파트상가)</t>
  </si>
  <si>
    <t>043-288-2016</t>
  </si>
  <si>
    <t>경기도 파주시 금정로 28-1, 2층(금촌동)</t>
  </si>
  <si>
    <t>031-941-3534</t>
  </si>
  <si>
    <t>전북 전주시 덕진구 용산2길 8 (금암동)</t>
  </si>
  <si>
    <t>경기 용인 기흥구 용구대로2469번길 86 (보정동)</t>
  </si>
  <si>
    <t>010-4952-0521</t>
  </si>
  <si>
    <t>경기 광주 초월읍 경충대로1127번길 10-25</t>
  </si>
  <si>
    <t>031-793-3292</t>
  </si>
  <si>
    <t>광주 북구 북문대로249번길 30 (동림동)</t>
  </si>
  <si>
    <t>062-956-7806</t>
  </si>
  <si>
    <t>광주 북구 용봉택지로 52-4 (용봉동)</t>
  </si>
  <si>
    <t>062-524-1554</t>
  </si>
  <si>
    <t>강원도 춘천시 효자동 590-4 3호</t>
  </si>
  <si>
    <t>033-253-9599</t>
  </si>
  <si>
    <t>043-222-2400</t>
  </si>
  <si>
    <t>경기 김포 월곶면 갈산리 464-1외3필지</t>
  </si>
  <si>
    <t>031-988-9504</t>
  </si>
  <si>
    <t>충남 천안시 서북구 두정중3길 31, 102호(두정동)</t>
  </si>
  <si>
    <t>경기도 성남시 분당구 성남대로 912, 8층 804호(야탑동, 분당 BYC빌딩)</t>
  </si>
  <si>
    <t>031-702-7355</t>
  </si>
  <si>
    <t>경북 경산시 압량면 가일길 20길 28</t>
  </si>
  <si>
    <t>032-343-8609</t>
  </si>
  <si>
    <t>대구 북구 학정로13길 16, 1-402(태전동,두성파크)</t>
  </si>
  <si>
    <t>010-7655-0627</t>
  </si>
  <si>
    <t>경기 포천 소흘읍 소흘로 154-24</t>
  </si>
  <si>
    <t>031-541-8722</t>
  </si>
  <si>
    <t>서울특별시 중구 다산로 210, 6층(신당동,홍진빌딩 5, 6층)</t>
  </si>
  <si>
    <t>064-717-9182</t>
  </si>
  <si>
    <t>대구 달서구 두류동 777-4</t>
  </si>
  <si>
    <t>053-651-5583</t>
  </si>
  <si>
    <t>경기 용인 처인구 포곡읍 영문리 446-1</t>
  </si>
  <si>
    <t>031-321-4395</t>
  </si>
  <si>
    <t>제주 제주시 조천읍 와흘상서2길 57</t>
  </si>
  <si>
    <t>064-702-7990</t>
  </si>
  <si>
    <t>대구시 북구 팔달로 41길 99(노원동2가)</t>
  </si>
  <si>
    <t>053-358-9494</t>
  </si>
  <si>
    <t>서울 송파구 거여동 549-29 1층</t>
  </si>
  <si>
    <t>02-407-8791</t>
  </si>
  <si>
    <t>광주 북구 서암대로 87(신안동)</t>
  </si>
  <si>
    <t>062-525-3939</t>
  </si>
  <si>
    <t>대구 수성구 상동 389-11</t>
  </si>
  <si>
    <t>053-763-5801</t>
  </si>
  <si>
    <t>충북 천안 서북구 직신읍 직산로 222</t>
  </si>
  <si>
    <t>041-587-3301</t>
  </si>
  <si>
    <t>서울 송파구 양재대로 1218</t>
  </si>
  <si>
    <t>02-430-0006</t>
  </si>
  <si>
    <t>충남 천안 서북구 직산읍 직산로 222</t>
  </si>
  <si>
    <t>010-3310-2537</t>
  </si>
  <si>
    <t>부산시 동구 중앙대로 260번길 7-5(초량동)</t>
  </si>
  <si>
    <t>051-441-9900</t>
  </si>
  <si>
    <t>전북 전주 덕진구 만성동 641-2</t>
  </si>
  <si>
    <t>010-3659-2220</t>
  </si>
  <si>
    <t>광주 북구 동림동 925-3</t>
  </si>
  <si>
    <t>062-515-3909</t>
  </si>
  <si>
    <t>경기 안산 단원 고잔 773-8 성진B/D 301호</t>
  </si>
  <si>
    <t>031-475-7655</t>
  </si>
  <si>
    <t>경기 하남 감북동 448</t>
  </si>
  <si>
    <t>02-483-5433</t>
  </si>
  <si>
    <t>제주 제주시 화남로 36, 1층 (화북일동,삼성복합건물)</t>
  </si>
  <si>
    <t>064-721-0403</t>
  </si>
  <si>
    <t>경기도 수원시 영통구 창룡대로 260, 지하2층 211호(이의동, 광교 센트럴비즈타워)</t>
  </si>
  <si>
    <t>031-243-1404</t>
  </si>
  <si>
    <t>경기 용인 처인 모현 왕산리 366-9</t>
  </si>
  <si>
    <t>02-443-7363</t>
  </si>
  <si>
    <t>경기 용인 처인구 모현면 일산리 453-1</t>
  </si>
  <si>
    <t>제주 제주시 조천읍 조와로 317-23</t>
  </si>
  <si>
    <t>064-782-8430</t>
  </si>
  <si>
    <t>대구 달성군 옥포면 반송리 150-6</t>
  </si>
  <si>
    <t>대구 달서구 갈산동 358-15</t>
  </si>
  <si>
    <t>053-588-1911</t>
  </si>
  <si>
    <t>경기 고양 덕양구 내유동 104-2</t>
  </si>
  <si>
    <t>031-964-7018</t>
  </si>
  <si>
    <t>경기 하남 청뜰로 116(초일동)</t>
  </si>
  <si>
    <t>02-427-4205</t>
  </si>
  <si>
    <t>064-722-7895</t>
  </si>
  <si>
    <t>경북 포항 북구 청하면 동해대로2315번길 44</t>
  </si>
  <si>
    <t>010-3820-2560</t>
  </si>
  <si>
    <t>서울 금천구 시흥대로 97, 224(시흥동,시흥산업용재유통센타13동2층224호)</t>
  </si>
  <si>
    <t>02-795-1763</t>
  </si>
  <si>
    <t>충남 천안 서북구 봉정로 167 (성정동)</t>
  </si>
  <si>
    <t>041-575-4377</t>
  </si>
  <si>
    <t>서울 동대문구 천효대로 12길 39(용두동,1층)</t>
  </si>
  <si>
    <t>대전 서구 둔산대로117번길 44</t>
  </si>
  <si>
    <t>042-638-8045</t>
  </si>
  <si>
    <t>대구 동구 각산동 235-2</t>
  </si>
  <si>
    <t>광주 북구 하남대로 475(동림동)</t>
  </si>
  <si>
    <t>062-962-8402</t>
  </si>
  <si>
    <t>02-3474-5060</t>
  </si>
  <si>
    <t>경기 고양 일산서구 구산로135번길 34-61(구산동)</t>
  </si>
  <si>
    <t>031-906-7452</t>
  </si>
  <si>
    <t>053-551-2080</t>
  </si>
  <si>
    <t>경기도 하남시 신평로 36-108</t>
  </si>
  <si>
    <t>02-478-3335</t>
  </si>
  <si>
    <t>경기 하남 풍산동 355-1</t>
  </si>
  <si>
    <t>충남 서산 인지면 둔당리 256-41</t>
  </si>
  <si>
    <t>041-667-4164</t>
  </si>
  <si>
    <t>대구 달서구 장산로 46 (용산동,2층)</t>
  </si>
  <si>
    <t>053-566-1283</t>
  </si>
  <si>
    <t>충남 태안 태안읍 동백로 346</t>
  </si>
  <si>
    <t>041-674-9409</t>
  </si>
  <si>
    <t>서울 강동구 상일로21길 3(고덕동,3층)</t>
  </si>
  <si>
    <t>031-477-8828</t>
  </si>
  <si>
    <t>경북 포항 북구 청하면 동해대로2315번길 42</t>
  </si>
  <si>
    <t>054-251-0248</t>
  </si>
  <si>
    <t>경기 광주 초월읍 학동리 324-1</t>
  </si>
  <si>
    <t>02-415-0445</t>
  </si>
  <si>
    <t>부산 사상구 사상로 553(모라동)</t>
  </si>
  <si>
    <t>인천시 남동구 선수촌공원로 23번길 11, 605호(구월동,네이쳐프라자)</t>
  </si>
  <si>
    <t>032-569-6791</t>
  </si>
  <si>
    <t>부산 중구 대청로 91-6, 209(대청동2가, 그린시티)</t>
  </si>
  <si>
    <t>051-756-2278</t>
  </si>
  <si>
    <t>대구 동구 송라로 59 (신천동,2층)</t>
  </si>
  <si>
    <t>053-254-4200</t>
  </si>
  <si>
    <t>경북 경산 압량면 인안리 193-1 1층</t>
  </si>
  <si>
    <t>053-604-2448</t>
  </si>
  <si>
    <t>경기 이천 부발읍 부흥로 16</t>
  </si>
  <si>
    <t>031-636-7727</t>
  </si>
  <si>
    <t>서울 서초구 강남대로 93길 31-3 1층-102(장원동, 강남아이빌)</t>
  </si>
  <si>
    <t>울산시 울주군 웅촌면 곡천검단로 142</t>
  </si>
  <si>
    <t>경기 광명 오리로876번길 30, 1-1008(철산동,미성아이테크빌)</t>
  </si>
  <si>
    <t>02-2625-4020</t>
  </si>
  <si>
    <t>경기 양주 장흥면 교현리 156</t>
  </si>
  <si>
    <t>031-826-9119</t>
  </si>
  <si>
    <t>부산 해운대구 센텀서로 30, 2201(우동,케이엔엔타워2201호~2209호)</t>
  </si>
  <si>
    <t>010-3180-3335</t>
  </si>
  <si>
    <t>제주 제주 화북이동 5168-8</t>
  </si>
  <si>
    <t>064-726-3555</t>
  </si>
  <si>
    <t>경기 포천 화현면 화현리 1066-3</t>
  </si>
  <si>
    <t>031-534-5408</t>
  </si>
  <si>
    <t>충북 옥천 동이면 적하리 775</t>
  </si>
  <si>
    <t>043-731-6812</t>
  </si>
  <si>
    <t>충북 옥천 동이면 적하리 539번지</t>
  </si>
  <si>
    <t>경기 안성 서운면 현매리 225-8</t>
  </si>
  <si>
    <t>031-673-4954</t>
  </si>
  <si>
    <t>충남 아산시 번영로 223(모종동)</t>
  </si>
  <si>
    <t>광주 북구 첨단연신로288번길 23(연제동)</t>
  </si>
  <si>
    <t>062-574-2204</t>
  </si>
  <si>
    <t>010-3937-5249</t>
  </si>
  <si>
    <t>강원도 속초시 응동길 90(노학동)</t>
  </si>
  <si>
    <t>033-635-1111</t>
  </si>
  <si>
    <t>대구 서구 이현동 44-113</t>
  </si>
  <si>
    <t>053-556-9393</t>
  </si>
  <si>
    <t>대전 동구 동서대로 1529-16 (삼성동)</t>
  </si>
  <si>
    <t>042-621-5784</t>
  </si>
  <si>
    <t>대전 대덕구 송촌북로5번갈 24-16</t>
  </si>
  <si>
    <t>042-622-1456</t>
  </si>
  <si>
    <t>경기도 용인시 처인구 양지면 주북로 130, 씨동</t>
  </si>
  <si>
    <t>경기 파주 광탄면 신산리 242</t>
  </si>
  <si>
    <t>031-947-4495</t>
  </si>
  <si>
    <t>대구광역시 달서구 달서대로 559, 1201호 1202, 1304호(신당동, 이앤씨이노비즈타워)</t>
  </si>
  <si>
    <t>053-252-1515</t>
  </si>
  <si>
    <t>경기 파주 법원읍 보광로 1837번길 90</t>
  </si>
  <si>
    <t>032-326-7600</t>
  </si>
  <si>
    <t>강원 강릉 강동면 둔지길 69-1</t>
  </si>
  <si>
    <t>033-647-9777</t>
  </si>
  <si>
    <t>전북 완주 용진면 구억리 402</t>
  </si>
  <si>
    <t>063-242-9103</t>
  </si>
  <si>
    <t>경기 광명 연서로16번길 19 (철산동)</t>
  </si>
  <si>
    <t>010-5332-7838</t>
  </si>
  <si>
    <t>경기 수원 영통 원천동 산5</t>
  </si>
  <si>
    <t>031-219-2080</t>
  </si>
  <si>
    <t>충남 공주시 계룡면 영규대사로 749</t>
  </si>
  <si>
    <t>041-853-3773</t>
  </si>
  <si>
    <t>대전광역시 유성구 현충원로 418(구암동)</t>
  </si>
  <si>
    <t>042-534-2071</t>
  </si>
  <si>
    <t>경기 화성 남양읍 무하로110번길 13</t>
  </si>
  <si>
    <t>031-357-9849</t>
  </si>
  <si>
    <t>대구 달서 본 778-1</t>
  </si>
  <si>
    <t>010-3514-4262</t>
  </si>
  <si>
    <t>충남 논산 가야곡면 가야공단길 14-21</t>
  </si>
  <si>
    <t>042-472-5500</t>
  </si>
  <si>
    <t>경기 안산 상록구 사동 1538-1 푸른마을 3 단지주공 303동602호</t>
  </si>
  <si>
    <t>010-3744-8134</t>
  </si>
  <si>
    <t>제주 제주 화북이동 891-1</t>
  </si>
  <si>
    <t>서울 강서구 양천로 107,2층(방화동)</t>
  </si>
  <si>
    <t>02-2601-6063</t>
  </si>
  <si>
    <t>서울 송파구 잠실동 198 MBC 5층</t>
  </si>
  <si>
    <t>02-597-5521</t>
  </si>
  <si>
    <t>서울특별시 금천구 가산디지털1로 145,1004호(가산동,에이스하이엔드타워3차)</t>
  </si>
  <si>
    <t>충북 옥천 서면 성왕로 564</t>
  </si>
  <si>
    <t>043-731-7141</t>
  </si>
  <si>
    <t>032-553-7377</t>
  </si>
  <si>
    <t>서울시 서초구 강남대로 327, 비1층 102호(서초동,센추리비즈니스센터)</t>
  </si>
  <si>
    <t>02-552-2227</t>
  </si>
  <si>
    <t>031-572-8117</t>
  </si>
  <si>
    <t>경기도 광주시 태봉로 116-18 (태전동)</t>
  </si>
  <si>
    <t>031-761-0123</t>
  </si>
  <si>
    <t>02-2615-8758</t>
  </si>
  <si>
    <t>경기도 군포시 고산로 185번길 21(당정동,군포아이티밸리)</t>
  </si>
  <si>
    <t>경기도 남양주시 진건읍 양진로 221-37</t>
  </si>
  <si>
    <t>010-2517-3002</t>
  </si>
  <si>
    <t>서울 성북구 성북로2길 17, 202호(동소문동1가)</t>
  </si>
  <si>
    <t>02-3291-5600</t>
  </si>
  <si>
    <t>전북 완주 상관면 죽림리 216-1</t>
  </si>
  <si>
    <t>063-254-6116</t>
  </si>
  <si>
    <t>경기도 김포시 고촌읍 금파로337번길 109-12, 2층(향산리588-76)</t>
  </si>
  <si>
    <t>031-998-6066</t>
  </si>
  <si>
    <t>인천 남동구 능골로 27 (수산동,건축물1동1층-2층)</t>
  </si>
  <si>
    <t>032-423-0371</t>
  </si>
  <si>
    <t>경기 파주 탄현면 웅지로 76-21, 402호</t>
  </si>
  <si>
    <t>010-9209-7931</t>
  </si>
  <si>
    <t>경북 경산 진량읍 공단로 504</t>
  </si>
  <si>
    <t>010-5643-2552</t>
  </si>
  <si>
    <t>대구 달성군 구지면 달성2차동1로 195</t>
  </si>
  <si>
    <t>053-611-0660</t>
  </si>
  <si>
    <t>경기도 화성시 양감면 초록로 347</t>
  </si>
  <si>
    <t>서울 강남구 테헤란로 114길 38, 14층(대치동,동일타워)</t>
  </si>
  <si>
    <t>054-230-7032</t>
  </si>
  <si>
    <t>경기 양주 광적면 그루고개로143번길 130</t>
  </si>
  <si>
    <t>031-569-2020</t>
  </si>
  <si>
    <t>경기 안양 만안구 만안로11 (안양동)</t>
  </si>
  <si>
    <t>대구시 달성군 논공읍 노이2길 6</t>
  </si>
  <si>
    <t>053-614-1255</t>
  </si>
  <si>
    <t>제주 제주 금천길 15-24 (아라이동)</t>
  </si>
  <si>
    <t>064-742-2045</t>
  </si>
  <si>
    <t>울산 북구 화봉동 892-4</t>
  </si>
  <si>
    <t>서울 서초구 서초동 1445-13 115호~116호</t>
  </si>
  <si>
    <t>02-3486-5020</t>
  </si>
  <si>
    <t>광주 서구 하남대로550번길 19-26 (동천동)</t>
  </si>
  <si>
    <t>062-524-6009</t>
  </si>
  <si>
    <t>02-483-3522</t>
  </si>
  <si>
    <t>전남 장성 삼계면 월연리 360</t>
  </si>
  <si>
    <t>062-526-2189</t>
  </si>
  <si>
    <t>경기 수원 권선구 당수로119번길 107 (당수동,1층)</t>
  </si>
  <si>
    <t>031-278-4066</t>
  </si>
  <si>
    <t>광주 서구 덕흥동 569</t>
  </si>
  <si>
    <t>062-374-0836</t>
  </si>
  <si>
    <t>전북 무주군 무주읍 한풍루로 298-6</t>
  </si>
  <si>
    <t>울산 남구 돋질로 429(삼산동)</t>
  </si>
  <si>
    <t>052-273-3204</t>
  </si>
  <si>
    <t>인천시 남동구 에코중앙로 163(논현동)</t>
  </si>
  <si>
    <t>경기도 양주시 광적면 그루고개로 92-22</t>
  </si>
  <si>
    <t>031-829-8782</t>
  </si>
  <si>
    <t>경북 경산시 남천면 삼성역길 131-17</t>
  </si>
  <si>
    <t>경기도 광주시 도척면 도척로 774번길 15-34, 2,3동</t>
  </si>
  <si>
    <t>031-8027-2747</t>
  </si>
  <si>
    <t>053-631-0310</t>
  </si>
  <si>
    <t>대구 동구 팔공로26길 99(도동)</t>
  </si>
  <si>
    <t>053-617-3005</t>
  </si>
  <si>
    <t>대구 북구 산격동 1629 산업용재관2동 205</t>
  </si>
  <si>
    <t>053-384-3530</t>
  </si>
  <si>
    <t>경기 파주 파주읍 백석리 561-11</t>
  </si>
  <si>
    <t>031-942-0367</t>
  </si>
  <si>
    <t>경기 화성 팔탄면 서근리 7-26,7-36</t>
  </si>
  <si>
    <t>031-358-0557</t>
  </si>
  <si>
    <t>인천 부평구 삼산동 464-2</t>
  </si>
  <si>
    <t>032-506-8399</t>
  </si>
  <si>
    <t>경기 남양주 진접읍 내곡리 73,74번지의 제1호</t>
  </si>
  <si>
    <t>031-575-9734</t>
  </si>
  <si>
    <t>대구 달서구 달서대로91길 120(호산동)</t>
  </si>
  <si>
    <t>053-580-0764</t>
  </si>
  <si>
    <t>대구 남구 대명서로 15-4 (대명동)</t>
  </si>
  <si>
    <t>053-628-8785</t>
  </si>
  <si>
    <t>경기 시흥 월곶고잔3길 59-4 (월곶동)</t>
  </si>
  <si>
    <t>070-8821-9560</t>
  </si>
  <si>
    <t>02-571-6129</t>
  </si>
  <si>
    <t>031-975-2758</t>
  </si>
  <si>
    <t>경기 용인 처인구 모현면 왕산리 735-1</t>
  </si>
  <si>
    <t>031-333-1883</t>
  </si>
  <si>
    <t>서울시 도봉구 도봉로 182길 6-83. 3동 308호</t>
  </si>
  <si>
    <t>전남 광양 광양읍 옹기길 14</t>
  </si>
  <si>
    <t>061-762-6793</t>
  </si>
  <si>
    <t>경기 고양시 일산동구 호수로 446번길 17, 1층(백석동)</t>
  </si>
  <si>
    <t>02-3661-5622</t>
  </si>
  <si>
    <t>대전 서구 조달청길 79 (도마동)</t>
  </si>
  <si>
    <t>042-526-0904</t>
  </si>
  <si>
    <t>광주 북구 문화소통로 82 (용봉동,1층)</t>
  </si>
  <si>
    <t>010-4601-9840</t>
  </si>
  <si>
    <t>경기 광주 곤지암읍 오향리 323-1</t>
  </si>
  <si>
    <t>031-798-7291</t>
  </si>
  <si>
    <t>대구 달서구 진천동 57-15,57-16,53-5</t>
  </si>
  <si>
    <t>070-4571-7118</t>
  </si>
  <si>
    <t>경북 포항 북구 우창동로22번길 7, 1층(우현동)</t>
  </si>
  <si>
    <t>010-3115-5090</t>
  </si>
  <si>
    <t>전남 여수시 무선로 95(선원동)</t>
  </si>
  <si>
    <t>061-690-6189</t>
  </si>
  <si>
    <t>경기도 광명시 목감로 88, 103동 1001호(광명동, 새광명 현진에버빌아파트)</t>
  </si>
  <si>
    <t>충북 청주 흥덕구 송절동 147-3</t>
  </si>
  <si>
    <t>043-222-5806</t>
  </si>
  <si>
    <t>충남 보령 대해로 425-20(요암동)</t>
  </si>
  <si>
    <t>041-936-9300</t>
  </si>
  <si>
    <t>충남 천안 서북구 업성3길 178(신당동)</t>
  </si>
  <si>
    <t>041-664-6667</t>
  </si>
  <si>
    <t>울산 울주군 언양읍 방천2길 1</t>
  </si>
  <si>
    <t>010-3859-6633</t>
  </si>
  <si>
    <t>서울 광진구 면옥로 168 (중곡동,3층)</t>
  </si>
  <si>
    <t>02-453-3551</t>
  </si>
  <si>
    <t>서울 강동구 아리수로 286, 2층(고덕동)</t>
  </si>
  <si>
    <t>02-5441-9182</t>
  </si>
  <si>
    <t>경남 진주 문산읍 삼곡리 231-3</t>
  </si>
  <si>
    <t>055-758-0059</t>
  </si>
  <si>
    <t>서울 강북구 한천로 936, 1층 106호(번동,센트로힐)</t>
  </si>
  <si>
    <t>02-999-3312</t>
  </si>
  <si>
    <t>서울 강동구 길동 151 동일빌딩 502호</t>
  </si>
  <si>
    <t>02-488-6226</t>
  </si>
  <si>
    <t>경북 경주 성건동 644-30</t>
  </si>
  <si>
    <t>054-741-2054</t>
  </si>
  <si>
    <t>울산 중구 반구동 600-2</t>
  </si>
  <si>
    <t>052-293-5378</t>
  </si>
  <si>
    <t>경북 포항시 남구 상도동 640-19</t>
  </si>
  <si>
    <t>강원 원주 판부면 마장2길 16</t>
  </si>
  <si>
    <t>033-766-2933</t>
  </si>
  <si>
    <t>경북 경산 압량면 내리 229</t>
  </si>
  <si>
    <t>010-3528-3889</t>
  </si>
  <si>
    <t>경북 구미 비산동 468, 468-2</t>
  </si>
  <si>
    <t>054-462-4610</t>
  </si>
  <si>
    <t>경기 김포 양촌읍 봉수대로 1710, 마동 210호(모아종합유상가)</t>
  </si>
  <si>
    <t>031-992-2227</t>
  </si>
  <si>
    <t>서울 영등포구 당산동3가 385-1</t>
  </si>
  <si>
    <t>대구 달서구 진천로 25-7</t>
  </si>
  <si>
    <t>053-641-3151</t>
  </si>
  <si>
    <t>경기 부천 원미구 송내대로73번길 45</t>
  </si>
  <si>
    <t>032-822-8921</t>
  </si>
  <si>
    <t>대구 동구 효목로 19-8 (효목동)</t>
  </si>
  <si>
    <t>053-985-3979</t>
  </si>
  <si>
    <t>제주 제주 연상로 334 (도남동)</t>
  </si>
  <si>
    <t>064-742-4240</t>
  </si>
  <si>
    <t>광주 북구 운암동 1166-1</t>
  </si>
  <si>
    <t>062-941-4560</t>
  </si>
  <si>
    <t>경기도 용인시 처인구 중부대로 1281번길 10-7, 1층 2호(역북동)</t>
  </si>
  <si>
    <t>경기 화성 봉담읍 덕우공단2길 10-5</t>
  </si>
  <si>
    <t>02-508-0416</t>
  </si>
  <si>
    <t>제주 서귀포 토평동 1479-10</t>
  </si>
  <si>
    <t>064-762-6670</t>
  </si>
  <si>
    <t>경기도 수원시 영통구 중부대로 448번길 9</t>
  </si>
  <si>
    <t>031-548-2533</t>
  </si>
  <si>
    <t>경기 김포시 대곶면 대곶서로 314-82</t>
  </si>
  <si>
    <t>031-998-0274</t>
  </si>
  <si>
    <t>서울 성동구 송정동 68-53</t>
  </si>
  <si>
    <t>010-8971-8820</t>
  </si>
  <si>
    <t>경남 김해시 외동 1241-2</t>
  </si>
  <si>
    <t>055-903-3579</t>
  </si>
  <si>
    <t>053-746-7551</t>
  </si>
  <si>
    <t>인천 남동구 인주대로 707</t>
  </si>
  <si>
    <t>광주 광산구 손재로 368-42(장덕동)</t>
  </si>
  <si>
    <t>062-572-9960</t>
  </si>
  <si>
    <t>부산시 부산진구 냉정로 273, 2층 1호 (가야동)</t>
  </si>
  <si>
    <t>010-7104-1333</t>
  </si>
  <si>
    <t>부산광역시 연제구 반송로 53(연산동)</t>
  </si>
  <si>
    <t>051-866-4222</t>
  </si>
  <si>
    <t>서울 은평구 수색로 22가길 7(수색동,비동1층)</t>
  </si>
  <si>
    <t>031-941-1653</t>
  </si>
  <si>
    <t>경기 파주 독암길 12 상가-201 (금릉동,장안흰돌마을아파트)</t>
  </si>
  <si>
    <t>대구 서구 평리로 182,3층(내당동)</t>
  </si>
  <si>
    <t>053-751-2972</t>
  </si>
  <si>
    <t>경기 안산 단원구 산단로 278, 에이동 405호(원시동,반월하이테크빌리지)</t>
  </si>
  <si>
    <t>031-493-7712</t>
  </si>
  <si>
    <t>031-8084-7714</t>
  </si>
  <si>
    <t>02-2625-0723</t>
  </si>
  <si>
    <t>충남 계룡시 서금암3길 5, 812호(금암동, 쉐리움)</t>
  </si>
  <si>
    <t>경기 고양 일산동구 공릉천로 279-30 (사리현동)</t>
  </si>
  <si>
    <t>031-975-1859</t>
  </si>
  <si>
    <t>인천 남동구 하촌로 40-6, 4층 406호(만수동, 삼성아파트)</t>
  </si>
  <si>
    <t>경북 안동 용상동 1267-9</t>
  </si>
  <si>
    <t>경기 김포 고촌읍 전효리 609-2</t>
  </si>
  <si>
    <t>031-986-6253</t>
  </si>
  <si>
    <t>인천 남구 미추홀대로 529 (주안동,더블유빌딩4층)</t>
  </si>
  <si>
    <t>032-883-2559</t>
  </si>
  <si>
    <t>경기 김포 하성면 누산봉성로237번길 147-57, 125-1</t>
  </si>
  <si>
    <t>050-7737-6006</t>
  </si>
  <si>
    <t>경기 성남 분당구 석운동 83-3</t>
  </si>
  <si>
    <t>031-713-0747</t>
  </si>
  <si>
    <t>제주 제주 이호이동 1529-1</t>
  </si>
  <si>
    <t>경북 경산시 압량면 내리 229</t>
  </si>
  <si>
    <t>광주 광산구 신촌동 993-5</t>
  </si>
  <si>
    <t>062-942-9100</t>
  </si>
  <si>
    <t>경남 진주 상평동 234-13</t>
  </si>
  <si>
    <t>055-757-1262</t>
  </si>
  <si>
    <t>대구 동구 경안로107딜 46 (신기동)</t>
  </si>
  <si>
    <t>서울 구로구 경인로53길 15</t>
  </si>
  <si>
    <t>02-2069-2281</t>
  </si>
  <si>
    <t>서울 송파구 법원로 92, 1110호(문정동, 파트너스1)</t>
  </si>
  <si>
    <t>02-408-9440</t>
  </si>
  <si>
    <t>경기도 김포시 고촌읍 태리 285-3</t>
  </si>
  <si>
    <t>대구 남구 봉덕동 효서4길 23</t>
  </si>
  <si>
    <t>052-237-2393</t>
  </si>
  <si>
    <t>010-5279-7406</t>
  </si>
  <si>
    <t>광주광역시 북구 첨단연신로91번길 38,302호(신용동,제이타워)</t>
  </si>
  <si>
    <t>062-511-2808</t>
  </si>
  <si>
    <t>경기 화성 호행로1060,403(병정동,이타운)</t>
  </si>
  <si>
    <t>경북 경산 남천면 비녀길 5</t>
  </si>
  <si>
    <t>053-812-3747</t>
  </si>
  <si>
    <t>경남 김해시 한림면 용덕로 199번길 24,2층</t>
  </si>
  <si>
    <t>055-343-4010</t>
  </si>
  <si>
    <t>인천 서구 원창동 산 21-1</t>
  </si>
  <si>
    <t>032-577-5550</t>
  </si>
  <si>
    <t>서울시 성동구 아차산로 15길 19, 1층 (성수동2가, 우리W타워)</t>
  </si>
  <si>
    <t>054-704-8825</t>
  </si>
  <si>
    <t>서울 강서구 등촌 678-7 동광그린타워 1003</t>
  </si>
  <si>
    <t>02-3661-2583</t>
  </si>
  <si>
    <t>경기 광주 곤지암읍 광여로 842-3</t>
  </si>
  <si>
    <t>031-797-9283</t>
  </si>
  <si>
    <t>울산 중구 반구동 735-10</t>
  </si>
  <si>
    <t>052-294-7193</t>
  </si>
  <si>
    <t>충북 청주 상당구 영동 41-25</t>
  </si>
  <si>
    <t>043-231-1104</t>
  </si>
  <si>
    <t>서울시 동대문구 화기로 29길 63-4, 2층(휘경동)</t>
  </si>
  <si>
    <t>경북 경산시 압량면 가일리 231</t>
  </si>
  <si>
    <t>053-857-0815</t>
  </si>
  <si>
    <t>대구 달성군 화원 성산 12-2</t>
  </si>
  <si>
    <t>053-635-0655</t>
  </si>
  <si>
    <t>경기 고양 일산동구 공릉천로 324 (지영동)</t>
  </si>
  <si>
    <t>031-8071-1173</t>
  </si>
  <si>
    <t>경기도 고양시 덕양구 용두로 36-20(용두동)</t>
  </si>
  <si>
    <t>서울 용산 두텀바위로1가길 18 가-201(후암동,현대하이츠빌라)</t>
  </si>
  <si>
    <t>대구 달성군 논공읍 금포리 1217</t>
  </si>
  <si>
    <t>053-611-8092</t>
  </si>
  <si>
    <t>인천광역시 부평구 경인로 1118번길 38-14(일신동,1층)</t>
  </si>
  <si>
    <t>충북 청주 상당구 사천동 453</t>
  </si>
  <si>
    <t>043-215-3182</t>
  </si>
  <si>
    <t>경기 구리 경춘로16번길 3(교문동)</t>
  </si>
  <si>
    <t>031-565-0737</t>
  </si>
  <si>
    <t>경기도 남양주시 진건읍 진관로363번길 78</t>
  </si>
  <si>
    <t>031-528-0556</t>
  </si>
  <si>
    <t>서울 성동구 행당동 192-29 성동샤르망 109</t>
  </si>
  <si>
    <t>02-2238-4081</t>
  </si>
  <si>
    <t>경기 하남 감일동 323-13</t>
  </si>
  <si>
    <t>충남 천안시 서북구 천일고1길 23(신당동)</t>
  </si>
  <si>
    <t>041-621-7400</t>
  </si>
  <si>
    <t>광주광역시 서구 마륵벽진길 75(마륵동)</t>
  </si>
  <si>
    <t>062-973-6957</t>
  </si>
  <si>
    <t>울산시 울주군 웅촌면 은현작동로 151</t>
  </si>
  <si>
    <t>강원 원주 문악읍 보통로 31</t>
  </si>
  <si>
    <t>033-747-6245</t>
  </si>
  <si>
    <t>충북 청주 상당구 사천동 155</t>
  </si>
  <si>
    <t>울산시 남구 삼산중로 146번길 10(삼산동)</t>
  </si>
  <si>
    <t>052-269-4842</t>
  </si>
  <si>
    <t>서울 마포구 아현동 437-3 고려아카데미텔 722</t>
  </si>
  <si>
    <t>02-364-0613</t>
  </si>
  <si>
    <t>서울 강서구 공항대로 382(화곡동, 우장산롯데캐슬아파트101호)</t>
  </si>
  <si>
    <t>02-2602-4122</t>
  </si>
  <si>
    <t>062-710-2352</t>
  </si>
  <si>
    <t>서울 서초구 신반포로45길 50-9(잠원동,유진빌딩2층)</t>
  </si>
  <si>
    <t>02-732-0134</t>
  </si>
  <si>
    <t>경기 안양 동안구 시민대로 267, 1702-3(관양동,평촌아크로팰리스)</t>
  </si>
  <si>
    <t>010-9251-7470</t>
  </si>
  <si>
    <t>강원 원주 태장동 118-1</t>
  </si>
  <si>
    <t>경기 안양 동안 호계동 555-9 안양국제유통단지 28-311</t>
  </si>
  <si>
    <t>031-479-0068</t>
  </si>
  <si>
    <t>경북 안동 수상동 303</t>
  </si>
  <si>
    <t>054-858-7321</t>
  </si>
  <si>
    <t>경기 하남 교산동 166-3 1층 102</t>
  </si>
  <si>
    <t>경기 화성 우정읍 버들로 985-13</t>
  </si>
  <si>
    <t>전북 완주 봉동읍 완주산단3로 166</t>
  </si>
  <si>
    <t>063-278-2578</t>
  </si>
  <si>
    <t>경남 고성 고성읍 죽계1길 29</t>
  </si>
  <si>
    <t>055-673-7501</t>
  </si>
  <si>
    <t>031-415-2002</t>
  </si>
  <si>
    <t>경남 김해 삼계동 1504-1 구지마을3단지푸르지오아파 312-1006 77/10</t>
  </si>
  <si>
    <t>055-339-9525</t>
  </si>
  <si>
    <t>제주 제주 도련안길 62 (도련일동)</t>
  </si>
  <si>
    <t>064-746-4441</t>
  </si>
  <si>
    <t>충북 청원 남이면 가마리 253-2</t>
  </si>
  <si>
    <t>043-287-7744</t>
  </si>
  <si>
    <t>경기도 광주시 오포읍 문형동림길 9</t>
  </si>
  <si>
    <t>031-767-8583</t>
  </si>
  <si>
    <t>대구 달서구 구마로 14길 63(본동)</t>
  </si>
  <si>
    <t>053-525-9240</t>
  </si>
  <si>
    <t>전북 완주군 상관면 신리 914-204</t>
  </si>
  <si>
    <t>경북 경산 압량 신대 395 다빈치</t>
  </si>
  <si>
    <t>대구 달서구 두류 1186-6</t>
  </si>
  <si>
    <t>서울 금천구 가산디지털1로 168 씨-404 (가산동,우림라이온스밸리)</t>
  </si>
  <si>
    <t>02-861-3188</t>
  </si>
  <si>
    <t>제주도 서귀포시 1100로 453-95(회수동)</t>
  </si>
  <si>
    <t>064-730-1235</t>
  </si>
  <si>
    <t>전남 나주 동수농공단지길 62-143(운곡동)</t>
  </si>
  <si>
    <t>061-334-2476</t>
  </si>
  <si>
    <t>서울 동작구 현충로 150-1(흑석동,층)</t>
  </si>
  <si>
    <t>02-525-7767</t>
  </si>
  <si>
    <t>서울 강서구 강서로 532 상가-305(가양동,동신대아아파트)</t>
  </si>
  <si>
    <t>02-3663-8121</t>
  </si>
  <si>
    <t>서울 송파구 가락동 35-10 진흥빌딩 302</t>
  </si>
  <si>
    <t>02-404-4084</t>
  </si>
  <si>
    <t>033-762-5736</t>
  </si>
  <si>
    <t>경기 안산 단원구 풍전로 37-24, 302동 2층 221호(원곡동,트리플렉스)</t>
  </si>
  <si>
    <t>충북 충주 산척면 세고개로 242</t>
  </si>
  <si>
    <t>043-840-1636</t>
  </si>
  <si>
    <t>광주 북구 자산로 82 (신안동)</t>
  </si>
  <si>
    <t>062-574-6555</t>
  </si>
  <si>
    <t>063-214-0281</t>
  </si>
  <si>
    <t>전북 김제시 백구면 백구공단길 45</t>
  </si>
  <si>
    <t>010-9981-9899</t>
  </si>
  <si>
    <t>경기도 의정부시 용민로 192, 201호(민락동, 웅신프라자)</t>
  </si>
  <si>
    <t>031-851-3722</t>
  </si>
  <si>
    <t>전북 전주시 완산구 쑥고개로 284-61(효자동2가)</t>
  </si>
  <si>
    <t>063-225-5857</t>
  </si>
  <si>
    <t>충남 당진 송악읍 방계리 77-9</t>
  </si>
  <si>
    <t>041-357-6066</t>
  </si>
  <si>
    <t>대구시 달서구 월배로40길 36-10(상인동)</t>
  </si>
  <si>
    <t>053-631-1300</t>
  </si>
  <si>
    <t>충남 당진시 송악읍 계촌길 69</t>
  </si>
  <si>
    <t>041-356-6061</t>
  </si>
  <si>
    <t>대구 수성 범어 431-23</t>
  </si>
  <si>
    <t>010-3533-1148</t>
  </si>
  <si>
    <t>서울시 강서구 강서로 17길 122, 1층(화곡동)</t>
  </si>
  <si>
    <t>02-2693-2678</t>
  </si>
  <si>
    <t>광주 동구 계림동 618</t>
  </si>
  <si>
    <t>062-522-9507</t>
  </si>
  <si>
    <t>경기 용인 원삼면 맹리 671-18</t>
  </si>
  <si>
    <t>031-333-0184</t>
  </si>
  <si>
    <t>서울 강동구 성내동 397-11 1층</t>
  </si>
  <si>
    <t>02-485-5075</t>
  </si>
  <si>
    <t>경기 고양 일산동구 정발산동 1334동 1층</t>
  </si>
  <si>
    <t>031-902-3337</t>
  </si>
  <si>
    <t>경기 고양 일산동구 은마길 185번길 145(설문동)</t>
  </si>
  <si>
    <t>경남 양산 하북면 양산대로 2038</t>
  </si>
  <si>
    <t>055-375-1023</t>
  </si>
  <si>
    <t>경기도 시흥시 도두머리길 20-10 (도창동)</t>
  </si>
  <si>
    <t>031-313-5354</t>
  </si>
  <si>
    <t>서울 구로 가마산로27길 11-19, 1202(구로동,송현빌딩)</t>
  </si>
  <si>
    <t>02-866-4527</t>
  </si>
  <si>
    <t>서울 구로구 구로동 610-16 영화빌딩 비-116</t>
  </si>
  <si>
    <t>02-2671-0657</t>
  </si>
  <si>
    <t>충북 음성군 금왕읍 금일로 147-25</t>
  </si>
  <si>
    <t>043-877-6980</t>
  </si>
  <si>
    <t>대구 동구 금호강변로 315 1201-864(율하동, 율하휴먼시아 12단지)</t>
  </si>
  <si>
    <t>제주 제주 봉개동 2328</t>
  </si>
  <si>
    <t>064-723-8560</t>
  </si>
  <si>
    <t>경기도 고양시 일산동구 하늘마을로 158, 비-502(중산동)</t>
  </si>
  <si>
    <t>02-558-3891</t>
  </si>
  <si>
    <t>경기 의정부 산단로98번길 2 (용현동)</t>
  </si>
  <si>
    <t>031-852-1964</t>
  </si>
  <si>
    <t>전남 목포 대양동 875</t>
  </si>
  <si>
    <t>경기 구리 경춘북로303번길 38 (갈매동)</t>
  </si>
  <si>
    <t>031-574-8093</t>
  </si>
  <si>
    <t>경기도 시흥시 함송로 24, 301호(정왕동,세종프라자)</t>
  </si>
  <si>
    <t>031-319-3167</t>
  </si>
  <si>
    <t>대구 수성구 만촌동 615-26</t>
  </si>
  <si>
    <t>053-754-6990</t>
  </si>
  <si>
    <t>충남 당진 송악면 부곡리 563-15</t>
  </si>
  <si>
    <t>041-357-4571</t>
  </si>
  <si>
    <t>경기 광주 오포읍 문형리 742-1</t>
  </si>
  <si>
    <t>031-768-5388</t>
  </si>
  <si>
    <t>서울 은평구 진관2로 111-51(진관동)</t>
  </si>
  <si>
    <t>02-6341-6413</t>
  </si>
  <si>
    <t>부산 기장군 일광면 일광로 705</t>
  </si>
  <si>
    <t>051-722-2852</t>
  </si>
  <si>
    <t>서울 강서구 염창 246-9</t>
  </si>
  <si>
    <t>02-3662-0990</t>
  </si>
  <si>
    <t>인천시 미추홀구 염전로 91(도화동)</t>
  </si>
  <si>
    <t>032-760-0583</t>
  </si>
  <si>
    <t>031-795-0755</t>
  </si>
  <si>
    <t>경상남도 진주시 도동로 128(상대동)</t>
  </si>
  <si>
    <t>055-757-1311</t>
  </si>
  <si>
    <t>경북 포항 북구 대해로 60 (죽도동,유일프라자504)</t>
  </si>
  <si>
    <t>054-281-9864</t>
  </si>
  <si>
    <t>대전 서구 월평로 84-1 (월평동)</t>
  </si>
  <si>
    <t>042-488-3404</t>
  </si>
  <si>
    <t>제주 제주 일도이동 104-10 2층</t>
  </si>
  <si>
    <t>충북 청주시 서원구 남이면 부용남이길 330, 2층</t>
  </si>
  <si>
    <t>043-286-1068</t>
  </si>
  <si>
    <t>경북 경산 압량면 인안리 193-1</t>
  </si>
  <si>
    <t>053-295-6061</t>
  </si>
  <si>
    <t>서울시 용등포구 국제금융로2길 32, 13층(여의도동, 여의도파이낸스타워)</t>
  </si>
  <si>
    <t>02-331-6171</t>
  </si>
  <si>
    <t>경기 고양 덕양구 주교 1633 우인Apt 101-303 27/2</t>
  </si>
  <si>
    <t>031-988-5963</t>
  </si>
  <si>
    <t>서울 강서구 등촌동 63-12 예다인오피스텔A동 1201호</t>
  </si>
  <si>
    <t>02-2659-3474</t>
  </si>
  <si>
    <t>경기 안양 동안구 동편로 91 (관양동)</t>
  </si>
  <si>
    <t>031-420-2737</t>
  </si>
  <si>
    <t>대구 수성 국채보상로 1056-2 (만촌동)</t>
  </si>
  <si>
    <t>010-9989-6963</t>
  </si>
  <si>
    <t>070-4365-4887</t>
  </si>
  <si>
    <t>전남 해남군 옥천면 농공단지길 37</t>
  </si>
  <si>
    <t>061-533-5024</t>
  </si>
  <si>
    <t>경기도 화성시 효행로 1337-23(반월동)</t>
  </si>
  <si>
    <t>031-238-0098</t>
  </si>
  <si>
    <t>서울 서초구 방배동 1024-2 정도빌딩2층</t>
  </si>
  <si>
    <t>02-3472-4766</t>
  </si>
  <si>
    <t>경기 안양 동안구 시민대로 267, 1702(관양동,평촌아크로펠리스)</t>
  </si>
  <si>
    <t>050-5445-5445</t>
  </si>
  <si>
    <t>서울 강남구 역삼동 833-4 청보빌딩 6층</t>
  </si>
  <si>
    <t>02-557-9043</t>
  </si>
  <si>
    <t>경기 파주 광탄면 분수리 1-4</t>
  </si>
  <si>
    <t>031-948-3211</t>
  </si>
  <si>
    <t>충남 서산 대산읍 명지1로 396-5</t>
  </si>
  <si>
    <t>041-662-5246</t>
  </si>
  <si>
    <t>경기도 안산시 사동 1366-4</t>
  </si>
  <si>
    <t>031-406-7780</t>
  </si>
  <si>
    <t>경북 구미 도량동 344</t>
  </si>
  <si>
    <t>054-443-4942</t>
  </si>
  <si>
    <t>전북 전주 덕진구 심복천변로 31 (팔복동1가)</t>
  </si>
  <si>
    <t>063-211-8762</t>
  </si>
  <si>
    <t>경기 수원 권선구 고색동 934 수원산업단지</t>
  </si>
  <si>
    <t>031-297-8716</t>
  </si>
  <si>
    <t>경북 경산 하양 청천1길 12</t>
  </si>
  <si>
    <t>053-964-3466</t>
  </si>
  <si>
    <t>인천 부평 부평대로 290 (갈산동,창신빌딩1층)</t>
  </si>
  <si>
    <t>032-502-5571</t>
  </si>
  <si>
    <t>인천 남동구 구월동 1221-1 상가1층2칸</t>
  </si>
  <si>
    <t>032-464-9040</t>
  </si>
  <si>
    <t>인천 중구 공항로 272 (운서동)</t>
  </si>
  <si>
    <t>032-744-7000</t>
  </si>
  <si>
    <t>인천 남구 주안동로26번길 4 (주안동)</t>
  </si>
  <si>
    <t>010-8931-5539</t>
  </si>
  <si>
    <t>대구 동구 동부로 26길 58, 301호(신천동)</t>
  </si>
  <si>
    <t>대구 동구 각산동 249-2</t>
  </si>
  <si>
    <t>053-964-5879</t>
  </si>
  <si>
    <t>경남 김해 삼방동 71-1 36/5</t>
  </si>
  <si>
    <t>055-902-6256</t>
  </si>
  <si>
    <t>경남 김해시 해반천로144번길 35-14(삼계동,세원빌딩6층)</t>
  </si>
  <si>
    <t>광주 남구 송하동 422-42 태림빌딩2층</t>
  </si>
  <si>
    <t>062-673-3200</t>
  </si>
  <si>
    <t>경남 김해시 활천로 16번길 14(삼정동)</t>
  </si>
  <si>
    <t>055-325-9197</t>
  </si>
  <si>
    <t>강원 강릉 노암동 540</t>
  </si>
  <si>
    <t>010-8946-7364</t>
  </si>
  <si>
    <t>광주 광산구 양동 23-1</t>
  </si>
  <si>
    <t>062-943-3800</t>
  </si>
  <si>
    <t>서울 서초구 바우뫼로27길 2(양재동)</t>
  </si>
  <si>
    <t>대구시 서구 큰장로 7길 15 (내당동)</t>
  </si>
  <si>
    <t>경북 칠곡 지천면 창평로 209-33</t>
  </si>
  <si>
    <t>054-976-2217</t>
  </si>
  <si>
    <t>010-2722-2287</t>
  </si>
  <si>
    <t>대구 북구 유통단지로 16</t>
  </si>
  <si>
    <t>대구 수성구 범어동 774-72</t>
  </si>
  <si>
    <t>경북 구미시 비산로5길 34-9, 일성종합상사(비산동,A)</t>
  </si>
  <si>
    <t>054-461-1282</t>
  </si>
  <si>
    <t>대구 북구 고촌길 139 (서변동)</t>
  </si>
  <si>
    <t>010-9036-2482</t>
  </si>
  <si>
    <t>경기도 화성시 장안면 포승장안로 1120번길 8-15</t>
  </si>
  <si>
    <t>서울 광진구 중곡동 245-5</t>
  </si>
  <si>
    <t>02-518-1015</t>
  </si>
  <si>
    <t>인천 동구 방축로83번길 23, 25-325(송림동,산업용센타)</t>
  </si>
  <si>
    <t>032-588-1278</t>
  </si>
  <si>
    <t>경기 하남 초이동 235-1</t>
  </si>
  <si>
    <t>02-442-5427</t>
  </si>
  <si>
    <t>서울 서초구 양재동 275-1 삼호물산빌딩A동7층</t>
  </si>
  <si>
    <t>02-6353-0161</t>
  </si>
  <si>
    <t>전북 전주 덕진구 팔복동 3가 81-1</t>
  </si>
  <si>
    <t>제주 제주시 애월읍 상귀리 602-1</t>
  </si>
  <si>
    <t>충남 태안 태안읍 원이로 341</t>
  </si>
  <si>
    <t>041-675-1104</t>
  </si>
  <si>
    <t>부산 해운대구 해운대해변로 203 1-2018(우동,오션타워오피스텔)</t>
  </si>
  <si>
    <t>경기도 오산시 수목원로 615(세교동)</t>
  </si>
  <si>
    <t>강원 강릉 노암동 155</t>
  </si>
  <si>
    <t>033-645-6174</t>
  </si>
  <si>
    <t>부산시 금정구 부곡동 225-24</t>
  </si>
  <si>
    <t>경북 경산시 와촌면 갓바위로 13-50</t>
  </si>
  <si>
    <t>대구시 서구 와룡로 73길 57-26(중리동)</t>
  </si>
  <si>
    <t>053-525-7586</t>
  </si>
  <si>
    <t>02-806-1400</t>
  </si>
  <si>
    <t>울산시 남구 번영로 201번길 8, 101호 (신정동)</t>
  </si>
  <si>
    <t>대구 동구 공항로55길 25-5</t>
  </si>
  <si>
    <t>010-4866-6070</t>
  </si>
  <si>
    <t>경기 하남시 감초로132번길 100 (감북동)</t>
  </si>
  <si>
    <t>010-6227-2090</t>
  </si>
  <si>
    <t>광주 서구 유촌동 591-13</t>
  </si>
  <si>
    <t>062-512-1601</t>
  </si>
  <si>
    <t>전북 전주 덕진구 신행로 41-6</t>
  </si>
  <si>
    <t>063-211-0909</t>
  </si>
  <si>
    <t>전북 전주 완산 서신동 922-2</t>
  </si>
  <si>
    <t>063-272-8277</t>
  </si>
  <si>
    <t>강원 춘천 후평동 216-5</t>
  </si>
  <si>
    <t>033-257-1935</t>
  </si>
  <si>
    <t>서울 중구 산림 243-삼익빌딩 402</t>
  </si>
  <si>
    <t>광주 광산구 월곡동 604-2</t>
  </si>
  <si>
    <t>062-431-6211</t>
  </si>
  <si>
    <t>전남 장성 장성읍 성산리 659-2</t>
  </si>
  <si>
    <t>062-371-8919</t>
  </si>
  <si>
    <t>광주 북구 송해로58번길 13-7, 101호(일곡동)</t>
  </si>
  <si>
    <t>010-3605-5559</t>
  </si>
  <si>
    <t>서울 송파구 가락동 160-7 국토빌딩 302호</t>
  </si>
  <si>
    <t>02-400-4770</t>
  </si>
  <si>
    <t>경기도 화성시 반정로 154번길 34(반정동)</t>
  </si>
  <si>
    <t>031-237-2868</t>
  </si>
  <si>
    <t>울산 남구 중앙로 228(신정동)9층</t>
  </si>
  <si>
    <t>서울 강서구 공항대로 48길 9, 4층동(희곡동, 세림빌딩)</t>
  </si>
  <si>
    <t>경기 여주시 가남면 안금리 586-2</t>
  </si>
  <si>
    <t>서울시 중랑구 용마산로 118길 55(망우동)</t>
  </si>
  <si>
    <t>광주 서구 하남대로 486(동천동)</t>
  </si>
  <si>
    <t>062-515-6141</t>
  </si>
  <si>
    <t>경북 경산 자인면 계남리466</t>
  </si>
  <si>
    <t>경북 칠곡군 가산면 송학6길 37</t>
  </si>
  <si>
    <t>053-323-6807</t>
  </si>
  <si>
    <t>경북 경산 자인면 한장군로 364</t>
  </si>
  <si>
    <t>053-818-8905</t>
  </si>
  <si>
    <t>경기 성남 중원 하대원동 222-5</t>
  </si>
  <si>
    <t>031-759-5172</t>
  </si>
  <si>
    <t>경기 안산 사동 1489-7</t>
  </si>
  <si>
    <t>031-407-7530</t>
  </si>
  <si>
    <t>서울 광진구 광장동 114 현대골든텔 910</t>
  </si>
  <si>
    <t>02-456-7525</t>
  </si>
  <si>
    <t>031-313-6923</t>
  </si>
  <si>
    <t>강원 강릉 월호평동 305</t>
  </si>
  <si>
    <t>033-641-3927</t>
  </si>
  <si>
    <t>제주 서귀포 태평로431번길 3 (서귀동)</t>
  </si>
  <si>
    <t>064-762-6531</t>
  </si>
  <si>
    <t>제주 제주 화북이동 3715</t>
  </si>
  <si>
    <t>064-724-0566</t>
  </si>
  <si>
    <t>경기도 남양주시 경춘로 725번길 52-19 (일패동)</t>
  </si>
  <si>
    <t>031-572-5714</t>
  </si>
  <si>
    <t>서울 금천구 디지털로9길 46, 1305(가산동 이앤씨드림타워7차)</t>
  </si>
  <si>
    <t>02-837-0889</t>
  </si>
  <si>
    <t>서울 송파구 거마로9길 7-10, 지층(거여동)</t>
  </si>
  <si>
    <t>02-403-2994</t>
  </si>
  <si>
    <t>경기도 고양시 덕양구 호국로742번길 38, 607동 1102호(성사동, 신원당마을)</t>
  </si>
  <si>
    <t>경기 고양 덕양구 호국로742번길 38, 607동 1102호(성사동,신원당마을)</t>
  </si>
  <si>
    <t>서울 구로 구로동 611-26</t>
  </si>
  <si>
    <t>02-2639-8400</t>
  </si>
  <si>
    <t>031-889-9355</t>
  </si>
  <si>
    <t>경기도 광주시 경충대로 2221(삼동)</t>
  </si>
  <si>
    <t>031-797-0405</t>
  </si>
  <si>
    <t>031-323-4195</t>
  </si>
  <si>
    <t>대전 대덕구 대화동 230-1</t>
  </si>
  <si>
    <t>042-931-8844</t>
  </si>
  <si>
    <t>경기도 성남시 수정구 신촌로 39, 1층(신촌동)</t>
  </si>
  <si>
    <t>031-723-5910</t>
  </si>
  <si>
    <t>울산 울주 언양읍 언양로 275</t>
  </si>
  <si>
    <t>052-243-2662</t>
  </si>
  <si>
    <t>경북 구미 해평면 오상리 459-2</t>
  </si>
  <si>
    <t>031-733-2503</t>
  </si>
  <si>
    <t>경기 의정부 의정부동 221-43</t>
  </si>
  <si>
    <t>031-842-0222</t>
  </si>
  <si>
    <t>광주 북구 동림동 898-1</t>
  </si>
  <si>
    <t>062-513-0545</t>
  </si>
  <si>
    <t>대구 서구 중리동 1022-6</t>
  </si>
  <si>
    <t>053-561-1412</t>
  </si>
  <si>
    <t>제주 제주 도령도 40, 1015(노형동,하와이오피스텔)</t>
  </si>
  <si>
    <t>064-725-7250</t>
  </si>
  <si>
    <t>대구 수성 달구벌대로 3199 (매호동)</t>
  </si>
  <si>
    <t>010-4207-7896</t>
  </si>
  <si>
    <t>서울시 중랑구 봉화산로 244 (신내동지하,1층)</t>
  </si>
  <si>
    <t>031-573-1204</t>
  </si>
  <si>
    <t>대구 동구 팔공로 70길 31-1, (봉무동124외 2필지 124-1, 120-2)(봉무동)</t>
  </si>
  <si>
    <t>02-2675-2661</t>
  </si>
  <si>
    <t>경기 성남 중원구 사기악골로62번길 37</t>
  </si>
  <si>
    <t>031-8018-5222</t>
  </si>
  <si>
    <t>충북 청주 흥덕구 사직동 144-13</t>
  </si>
  <si>
    <t>043-264-2472</t>
  </si>
  <si>
    <t>광주 광산구 평동로 835 (옥동)</t>
  </si>
  <si>
    <t>062-941-6440</t>
  </si>
  <si>
    <t>경북 구미 수출대로31길 34 B-105</t>
  </si>
  <si>
    <t>054-476-1918</t>
  </si>
  <si>
    <t>서울 구로구 개봉동 351-15 대우아트빌 102 26/7</t>
  </si>
  <si>
    <t>02-2066-7872</t>
  </si>
  <si>
    <t>인천광역시 남구 주안동 1536-18</t>
  </si>
  <si>
    <t>전북 전주 덕진구 호성동1가 711-6</t>
  </si>
  <si>
    <t>063-245-5254</t>
  </si>
  <si>
    <t>인천 동구 보세로42번길 27 (만석동)</t>
  </si>
  <si>
    <t>032-439-2365</t>
  </si>
  <si>
    <t>서울시 구로구 구로중앙로 198 10-109(구로동,공구상가B블럭)</t>
  </si>
  <si>
    <t>02-2636-2644</t>
  </si>
  <si>
    <t>충남 당진 송악면 방계리 78</t>
  </si>
  <si>
    <t>제주 제주시 한림읍 한림로 691</t>
  </si>
  <si>
    <t>서울 송파구 마천동 173-29 은하파크빌 201</t>
  </si>
  <si>
    <t>02-401-6618</t>
  </si>
  <si>
    <t>경기도 부천시 원종로 107번길 14-11, 상가동 지층 비 05호(고강동, 동광모닝스카이아파트1차)</t>
  </si>
  <si>
    <t>032-671-8706</t>
  </si>
  <si>
    <t>대구 동구 신평로 102-3 (신평동)</t>
  </si>
  <si>
    <t>053-985-7191</t>
  </si>
  <si>
    <t>경기도 성남시 중원구 둔촌대로 421-1 (상대원동)</t>
  </si>
  <si>
    <t>031-735-6868</t>
  </si>
  <si>
    <t>경기도 남양주시 순화궁로 382, 2202동 104호(별내동, 별사랑마을 2-2단지)</t>
  </si>
  <si>
    <t>031-529-6666</t>
  </si>
  <si>
    <t>경북 경주시 천북면 동산리 195-3</t>
  </si>
  <si>
    <t>054-749-9484</t>
  </si>
  <si>
    <t>서울 은평구 연서로 46 (역촌동,1층)</t>
  </si>
  <si>
    <t>02-382-0817</t>
  </si>
  <si>
    <t>서울 강남구 일원동 649-1</t>
  </si>
  <si>
    <t>경기 광주 초월읍 현산로 373(101호)</t>
  </si>
  <si>
    <t>031-798-9325</t>
  </si>
  <si>
    <t>경기 부천 원미구 신흥로 71 (심곡동)</t>
  </si>
  <si>
    <t>010-8931-2704</t>
  </si>
  <si>
    <t>서울 마포구 성산동 274-3 중보빌딩</t>
  </si>
  <si>
    <t>02-325-7291</t>
  </si>
  <si>
    <t>충남 예산 예산읍 관작리 322</t>
  </si>
  <si>
    <t>041-334-0023</t>
  </si>
  <si>
    <t>대구 북구 침산동 1064-11</t>
  </si>
  <si>
    <t>053-253-8855</t>
  </si>
  <si>
    <t>전남 영광 영광읍 그린테크로1길 3</t>
  </si>
  <si>
    <t>061-351-1661</t>
  </si>
  <si>
    <t>충북 청원 남이면 양촌리 296</t>
  </si>
  <si>
    <t>043-297-7533</t>
  </si>
  <si>
    <t>경북 포항시 북구 양덕남로8번길 25(장성동)</t>
  </si>
  <si>
    <t>054-251-6314</t>
  </si>
  <si>
    <t>전남 영광 영광읍 녹사리 321</t>
  </si>
  <si>
    <t>061-352-3028</t>
  </si>
  <si>
    <t>경북 문경 신흥2길(흥덕동)</t>
  </si>
  <si>
    <t>010-3546-6606</t>
  </si>
  <si>
    <t>인천 부평구 산곡동 294-144</t>
  </si>
  <si>
    <t>032-515-7373</t>
  </si>
  <si>
    <t>경남 창원 북면 동전리312</t>
  </si>
  <si>
    <t>경기 안산 단원구 풍정로 37-9</t>
  </si>
  <si>
    <t>031-8084-5809</t>
  </si>
  <si>
    <t>031-573-9088</t>
  </si>
  <si>
    <t>서울 성동구 광나루로11길 4, 1층(송정동)</t>
  </si>
  <si>
    <t>02-469-3294</t>
  </si>
  <si>
    <t>전북 군산 성산면 만동2길 170</t>
  </si>
  <si>
    <t>063-453-9206</t>
  </si>
  <si>
    <t>경기 성남 중원구 상대원동 442-13 중일아인스프라츠3차 1201</t>
  </si>
  <si>
    <t>031-575-2047</t>
  </si>
  <si>
    <t>전남 여수시 충무로 54, 8층(충무동)</t>
  </si>
  <si>
    <t>010-7683-3004</t>
  </si>
  <si>
    <t>광주 북구 유동 50</t>
  </si>
  <si>
    <t>062-574-1044</t>
  </si>
  <si>
    <t>대전 서구 조달청길 119 (도마동)</t>
  </si>
  <si>
    <t>042-583-5989</t>
  </si>
  <si>
    <t>경북 경산시 경안로 48길 11-12(중방동,초원맨션상가)</t>
  </si>
  <si>
    <t>부산시 동래구 사직북로 48번길 200</t>
  </si>
  <si>
    <t>대전광역시 대덕구 대전천북로 316(오정동)</t>
  </si>
  <si>
    <t>042-634-2999</t>
  </si>
  <si>
    <t>경기 김포 하성면 하성로 250 나동</t>
  </si>
  <si>
    <t>031-982-3834</t>
  </si>
  <si>
    <t>부산시 중구 흑교로 19 (부평동3가)</t>
  </si>
  <si>
    <t>051-243-5555</t>
  </si>
  <si>
    <t>02-556-9672</t>
  </si>
  <si>
    <t>서울 구로구 경인로53길 15 마-1219(구로동,중앙유통단지)</t>
  </si>
  <si>
    <t>02-6679-7727</t>
  </si>
  <si>
    <t>인천 남구 용현동 565-4 백운프라자 4층 402</t>
  </si>
  <si>
    <t>031-381-2674</t>
  </si>
  <si>
    <t>대전 대덕구 덕암로 118번길 40(상서동)</t>
  </si>
  <si>
    <t>042-632-1340</t>
  </si>
  <si>
    <t>대전 동구 삼성동 367-15</t>
  </si>
  <si>
    <t>경기 안양 동안구 부림로 156, 402(관양동)</t>
  </si>
  <si>
    <t>031-425-0648</t>
  </si>
  <si>
    <t>경기도 평택시 송탄로 369-1, 2층(지산동)</t>
  </si>
  <si>
    <t>031-611-8768</t>
  </si>
  <si>
    <t>서울 강남구 논현동 74-4 3층</t>
  </si>
  <si>
    <t>전북 익산 만석길 347 (현영동)</t>
  </si>
  <si>
    <t>063-857-3060</t>
  </si>
  <si>
    <t>경북 경산 압량면 인안길 113</t>
  </si>
  <si>
    <t>053-357-0441</t>
  </si>
  <si>
    <t>제주 서귀포 서홍동 2138-5</t>
  </si>
  <si>
    <t>경북 포항시 북구 양학천로 134(죽도동)</t>
  </si>
  <si>
    <t>054-277-7717</t>
  </si>
  <si>
    <t>대구 달성군 다사읍 서재로 31길 14, 씨동</t>
  </si>
  <si>
    <t>053-586-8022</t>
  </si>
  <si>
    <t>경북 성주 선남면 도성리 1168-1</t>
  </si>
  <si>
    <t>054-933-7801</t>
  </si>
  <si>
    <t>경기 하남 감일동 300-8</t>
  </si>
  <si>
    <t>02-471-1411</t>
  </si>
  <si>
    <t>제주 제주 조천읍 조와로5길 25</t>
  </si>
  <si>
    <t>010-9623-6461</t>
  </si>
  <si>
    <t>제주 제주시 번영로 49(화북이동)</t>
  </si>
  <si>
    <t>064-727-0203</t>
  </si>
  <si>
    <t>031-797-0526</t>
  </si>
  <si>
    <t>경기 수원 팔달구 중동 62</t>
  </si>
  <si>
    <t>031-251-0989</t>
  </si>
  <si>
    <t>서울 마포구 어울마당로1길 18 (합정동,2층)</t>
  </si>
  <si>
    <t>02-3141-9653</t>
  </si>
  <si>
    <t>053-586-7771</t>
  </si>
  <si>
    <t>서울시 구로구 경인로 579, A동 407-1호(신도림동, 안성빌딩)</t>
  </si>
  <si>
    <t>02-2267-0157</t>
  </si>
  <si>
    <t>경북 경산 갑제동 667-6</t>
  </si>
  <si>
    <t>053-802-9825</t>
  </si>
  <si>
    <t>충남 천안 성정동 675-8</t>
  </si>
  <si>
    <t>041-578-9904</t>
  </si>
  <si>
    <t>광주시 광산구 평동로 913번길 50(월전동)</t>
  </si>
  <si>
    <t>062-945-7145</t>
  </si>
  <si>
    <t>경남 진주시 진성면 동부로 1259번길 25-32</t>
  </si>
  <si>
    <t>055-759-0289</t>
  </si>
  <si>
    <t>055-759-8444</t>
  </si>
  <si>
    <t>경기 남양주 진접읍 해밀예당3로 68, 1층</t>
  </si>
  <si>
    <t>031-574-1331</t>
  </si>
  <si>
    <t>경남 진주시 공단로 126 (상평동)</t>
  </si>
  <si>
    <t>055-758-2000</t>
  </si>
  <si>
    <t>전북 완주 이서면 콩쥐팥쥐로 1296-50</t>
  </si>
  <si>
    <t>063-227-7830</t>
  </si>
  <si>
    <t>063-243-9104</t>
  </si>
  <si>
    <t>경기 안양 동안 호계동 555-9 국제유통단지 31-311</t>
  </si>
  <si>
    <t>031-479-2361</t>
  </si>
  <si>
    <t>경기 김포 통진읍 월하로479번길 35</t>
  </si>
  <si>
    <t>031-984-5571</t>
  </si>
  <si>
    <t>부산 수영동 황령대로 499, 208(남천동,남천동대우포르투나)</t>
  </si>
  <si>
    <t>051-328-0600</t>
  </si>
  <si>
    <t>제주 서귀포시 중산간동로 7864-1(동흥동)</t>
  </si>
  <si>
    <t>064-732-1604</t>
  </si>
  <si>
    <t>대구 수성구 이천동 64-1</t>
  </si>
  <si>
    <t>053-763-1484</t>
  </si>
  <si>
    <t>광주 광산구 금봉로44번길 55 (소촌동)</t>
  </si>
  <si>
    <t>충남 금산군 금성면 의총길 109</t>
  </si>
  <si>
    <t>041-751-2848</t>
  </si>
  <si>
    <t>경기도 이천시 마장면 서이천로578번길 30-15</t>
  </si>
  <si>
    <t>010-7255-6680</t>
  </si>
  <si>
    <t>광주 북구 하남대로 645 (동림동,2층)</t>
  </si>
  <si>
    <t>062-941-3044</t>
  </si>
  <si>
    <t>전남 무안 삼향면 왕산리 1060</t>
  </si>
  <si>
    <t>061-281-6875</t>
  </si>
  <si>
    <t>서울 성동구 도선동 14 신한넥스텔 514</t>
  </si>
  <si>
    <t>02-2293-7904</t>
  </si>
  <si>
    <t>경기도 고양시 일산서구 가좌3로 45, 209동 1106호(가좌동, 가좌마을)</t>
  </si>
  <si>
    <t>02-2691-7134</t>
  </si>
  <si>
    <t>경북 안동 태화 228-9</t>
  </si>
  <si>
    <t>054-854-3905</t>
  </si>
  <si>
    <t>경기도 고양시 덕양구 지도로 124번길 32 21, 나동 107호(토당동, 별장아파트)</t>
  </si>
  <si>
    <t>010-9106-1341</t>
  </si>
  <si>
    <t>서울 금천구 가산디지털1로 168 에이-611(가산동,우림라이온스밸리)</t>
  </si>
  <si>
    <t>02-576-2987</t>
  </si>
  <si>
    <t>울산시 남구 대공원로 99번길 20, 2층, 3층(옥동)</t>
  </si>
  <si>
    <t>경기도 시흥시 연성로 156번길 20(광석동)</t>
  </si>
  <si>
    <t>031-435-8707</t>
  </si>
  <si>
    <t>경기도 화성시 주석로 79-11(북양동)</t>
  </si>
  <si>
    <t>031-366-9242</t>
  </si>
  <si>
    <t>대구 달성군 화원읍 비슬로 2399</t>
  </si>
  <si>
    <t>053-641-0025</t>
  </si>
  <si>
    <t>충남 홍성 구항면 구항길 114</t>
  </si>
  <si>
    <t>041-632-3060</t>
  </si>
  <si>
    <t>경기 안양 동안구 벌말로 126, 2812호(관양동,평촌오피즈타워)</t>
  </si>
  <si>
    <t>031-450-3814</t>
  </si>
  <si>
    <t>경남 김해시 분성로 423(삼정동)</t>
  </si>
  <si>
    <t>서울 서초구 반포동 93-1</t>
  </si>
  <si>
    <t>02-3476-4642</t>
  </si>
  <si>
    <t>충북 청주시 청원구 오동로 84(오동동)</t>
  </si>
  <si>
    <t>043-287-4854</t>
  </si>
  <si>
    <t>053-811-7605</t>
  </si>
  <si>
    <t>경기 성남 중원구 둔촌대로 484(상대원동,시콕스타워218호~219호)</t>
  </si>
  <si>
    <t>031-707-5164</t>
  </si>
  <si>
    <t>경남 진주 상평동 55-21</t>
  </si>
  <si>
    <t>055-762-8083</t>
  </si>
  <si>
    <t>서울 강동구 천호대로 1163 (길동,천일빌딩1층)</t>
  </si>
  <si>
    <t>02-488-1001</t>
  </si>
  <si>
    <t>인천 남동구 수산동 94-14</t>
  </si>
  <si>
    <t>032-555-7174</t>
  </si>
  <si>
    <t>울산 남구 선암동 380-1번지</t>
  </si>
  <si>
    <t>052-256-3147</t>
  </si>
  <si>
    <t>경기도 광주시 장지동 608</t>
  </si>
  <si>
    <t>031-798-7799</t>
  </si>
  <si>
    <t>경기 이천시 호법면 동산로 190번길 32</t>
  </si>
  <si>
    <t>031-634-0425</t>
  </si>
  <si>
    <t>서울 강남구 청담동 12</t>
  </si>
  <si>
    <t>02-548-1224</t>
  </si>
  <si>
    <t>경북 칠곡 동명면 금암동석3길 11-14</t>
  </si>
  <si>
    <t>062-511-6243</t>
  </si>
  <si>
    <t>경기도 안산시 단원구 첨단로267번길 7, 505호(성곡동, 시화공단6바)</t>
  </si>
  <si>
    <t>031-493-8425</t>
  </si>
  <si>
    <t>충남 천안시 동남구 광풍로 1630 (구룡동)</t>
  </si>
  <si>
    <t>041-575-4830</t>
  </si>
  <si>
    <t>경기도 하남시 고골로 319, 1층(상사창동)</t>
  </si>
  <si>
    <t>서울시 은평구 서오릉로 25길 20, 203호(구산동, 동우하이츠)</t>
  </si>
  <si>
    <t>02-355-5011</t>
  </si>
  <si>
    <t>서울 강동구 구천면로 269-1 (천호동,지층)</t>
  </si>
  <si>
    <t>충북 충주시 상방 10길 3 (봉방동)</t>
  </si>
  <si>
    <t>충북 음성 감곡면 오향리 348-1 나</t>
  </si>
  <si>
    <t>043-882-4795</t>
  </si>
  <si>
    <t>대구 북구 침산동 654-1</t>
  </si>
  <si>
    <t>053-754-8373</t>
  </si>
  <si>
    <t>053-384-1419</t>
  </si>
  <si>
    <t>대구 중구 국채보상로 488, 12층(동산동)</t>
  </si>
  <si>
    <t>053-354-0021</t>
  </si>
  <si>
    <t>경기 성남시 수정구 산성대로 331, 1318호(신흥동,한신프라자)</t>
  </si>
  <si>
    <t>031-745-1110</t>
  </si>
  <si>
    <t>경북 성주군 선남면 선노로 55</t>
  </si>
  <si>
    <t>1833-4608</t>
  </si>
  <si>
    <t>경기 안성 대덕면 명당리 172-4</t>
  </si>
  <si>
    <t>031-671-7977</t>
  </si>
  <si>
    <t>전북 완주 봉동읍 완주산단4로 19</t>
  </si>
  <si>
    <t>063-260-8835</t>
  </si>
  <si>
    <t>대전 대덕구 신탄진로 150 (연축동)</t>
  </si>
  <si>
    <t>010-2028-1352</t>
  </si>
  <si>
    <t>서울 은평구 역촌동 22-52</t>
  </si>
  <si>
    <t>02-3159-7999</t>
  </si>
  <si>
    <t>전북 전주시 덕진구 삼거1길 1-11(금상동)</t>
  </si>
  <si>
    <t>063-232-0404</t>
  </si>
  <si>
    <t>충남 아산 실옥동 345-8</t>
  </si>
  <si>
    <t>041-547-2011</t>
  </si>
  <si>
    <t>광주 광산구 왕버들로208번길 27(수완동)</t>
  </si>
  <si>
    <t>충남 당진 합덕읍 합덕산단4로 75 (합덕일반산업단지에이12-2)</t>
  </si>
  <si>
    <t>041-363-1522</t>
  </si>
  <si>
    <t>경기 용인시 처인구 모현읍 초부로148번길 16(초부리169번지)</t>
  </si>
  <si>
    <t>031-335-9012</t>
  </si>
  <si>
    <t>경기 화성 정남면 괘랑2길 1</t>
  </si>
  <si>
    <t>031-831-3060</t>
  </si>
  <si>
    <t>서울 관악구 신림동 564-41</t>
  </si>
  <si>
    <t>02-868-8888</t>
  </si>
  <si>
    <t>대구시 동구 둔산동 241-18</t>
  </si>
  <si>
    <t>053-964-9797</t>
  </si>
  <si>
    <t>대구시 달서구 성서공단북로 261(갈산동)</t>
  </si>
  <si>
    <t>서울 서초구 양재2동 402-11 ITC빌딩2층,3층</t>
  </si>
  <si>
    <t>02-576-9550</t>
  </si>
  <si>
    <t>서울 강남구 개포로 619, 7층(개포동,서울강남우체국)</t>
  </si>
  <si>
    <t>02-3014-6798</t>
  </si>
  <si>
    <t>서울 강남구 수서동 716 사이룩스서관 1205</t>
  </si>
  <si>
    <t>031-797-7631</t>
  </si>
  <si>
    <t>서울 강남구 봉온사로 163, 1103(논현동)</t>
  </si>
  <si>
    <t>010-6242-2851</t>
  </si>
  <si>
    <t>경기도 남양주시 별내2로 (별내동, 더메이호텔)</t>
  </si>
  <si>
    <t>031-551-2288</t>
  </si>
  <si>
    <t>서울 은평구 은평로8길 8 (응암동,2층)</t>
  </si>
  <si>
    <t>대전시 서구 문정로48번길 70, 3층, 6층(탄방동, 대전우리병원빌딩)</t>
  </si>
  <si>
    <t>제주 제주시 애월읍 애월해안로 881</t>
  </si>
  <si>
    <t>064-742-8843</t>
  </si>
  <si>
    <t>인천 서구 설원로138번길 20, 대곡동 407-8,9(대곡동)</t>
  </si>
  <si>
    <t>032-575-5311</t>
  </si>
  <si>
    <t>충남 논산시 계백로 833(부창동)</t>
  </si>
  <si>
    <t>041-733-2022</t>
  </si>
  <si>
    <t>054-475-8464</t>
  </si>
  <si>
    <t>경기 안산 상록구 오목로14길 7 201-301(본오동,우진맨션)</t>
  </si>
  <si>
    <t>010-4532-1783</t>
  </si>
  <si>
    <t>경기 화성 비봉면 구포리 190-4</t>
  </si>
  <si>
    <t>031-357-7105</t>
  </si>
  <si>
    <t>경기 화성 비봉면 구포동길38번길 11-8</t>
  </si>
  <si>
    <t>경남 진주 망경동 62-1</t>
  </si>
  <si>
    <t>055-755-7761</t>
  </si>
  <si>
    <t>경남 진주시 공단로 246(상평동)</t>
  </si>
  <si>
    <t>055-759-7801</t>
  </si>
  <si>
    <t>충북 진천 진천읍 송두리 575</t>
  </si>
  <si>
    <t>043-533-8955</t>
  </si>
  <si>
    <t>경기 광주 회덕길 18-13 (회덕동)</t>
  </si>
  <si>
    <t>031-798-0274</t>
  </si>
  <si>
    <t>070-4129-1578</t>
  </si>
  <si>
    <t>대구 수성구 대흥동 364-4</t>
  </si>
  <si>
    <t>053-793-5825</t>
  </si>
  <si>
    <t>전북 고창 고창읍 중거리당산로 74-2</t>
  </si>
  <si>
    <t>063-564-8270</t>
  </si>
  <si>
    <t>울산 남구 월평로227번길 3(삼산동)</t>
  </si>
  <si>
    <t>052-275-1455</t>
  </si>
  <si>
    <t>대구 수성구 상동 381-4</t>
  </si>
  <si>
    <t>053-762-4633</t>
  </si>
  <si>
    <t>대구 서구 북비산로13길 17 (이현동)</t>
  </si>
  <si>
    <t>053-523-4601</t>
  </si>
  <si>
    <t>063-288-4589</t>
  </si>
  <si>
    <t>인천 계양구 작전동 388-2 동보상가 211</t>
  </si>
  <si>
    <t>대구 달성군 옥포면 시저로 19</t>
  </si>
  <si>
    <t>충남 태안 근홍면 정죽리 2261-1</t>
  </si>
  <si>
    <t>서울 노원구 상계동 169-278</t>
  </si>
  <si>
    <t>02-952-0181</t>
  </si>
  <si>
    <t>경북 경산 압량면 내리 372-2</t>
  </si>
  <si>
    <t>대전광역시 대덕구 대화로 160, 지원상가2동 207-1호(대화동,산업용재유통상가)</t>
  </si>
  <si>
    <t>042-670-4333</t>
  </si>
  <si>
    <t>인천 남동구 수산동586-4</t>
  </si>
  <si>
    <t>032-466-3747</t>
  </si>
  <si>
    <t>서울 용산구 원효로 179-3, 에이동 102호(원효로2가)</t>
  </si>
  <si>
    <t>02-706-3555</t>
  </si>
  <si>
    <t>서울 서초구 양재동 314</t>
  </si>
  <si>
    <t>02-577-2411</t>
  </si>
  <si>
    <t>경기 하남 서하남로 201-1 (광양동)</t>
  </si>
  <si>
    <t>02-489-5616</t>
  </si>
  <si>
    <t>전남 목포 자유로134번길 11 (산정동)</t>
  </si>
  <si>
    <t>061-285-7416</t>
  </si>
  <si>
    <t>대구 달서구 본리동 562-3</t>
  </si>
  <si>
    <t>충남 천안시 동남구 태조산길 142-19(유량동)</t>
  </si>
  <si>
    <t>041-552-6382</t>
  </si>
  <si>
    <t>광주 북구 동운로 32번길 35(동림동)</t>
  </si>
  <si>
    <t>062-513-9199</t>
  </si>
  <si>
    <t>대구 수성구 청호로 345 (황금동)</t>
  </si>
  <si>
    <t>053-741-1486</t>
  </si>
  <si>
    <t>대구시 동구 장등로 66 (신천동)</t>
  </si>
  <si>
    <t>울산 남구 삼산동 1551-15  1층</t>
  </si>
  <si>
    <t>052-227-7086</t>
  </si>
  <si>
    <t>서울 강서구 공항대로 48길 9, 4층(화곡동,세림빌딩)</t>
  </si>
  <si>
    <t>02-2603-5380</t>
  </si>
  <si>
    <t>대전시 서구 유등로 17번길 109, 505동 1003호(복수동, 초록마을 5단지)</t>
  </si>
  <si>
    <t>충북 청주시 상당구 대성로 122번길 54, 1층102호(대성동,상가)</t>
  </si>
  <si>
    <t>043-287-0023</t>
  </si>
  <si>
    <t>광주 북구 신촌로 29-58 (오치동)</t>
  </si>
  <si>
    <t>010-3628-5854</t>
  </si>
  <si>
    <t>경북 경산 압량면 가일리 292</t>
  </si>
  <si>
    <t>053-765-4770</t>
  </si>
  <si>
    <t>광주 서구 무진대로 519(덕흥동)</t>
  </si>
  <si>
    <t>062-511-5647</t>
  </si>
  <si>
    <t>경기 시흥 과림동 293-3</t>
  </si>
  <si>
    <t>02-2615-3880</t>
  </si>
  <si>
    <t>경기 광명 옥길동 365-1</t>
  </si>
  <si>
    <t>02-2618-3432</t>
  </si>
  <si>
    <t>충남 천안시 동남구 풍세로 578-20(신방동, 은성스틸(주))</t>
  </si>
  <si>
    <t>경기 화성 정남면 서봉로851번길 93</t>
  </si>
  <si>
    <t>031-377-5547</t>
  </si>
  <si>
    <t>서울 금천구 서부샛길 606, 비-1303(가산동,대성디폴리스지식산업센터)</t>
  </si>
  <si>
    <t>02-541-8972</t>
  </si>
  <si>
    <t>경북 상주시 함창읍 함창로 595-5</t>
  </si>
  <si>
    <t>경기 성남 분당구 매화로 49, 2층 204호(야탑동,시흥조합상가)</t>
  </si>
  <si>
    <t>031-703-2131</t>
  </si>
  <si>
    <t>경기 안양 동안구 시민대로 267 1702(관양동,아크로팰리스)</t>
  </si>
  <si>
    <t>031-342-0562</t>
  </si>
  <si>
    <t>경기도 시흥시 정왕동 2096-2 시화공단 3마 717-1</t>
  </si>
  <si>
    <t>031-498-5206</t>
  </si>
  <si>
    <t>경기 화성 팔탄면 신양1길 41-9</t>
  </si>
  <si>
    <t>070-4820-5311</t>
  </si>
  <si>
    <t>경기 김포 통진읍 귀전리 640-6,637-3</t>
  </si>
  <si>
    <t>031-983-5281</t>
  </si>
  <si>
    <t>경북 칠곡군 지천면 창평로 221</t>
  </si>
  <si>
    <t>054-971-7713</t>
  </si>
  <si>
    <t>서울 노원구 동일로 1700 (상계동)</t>
  </si>
  <si>
    <t>02-952-8534</t>
  </si>
  <si>
    <t>경북 경산 진량읍 대구대로 588</t>
  </si>
  <si>
    <t>053-851-0804</t>
  </si>
  <si>
    <t>대구 서구 평리동 567-1</t>
  </si>
  <si>
    <t>053-573-8080</t>
  </si>
  <si>
    <t>전남 여수 좌수영로 399 (미평동)</t>
  </si>
  <si>
    <t>061-653-1407</t>
  </si>
  <si>
    <t>광주 북구 하남대로 577(동림동)</t>
  </si>
  <si>
    <t>062-714-1165</t>
  </si>
  <si>
    <t>광주 광산구 임곡로 403(고룡동)</t>
  </si>
  <si>
    <t>062-946-3983</t>
  </si>
  <si>
    <t>061-283-4558</t>
  </si>
  <si>
    <t>전북 김제 백구면 금백로 1197</t>
  </si>
  <si>
    <t>063-214-6261</t>
  </si>
  <si>
    <t>대구 달성군 옥포면 비슬로455길 34</t>
  </si>
  <si>
    <t>053-638-9997</t>
  </si>
  <si>
    <t>전남 목포 용해지구로 88번길 24(용해동,포미타운4단지관리동)</t>
  </si>
  <si>
    <t>경북 포항 남구 포스코대로 51 (이동,51-1,53)</t>
  </si>
  <si>
    <t>054-273-5144</t>
  </si>
  <si>
    <t>서울 마포구 아현동 85-139 1층</t>
  </si>
  <si>
    <t>경기 용인 기흥구 사은로 274-22, 106동 1904호(지곡동,자봉마을써니밸리)</t>
  </si>
  <si>
    <t>031-334-4607</t>
  </si>
  <si>
    <t>051-581-7300</t>
  </si>
  <si>
    <t>서울 서대문구 홍은동 395-24</t>
  </si>
  <si>
    <t>02-304-4650</t>
  </si>
  <si>
    <t>서울 서초구 서초동 1648-2</t>
  </si>
  <si>
    <t>02-407-0042</t>
  </si>
  <si>
    <t>경기 부천 원미구 부일로205번길 26 1201(상동,대명엔스빌1차)</t>
  </si>
  <si>
    <t>경남 창원 성산구 움암로 654-24 (성산동)</t>
  </si>
  <si>
    <t>010-8723-9746</t>
  </si>
  <si>
    <t>경북 경산시 진량읍 공단7로 31-16</t>
  </si>
  <si>
    <t>053-752-0573</t>
  </si>
  <si>
    <t>경기 용인 기흥구 서천동 294-7</t>
  </si>
  <si>
    <t>031-202-0697</t>
  </si>
  <si>
    <t>경기 고양 덕양구 동산동 65-3</t>
  </si>
  <si>
    <t>경기 성남 분당 수내동 5-1</t>
  </si>
  <si>
    <t>010-5523-8414</t>
  </si>
  <si>
    <t>서울 강남구 삼성동 8-1 건설빌딩 202</t>
  </si>
  <si>
    <t>02-3445-0121</t>
  </si>
  <si>
    <t>경기 시흥 정왕 1251-7 시화공단1다 508</t>
  </si>
  <si>
    <t>031-431-8755</t>
  </si>
  <si>
    <t>강원 강릉 남부로 160 (노암동)</t>
  </si>
  <si>
    <t>경기도 부천시 오정구 수도로 137 (내동, 성림빌딩1층)</t>
  </si>
  <si>
    <t>032-661-2900</t>
  </si>
  <si>
    <t>경기도 용인시 기흥구 구성로 176(언남동, 백송빌딩1층동쪽1호)</t>
  </si>
  <si>
    <t>031-275-2172</t>
  </si>
  <si>
    <t>경북 칠곡 동명면 금암리 385-5</t>
  </si>
  <si>
    <t>054-977-5950</t>
  </si>
  <si>
    <t>경기도 화성시 송산면 화성로 315</t>
  </si>
  <si>
    <t>031-357-7965</t>
  </si>
  <si>
    <t>서울 송파구 충민로 10, 2층 051호(문정동, 가든파이프툴)</t>
  </si>
  <si>
    <t>070-7782-1758</t>
  </si>
  <si>
    <t>충남 천안 서북구 직산읍 남산3길 43</t>
  </si>
  <si>
    <t>041-578-0711</t>
  </si>
  <si>
    <t>경기 안산 상록구 도금단지길 4, 2층(팔곡이동)</t>
  </si>
  <si>
    <t>031-407-8751</t>
  </si>
  <si>
    <t>대구 달서구 월배로 97길 51(송현동)</t>
  </si>
  <si>
    <t>011-542-8306</t>
  </si>
  <si>
    <t>경기 시흥시 대야동 289 로고스교회 B동</t>
  </si>
  <si>
    <t>031-311-1392</t>
  </si>
  <si>
    <t>광주 광산구 월곡중앙로 42번길 19,1동1층(월곡동)</t>
  </si>
  <si>
    <t>경기 화성 우정읍 주곡리 37-2</t>
  </si>
  <si>
    <t>031-357-9670</t>
  </si>
  <si>
    <t>서울시 광진구 구천면로 13 (광장동,3F)</t>
  </si>
  <si>
    <t>02-452-0661</t>
  </si>
  <si>
    <t>전북 남원 노암동 842-1</t>
  </si>
  <si>
    <t>063-634-5100</t>
  </si>
  <si>
    <t>충북 음성 생극면 도신리 148</t>
  </si>
  <si>
    <t>043-979-8751</t>
  </si>
  <si>
    <t>서울 서초구 도구로 116-2 (방배동,4층)</t>
  </si>
  <si>
    <t>010-6233-5819</t>
  </si>
  <si>
    <t>041-578-9900</t>
  </si>
  <si>
    <t>서울 중랑구 봉우재로 218(망우동)</t>
  </si>
  <si>
    <t>경북 성주 선남면 관화1길 21-56</t>
  </si>
  <si>
    <t>053-586-7504</t>
  </si>
  <si>
    <t>대구 중구 서성로 20 (계산동2가,9층)</t>
  </si>
  <si>
    <t>053-768-8950</t>
  </si>
  <si>
    <t>서울 동대문구 답십리동 1-119</t>
  </si>
  <si>
    <t>02-2241-9550</t>
  </si>
  <si>
    <t>서울 중구 입정동 263-4 1층</t>
  </si>
  <si>
    <t>02-2285-3551</t>
  </si>
  <si>
    <t>충남 천안시 서북구 입장면 양대기로길 89</t>
  </si>
  <si>
    <t>032-850-0131</t>
  </si>
  <si>
    <t>전북 부안 부안읍 서외리 455-111</t>
  </si>
  <si>
    <t>경남 거창 거창읍 거열로4길 173</t>
  </si>
  <si>
    <t>055-944-1925</t>
  </si>
  <si>
    <t>경기 구리 교문동 344-13</t>
  </si>
  <si>
    <t>031-565-0477</t>
  </si>
  <si>
    <t>대전시 동구 중앙로 240(소제동)</t>
  </si>
  <si>
    <t>경기 광주 초월읍 용수길 154</t>
  </si>
  <si>
    <t>031-798-7456</t>
  </si>
  <si>
    <t>031-555-9009</t>
  </si>
  <si>
    <t>경기 파주 탄현면 축현리 274</t>
  </si>
  <si>
    <t>031-957-3044</t>
  </si>
  <si>
    <t>032-875-5168</t>
  </si>
  <si>
    <t>경기도 구리시 불암로 11 (갈매동)</t>
  </si>
  <si>
    <t>대구 수성구 만촌동 949-1</t>
  </si>
  <si>
    <t>울산 울주 웅촌면 오복길 17-1, 1층</t>
  </si>
  <si>
    <t>052-221-1775</t>
  </si>
  <si>
    <t>강원 원주 소초면 흥양리 241-1</t>
  </si>
  <si>
    <t>033-764-8164</t>
  </si>
  <si>
    <t>전북 전주 덕진구 신북천변로 35 (팔복동1가)</t>
  </si>
  <si>
    <t>063-214-5655</t>
  </si>
  <si>
    <t>서울 송파구 마천로 51가길 11</t>
  </si>
  <si>
    <t>010-3757-9087</t>
  </si>
  <si>
    <t>대구 동구 신덕로5길 104 (신평동)</t>
  </si>
  <si>
    <t>053-353-0310</t>
  </si>
  <si>
    <t>한맥창호</t>
  </si>
  <si>
    <t>대구 북구 노원동3가 266</t>
  </si>
  <si>
    <t>053-383-7300</t>
  </si>
  <si>
    <t>한맥창호건설</t>
  </si>
  <si>
    <t>서울 구로구 구로중앙로 60 (구로동 401호,대림오페라타워)</t>
  </si>
  <si>
    <t>02-839-4777</t>
  </si>
  <si>
    <t>경기 광명 광명로848번길 70 (광명동,1층)</t>
  </si>
  <si>
    <t>02-2613-5300</t>
  </si>
  <si>
    <t>대구 달성군 하빈면 동곡리 147-6</t>
  </si>
  <si>
    <t>010-5766-2554</t>
  </si>
  <si>
    <t>전북 남원 노암동 299-2</t>
  </si>
  <si>
    <t>063-635-6864</t>
  </si>
  <si>
    <t>경기 시흥 금오로 273-4 (과림동)</t>
  </si>
  <si>
    <t>02-2066-6910</t>
  </si>
  <si>
    <t>경기 구리 교문동 327-134</t>
  </si>
  <si>
    <t>031-557-1984</t>
  </si>
  <si>
    <t>전북 전주 덕진구 팔복동1가 243-69</t>
  </si>
  <si>
    <t>063-214-1171</t>
  </si>
  <si>
    <t>전북 익산시 석치길 40-11 (석왕동)</t>
  </si>
  <si>
    <t>063-918-7042</t>
  </si>
  <si>
    <t>경북 경산 자인면 일언리 385-2</t>
  </si>
  <si>
    <t>인천 남구 주안동 622-4 형보빌라A-101</t>
  </si>
  <si>
    <t>032-549-4616</t>
  </si>
  <si>
    <t>서울 송파 동남로23길 20 (오금동,201호)</t>
  </si>
  <si>
    <t>경기 고양 일산동구 사리현동 465-5</t>
  </si>
  <si>
    <t>031-963-4056</t>
  </si>
  <si>
    <t>경북 경산 경안로 147-1 (삼북동)</t>
  </si>
  <si>
    <t>053-815-0994</t>
  </si>
  <si>
    <t>전남 목포 후광대로 143번안길 8-7 (옥암동)</t>
  </si>
  <si>
    <t>062-375-8521</t>
  </si>
  <si>
    <t>02-2232-6486</t>
  </si>
  <si>
    <t>경북 구미시 장천면 하장3길 109-14</t>
  </si>
  <si>
    <t>대구 북구 검단동 1008-2</t>
  </si>
  <si>
    <t>053-384-4733</t>
  </si>
  <si>
    <t>경기 파주 경의로 983 (야당동)</t>
  </si>
  <si>
    <t>010-8922-3406</t>
  </si>
  <si>
    <t>경북 김천 부곡 902-14</t>
  </si>
  <si>
    <t>054-433-7989</t>
  </si>
  <si>
    <t>경북 칠곡 왜관읍 금산리 1001</t>
  </si>
  <si>
    <t>054-972-6200</t>
  </si>
  <si>
    <t>경기 군포 군포로 517-5, 102(당동)</t>
  </si>
  <si>
    <t>031-296-7850</t>
  </si>
  <si>
    <t>042-283-8800</t>
  </si>
  <si>
    <t>053-654-9272</t>
  </si>
  <si>
    <t>경북 칠곡 봉암 621-21</t>
  </si>
  <si>
    <t>010-6658-0116</t>
  </si>
  <si>
    <t>충북 청주 흥덕 향정동 109</t>
  </si>
  <si>
    <t>043-275-9330</t>
  </si>
  <si>
    <t>강원 원주 소초면 송황유사길 42-11</t>
  </si>
  <si>
    <t>033-747-1489</t>
  </si>
  <si>
    <t>053-761-2331</t>
  </si>
  <si>
    <t>대구 남구 월배로 468 (대명동)</t>
  </si>
  <si>
    <t>대전 서구 탄방동 1433 정금빌딩601호</t>
  </si>
  <si>
    <t>042-482-9561</t>
  </si>
  <si>
    <t>충북 음성 삼성면 대성로547번길 111-27(가동)</t>
  </si>
  <si>
    <t>043-882-7330</t>
  </si>
  <si>
    <t>서울 강동구 구천면로 68나길 22-2 (천호동,2층)</t>
  </si>
  <si>
    <t>02-948-9540</t>
  </si>
  <si>
    <t>서울 양천구 국회대로 27(신월동)</t>
  </si>
  <si>
    <t>02-2692-9589</t>
  </si>
  <si>
    <t>충북 청주 흥덕구 성화동 358-7</t>
  </si>
  <si>
    <t>043-258-2320</t>
  </si>
  <si>
    <t>서울 중랑구 용마산로115길 127(망우동)</t>
  </si>
  <si>
    <t>02-2207-0040</t>
  </si>
  <si>
    <t>전북 남원 왕정 53-1</t>
  </si>
  <si>
    <t>063-633-8630</t>
  </si>
  <si>
    <t>부산 연제구 과정로 97-1, 5층(연산동)</t>
  </si>
  <si>
    <t>051-751-6767</t>
  </si>
  <si>
    <t>070-7589-0154</t>
  </si>
  <si>
    <t>강원 강릉 구정면 말미길 1-16</t>
  </si>
  <si>
    <t>033-647-1889</t>
  </si>
  <si>
    <t>제주 제주 애월읍 하귀2리 2109-4</t>
  </si>
  <si>
    <t>064-711-5169</t>
  </si>
  <si>
    <t>경남 창원 마산회원구 회원동 46-48</t>
  </si>
  <si>
    <t>055-222-1224</t>
  </si>
  <si>
    <t>053-321-8688</t>
  </si>
  <si>
    <t>서울 종로구 관철 35-4 동안빌딩</t>
  </si>
  <si>
    <t>02-2265-1430</t>
  </si>
  <si>
    <t>02-845-8345</t>
  </si>
  <si>
    <t>서울 구로구 온수동 41-6 1층</t>
  </si>
  <si>
    <t>02-2689-7332</t>
  </si>
  <si>
    <t>서울 중구 을지로5길 26 (수하동,미래에셋센터원7,8층)</t>
  </si>
  <si>
    <t>044-279-8082</t>
  </si>
  <si>
    <t>서울 마포구 도화동 555 한화오벨리스크관리실인포메이션</t>
  </si>
  <si>
    <t>031-769-4326</t>
  </si>
  <si>
    <t>서울 강서구 가양동 1131</t>
  </si>
  <si>
    <t>02-3663-6657</t>
  </si>
  <si>
    <t>경기도 김포시 김포대로 835, 705호(사우동, 어프라자)</t>
  </si>
  <si>
    <t>031-989-2081</t>
  </si>
  <si>
    <t>대구 달서구 대천동 512-1</t>
  </si>
  <si>
    <t>053-633-6077</t>
  </si>
  <si>
    <t>울산 울주 범서 두산 610</t>
  </si>
  <si>
    <t>경북 경산시 압량면 가일리 476-1</t>
  </si>
  <si>
    <t>010-3530-3357</t>
  </si>
  <si>
    <t>광주 북구 하남대로 581 (동림동)</t>
  </si>
  <si>
    <t>062-514-1922</t>
  </si>
  <si>
    <t>경북 구미시 인동중앙로 39, 5층 (황상동, 명일메디칼)</t>
  </si>
  <si>
    <t>대구 달서구 신당동 1095-13</t>
  </si>
  <si>
    <t>053-593-5999</t>
  </si>
  <si>
    <t>경남 사천시 사천읍 토촌길 6-66</t>
  </si>
  <si>
    <t>055-852-7338</t>
  </si>
  <si>
    <t>경기 시흥 시흥대로789번길 6-7(포동)</t>
  </si>
  <si>
    <t>031-318-8819</t>
  </si>
  <si>
    <t>충북 청주시 청원구 오창읍 후기길 42</t>
  </si>
  <si>
    <t>제주 제주 도두항서7길 5-5 (도두일동)</t>
  </si>
  <si>
    <t>064-743-6814</t>
  </si>
  <si>
    <t>인천 부평구 부영로 196, 10-301(부평동,대림아파트)</t>
  </si>
  <si>
    <t>010-9633-7752</t>
  </si>
  <si>
    <t>경북 경산시 솔숲길 3길 7-4(사동)</t>
  </si>
  <si>
    <t>경기도 파주시 경의로 1114, 3층 303호(야당동, 에펠타워)</t>
  </si>
  <si>
    <t>031-944-8580</t>
  </si>
  <si>
    <t>경기 안산 단원구 번영로32번길 29, 422호(성곡동,시화공단4바)</t>
  </si>
  <si>
    <t>031-433-3850</t>
  </si>
  <si>
    <t>전남 해남 옥천면 농공단지길  68</t>
  </si>
  <si>
    <t>061-462-6700</t>
  </si>
  <si>
    <t>광주 광산구 송도로 198-3(도산동)</t>
  </si>
  <si>
    <t>경북 청도 청도읍 청매로 86-29</t>
  </si>
  <si>
    <t>054-371-1103</t>
  </si>
  <si>
    <t>경기 안양 만안구 박달동 85-24</t>
  </si>
  <si>
    <t>031-453-7091</t>
  </si>
  <si>
    <t>경기 안양 동안 호계동 317-1 1호</t>
  </si>
  <si>
    <t>충남 서산 성연면 신당1로 105</t>
  </si>
  <si>
    <t>031-369-9648</t>
  </si>
  <si>
    <t>서울 양천구 신월동 549-1</t>
  </si>
  <si>
    <t>02-2608-8304</t>
  </si>
  <si>
    <t>경기 안산 본오 850-17</t>
  </si>
  <si>
    <t>031-409-9500</t>
  </si>
  <si>
    <t>충북 청원 남이면 척산리645-5</t>
  </si>
  <si>
    <t>043-269-2228</t>
  </si>
  <si>
    <t>전북 전주시 덕진구 배미실마을길 13(효성동1가)</t>
  </si>
  <si>
    <t>063-272-1008</t>
  </si>
  <si>
    <t>대구 북구 산격동 1442-5</t>
  </si>
  <si>
    <t>010-3517-7209</t>
  </si>
  <si>
    <t>경기 안산 상록구 오목로 91 (본오동)</t>
  </si>
  <si>
    <t>031-406-8686</t>
  </si>
  <si>
    <t>충북 청주 흥덕구 봉명동 1090</t>
  </si>
  <si>
    <t>043-273-6868</t>
  </si>
  <si>
    <t>광주 북구 송해로 6 (삼각동)</t>
  </si>
  <si>
    <t>062-576-6204</t>
  </si>
  <si>
    <t>충남 당진시 석문면 대호만로 1221-32</t>
  </si>
  <si>
    <t>041-350-0517</t>
  </si>
  <si>
    <t>제주 제주시 월광로 151(노형동)</t>
  </si>
  <si>
    <t>064-757-0407</t>
  </si>
  <si>
    <t>043-293-9495</t>
  </si>
  <si>
    <t>전북 전주 완산 평화동2 849-3</t>
  </si>
  <si>
    <t>063-250-0226</t>
  </si>
  <si>
    <t>전북 정읍 농소동 97-4</t>
  </si>
  <si>
    <t>대구시 동구 신덕로 134, 8-202(신평동, 그린빌라2차)</t>
  </si>
  <si>
    <t>전북 전주 완산구 효자동3가 854</t>
  </si>
  <si>
    <t>010-6225-6230</t>
  </si>
  <si>
    <t>대구 수성구 사월동 236-3</t>
  </si>
  <si>
    <t>광주 북구 운암동 416-11</t>
  </si>
  <si>
    <t>전남 목포시 원산로 146(연산동)</t>
  </si>
  <si>
    <t>061-282-0063</t>
  </si>
  <si>
    <t>경남 창원 성산구 창곡로 40 (신촌동)</t>
  </si>
  <si>
    <t>055-267-3621</t>
  </si>
  <si>
    <t>010-7610-5193</t>
  </si>
  <si>
    <t>대전 중구 대둔산로 119-36 (안영동)</t>
  </si>
  <si>
    <t>042-582-0008</t>
  </si>
  <si>
    <t>경기 파주 조리읍 등원리 207-1</t>
  </si>
  <si>
    <t>대구 서구 비산 497-2</t>
  </si>
  <si>
    <t>경북 안동 정하동 358-2</t>
  </si>
  <si>
    <t>054-859-2311</t>
  </si>
  <si>
    <t>서울 은평구 갈현동 540 우남아파트상가동 1층</t>
  </si>
  <si>
    <t>경북 문경 흥덕동 355-5</t>
  </si>
  <si>
    <t>054-553-6789</t>
  </si>
  <si>
    <t>경기 안양 동안구 관양동 1474-11 2층 202호</t>
  </si>
  <si>
    <t>031-424-7113</t>
  </si>
  <si>
    <t>제주 제주시 아봉로 29(아라이동)</t>
  </si>
  <si>
    <t>경북 포항시 북구 장량로31번길 35-5(장성동)</t>
  </si>
  <si>
    <t>054-246-6287</t>
  </si>
  <si>
    <t>전남 목포 삼학로 224-2(산정동)</t>
  </si>
  <si>
    <t>061-245-0401</t>
  </si>
  <si>
    <t>전북 전주 완산구 구이로 1905-8(석구동)</t>
  </si>
  <si>
    <t>063-212-5395</t>
  </si>
  <si>
    <t>광주 북구 동림동 931-1</t>
  </si>
  <si>
    <t>062-513-9600</t>
  </si>
  <si>
    <t>제주도 서귀포시 동홍동 789-2</t>
  </si>
  <si>
    <t>울산시 남구 봉월로 91, 1층(신정동)</t>
  </si>
  <si>
    <t>052-267-6057</t>
  </si>
  <si>
    <t>제주 제주시 사장3길 33(연동)</t>
  </si>
  <si>
    <t>064-798-0003</t>
  </si>
  <si>
    <t>서울 서초구 동광로12가길 22, 502호(방배동)</t>
  </si>
  <si>
    <t>010-2250-0746</t>
  </si>
  <si>
    <t>전북 전주 완산구 중화산동2 592-7</t>
  </si>
  <si>
    <t>063-225-3458</t>
  </si>
  <si>
    <t>032-322-9007</t>
  </si>
  <si>
    <t>경기 고양 덕양구 서오릉로 702, 1층(원흥동)</t>
  </si>
  <si>
    <t>031-965-9004</t>
  </si>
  <si>
    <t>전남 여수시 신월로 496-25(신월동)</t>
  </si>
  <si>
    <t>061-680-3023</t>
  </si>
  <si>
    <t>울산 남구 삼산동 204-3</t>
  </si>
  <si>
    <t>052-258-8047</t>
  </si>
  <si>
    <t>경기 광주 직동 132-4</t>
  </si>
  <si>
    <t>경기 광주 광남안로431번길 37-15(직동)</t>
  </si>
  <si>
    <t>031-768-3979</t>
  </si>
  <si>
    <t>경기 부천 소사 옥길동 439-1</t>
  </si>
  <si>
    <t>02-2618-9429</t>
  </si>
  <si>
    <t>경기 고양 덕양구 화전동 511-2</t>
  </si>
  <si>
    <t>02-3158-4543</t>
  </si>
  <si>
    <t>충남 천안시 서북구 성환읍 대학로 7, 씨동 405호(성원빌딩)</t>
  </si>
  <si>
    <t>041-854-8775</t>
  </si>
  <si>
    <t>경기 시흥시 대야동 293-4</t>
  </si>
  <si>
    <t>031-314-8239</t>
  </si>
  <si>
    <t>대구 달성 하빈 하빈남로 331-3</t>
  </si>
  <si>
    <t>053-551-5522</t>
  </si>
  <si>
    <t>서울시 송파구 백제고분로 501, 1동 15층 1504호(방이동, 청호빌딩)</t>
  </si>
  <si>
    <t>경북 고령 다사 좌학리 98-1</t>
  </si>
  <si>
    <t>010-3536-5628</t>
  </si>
  <si>
    <t>02-845-9436</t>
  </si>
  <si>
    <t>대구 북구 대현1 160-10</t>
  </si>
  <si>
    <t>053-959-4516</t>
  </si>
  <si>
    <t>경기도 시흥시 수인로 3077번길 71-1 (안현동)</t>
  </si>
  <si>
    <t>031-317-8311</t>
  </si>
  <si>
    <t>대구시 북구 조야로 14길 42 (조야동)</t>
  </si>
  <si>
    <t>053-202-7975</t>
  </si>
  <si>
    <t>서울 강서구 마곡서로 152 에이동 10층, 1012호(마곡동,두산더랜드타워)</t>
  </si>
  <si>
    <t>02-3280-2599</t>
  </si>
  <si>
    <t>충남 아산 배방읍 장재로 3, 102(1층)</t>
  </si>
  <si>
    <t>경북 상주시 서곡1길 21(서곡동)</t>
  </si>
  <si>
    <t>054-535-2047</t>
  </si>
  <si>
    <t>02-2027-0655</t>
  </si>
  <si>
    <t>경북 포항 남구 괴동로 209(괴동동)</t>
  </si>
  <si>
    <t>032-668-8820</t>
  </si>
  <si>
    <t>제주시 우령서로 18길 76-4(외도일동)</t>
  </si>
  <si>
    <t>010-6408-7409</t>
  </si>
  <si>
    <t>경기 안양 동안 호계동 555-9 안양국제유통단지 27-217</t>
  </si>
  <si>
    <t>031-427-1295</t>
  </si>
  <si>
    <t>경기 안양 동안구 비산동 1115 신안메트로칸 1719</t>
  </si>
  <si>
    <t>장부명</t>
    <phoneticPr fontId="70" type="noConversion"/>
  </si>
  <si>
    <t>전화</t>
    <phoneticPr fontId="1" type="noConversion"/>
  </si>
  <si>
    <t>거래처주소</t>
    <phoneticPr fontId="1" type="noConversion"/>
  </si>
  <si>
    <t>끈</t>
    <phoneticPr fontId="26" type="noConversion"/>
  </si>
  <si>
    <t>30</t>
    <phoneticPr fontId="1" type="noConversion"/>
  </si>
  <si>
    <t>제주 제주시 구남동8길 7, 1층(이도이동)</t>
  </si>
  <si>
    <t>광주시 북구 동운로 105(동림동)</t>
  </si>
  <si>
    <t>062-524-0524</t>
  </si>
  <si>
    <t>광주시 서구 하남대로550번길 39-37(동천동)</t>
  </si>
  <si>
    <t>경북 김천시 봉산면 봉산로 491-46</t>
  </si>
  <si>
    <t>054-432-1893</t>
  </si>
  <si>
    <t>충북 청주시 흥덕구 강내면 태성탑연로 261</t>
  </si>
  <si>
    <t>043-233-0105</t>
  </si>
  <si>
    <t>제주 제주시 노연로 81</t>
  </si>
  <si>
    <t>053-638-4601</t>
  </si>
  <si>
    <t>경기도 양평군 양평읍 도곡리 894</t>
  </si>
  <si>
    <t>031-771-3167</t>
  </si>
  <si>
    <t>부산시 강서구 녹산산단382로 14번길 55, 107호 (송정동, 부산광역시 신발산업진흥센터)</t>
  </si>
  <si>
    <t>055-723-4090</t>
  </si>
  <si>
    <t>대구시 동구 아양로 124, 101동 지하 104호(신암동, 큰고개 웰그린)</t>
  </si>
  <si>
    <t>울산시 중구 명륜로 127,1층 (교동)</t>
  </si>
  <si>
    <t>052-211-5232</t>
  </si>
  <si>
    <t>광주 북구 동운로32번길 35, 2층(동림동)</t>
  </si>
  <si>
    <t>경기 남양주시 진건읍 신월리 606</t>
  </si>
  <si>
    <t>서울 강동구 풍성로 106, 201호(성내동, 다조은)</t>
  </si>
  <si>
    <t>경기 고양시 덕양구 서오릉로663번길 93 (원흥동)</t>
  </si>
  <si>
    <t>070-4837-1053</t>
  </si>
  <si>
    <t>충남 논산시 가야곡면 원앙로 503번길 117</t>
  </si>
  <si>
    <t>02-2103-3042</t>
  </si>
  <si>
    <t>충남 천안시 동남구 목천읍 충절로 695</t>
  </si>
  <si>
    <t>041-556-2777</t>
  </si>
  <si>
    <t>서울 서대문구 홍은동 427-3 2층 일부</t>
  </si>
  <si>
    <t>02-379-9002</t>
  </si>
  <si>
    <t>서울시 금천구 탑골로 3가길 14, 201호(시흥동)</t>
  </si>
  <si>
    <t>인천 남동구 남동대로410번길 23(남촌동)</t>
  </si>
  <si>
    <t>032-437-2522</t>
  </si>
  <si>
    <t>경기도 평택시 경기대로 891, 1층(장당동)</t>
  </si>
  <si>
    <t>경기도 안산시 단원구 너비울길 132-1 (화정동)</t>
  </si>
  <si>
    <t>031-403-0994</t>
  </si>
  <si>
    <t>충북 청원군 남이면 남석로 293-23</t>
  </si>
  <si>
    <t>043-260-5401</t>
  </si>
  <si>
    <t>충남 천안시 서북구 쌍용대로 188, 301호(성정동, 남도빌딩)</t>
  </si>
  <si>
    <t>경기도 광주시 염소골길35번길 15-13, 1층(목동)</t>
  </si>
  <si>
    <t>031-767-4272</t>
  </si>
  <si>
    <t>서울시 성북구 오패산로 40, 5층 (하월곡동)</t>
  </si>
  <si>
    <t>02-3676-1111</t>
  </si>
  <si>
    <t>인천시 서구 가정로38번길 18, 10-1호(가좌동, 영창테크노타운)</t>
  </si>
  <si>
    <t>* 2019.08.01 거래처 검색 및 발주일 고정. 
단가시트 위치 변경 및 함수 변경.</t>
    <phoneticPr fontId="1" type="noConversion"/>
  </si>
  <si>
    <t>현장명</t>
    <phoneticPr fontId="1" type="noConversion"/>
  </si>
  <si>
    <t>대구 수성구 들안로 157(중동)</t>
  </si>
  <si>
    <t>010-3656-4239</t>
  </si>
  <si>
    <t>대구 달서구 선원로 15안길 80(신당동)</t>
  </si>
  <si>
    <t>경북 경주시 북문로 36(성건동)</t>
  </si>
  <si>
    <t>061-651-1144</t>
  </si>
  <si>
    <t>전북 남원시 춘향로 226 (용정동)</t>
  </si>
  <si>
    <t>063-625-8338</t>
  </si>
  <si>
    <t>대전 대덕구 대화로 160, 14동 108호(대화동, 산업용재유통상가)</t>
  </si>
  <si>
    <t>042-670-8808</t>
  </si>
  <si>
    <t>전북 익산시 선화로 47길 4(마동)</t>
  </si>
  <si>
    <t>063-851-1233</t>
  </si>
  <si>
    <t>경북 성주군 성주읍 용대로 75</t>
  </si>
  <si>
    <t>053-585-4007</t>
  </si>
  <si>
    <t>경북 안동시 희망1길 193, 2층(옥동)</t>
  </si>
  <si>
    <t>054-859-3200</t>
  </si>
  <si>
    <t>광주 북구 삼정로 103(두암동)</t>
  </si>
  <si>
    <t>경북 경산시 압량면 가일길 47</t>
  </si>
  <si>
    <t>053-818-2647</t>
  </si>
  <si>
    <t>전북 전주시 덕진구 동부대로 593(우아동3가)</t>
  </si>
  <si>
    <t>제주 서귀포시 남성중로 135(서홍동)</t>
  </si>
  <si>
    <t>064-766-1052</t>
  </si>
  <si>
    <t>전북 익산시 하나로 140-65(신흥동, 천하산업)</t>
  </si>
  <si>
    <t>강원 원주시 소초면 둔둔로 87</t>
  </si>
  <si>
    <t>031-351-2419</t>
  </si>
  <si>
    <t>서울시 마포구 토정로 31길 23, 1층(용강동)</t>
  </si>
  <si>
    <t>02-704-6112</t>
  </si>
  <si>
    <t>경기도 용인시 처인구 모현읍 문현로 348</t>
  </si>
  <si>
    <t>031-332-0405</t>
  </si>
  <si>
    <t>경기 남양주시 순화궁로 339, 103호(별내동, 정원프라자)</t>
  </si>
  <si>
    <t>031-529-8909</t>
  </si>
  <si>
    <t>경기도 평택시 평남로 1010(동삭동)</t>
  </si>
  <si>
    <t>경기도 용인시 처인구 모현읍 문형동림로32번길 25-4(외1필지)</t>
  </si>
  <si>
    <t>전남 화순군 동면 동농공길 26-2</t>
  </si>
  <si>
    <t>02-3440-7877</t>
  </si>
  <si>
    <t>서울시 종로구 통일로14길 30 (무악센터분관)</t>
  </si>
  <si>
    <t>010-5489-2875</t>
  </si>
  <si>
    <t>경기 성남시 수정구 창원로 54, 가동 3층, 4층(시흥동, 엘에이치기업성장센터)</t>
  </si>
  <si>
    <t>070-5227-6014</t>
  </si>
  <si>
    <t>경기도 파주시 와석순환로 192번길 14-38 (동패동, 1층)</t>
  </si>
  <si>
    <t>E-4</t>
  </si>
  <si>
    <t>L-4</t>
  </si>
  <si>
    <t>L-3</t>
  </si>
  <si>
    <t>GC-4</t>
  </si>
  <si>
    <t>G-4</t>
  </si>
  <si>
    <t>GC-3</t>
  </si>
  <si>
    <t>G-3</t>
  </si>
  <si>
    <t>EC-4</t>
  </si>
  <si>
    <t>C-4</t>
    <phoneticPr fontId="1" type="noConversion"/>
  </si>
  <si>
    <t>CC-4</t>
    <phoneticPr fontId="1" type="noConversion"/>
  </si>
  <si>
    <t>배송지주소</t>
    <phoneticPr fontId="1" type="noConversion"/>
  </si>
  <si>
    <t>기타</t>
    <phoneticPr fontId="1" type="noConversion"/>
  </si>
  <si>
    <t>←현장명 입력</t>
  </si>
  <si>
    <t>경북 안동시 풍천면 천년숲서로 43-14, 1층 119호</t>
  </si>
  <si>
    <t>010-7679-4004</t>
  </si>
  <si>
    <t>053-817-5643</t>
  </si>
  <si>
    <t>011-507-0500</t>
  </si>
  <si>
    <t>경북 칠곡군 동명면 금암중앙길 133</t>
  </si>
  <si>
    <t>경북 경산시 용성면 덕천리 500-8</t>
  </si>
  <si>
    <t>경기 광명시 금오로 805(옥길동)</t>
  </si>
  <si>
    <t>010-8552-8909</t>
  </si>
  <si>
    <t>충남 천안시 동남구 구성5길 6-3(구성동)</t>
  </si>
  <si>
    <t>041-567-0404</t>
  </si>
  <si>
    <t>강원도 원주시 천매봉길 94-8 (단구동,1층)</t>
  </si>
  <si>
    <t>070-7166-7501</t>
  </si>
  <si>
    <t>경기도 군포시 당산로192번길 2(금정동)</t>
  </si>
  <si>
    <t>031-394-0780</t>
  </si>
  <si>
    <t>서울시 금천구 가산디지털1로 168, 제비동 지3층 제비316호(가산동,우림라이온스밸리)</t>
  </si>
  <si>
    <t>02-2026-0202</t>
  </si>
  <si>
    <t>전남 해남군 해남읍 고산로 82-30</t>
  </si>
  <si>
    <t>061-534-2233</t>
  </si>
  <si>
    <t>제주 제주시 대통길 38(내도동)</t>
  </si>
  <si>
    <t>064-751-0817</t>
  </si>
  <si>
    <t>충북 청주시 흥덕구 백봉로224번길 40, 1층 봉명동2100번지</t>
  </si>
  <si>
    <t>043-263-6800</t>
  </si>
  <si>
    <t>울산시 남구 신화로41번길 57(야음동)</t>
  </si>
  <si>
    <t>052-265-6262</t>
  </si>
  <si>
    <t>경기도 이천시 영창로 85번길 26(관고동)</t>
  </si>
  <si>
    <t>010-4899-2120</t>
  </si>
  <si>
    <t>경기 성남시 중원구 박석로 15번길 20-7, 602호</t>
  </si>
  <si>
    <t>010-5145-5296</t>
  </si>
  <si>
    <t>경기도 수원시 팔달구 정조로709번길 25 (매교동)</t>
  </si>
  <si>
    <t>010-4597-5729</t>
  </si>
  <si>
    <t>경기도 수원시 권선구 세지로4번길 25-19, 102호(세류동)</t>
  </si>
  <si>
    <t>010-5284-5580</t>
  </si>
  <si>
    <t>충남 천안 다가 373-22</t>
  </si>
  <si>
    <t>010-3412-7177</t>
  </si>
  <si>
    <t>서울시 은평구 서오릉로 258, 상가동 201호(갈현동)</t>
  </si>
  <si>
    <t>대구시 북구 칠곡중앙대로 99, 1,2층(매천동)</t>
  </si>
  <si>
    <t>제주 제주시 월랑로6길 30, 202ㅗ(노형동, 하얀빌라)</t>
  </si>
  <si>
    <t>충북 음성군 맹동면 장성3길 13-5, 5층 501,502,503(스카이타워)</t>
  </si>
  <si>
    <t>경북 영주시 번영로12번길 16-1(휴천동)</t>
  </si>
  <si>
    <t>010-6787-3030</t>
  </si>
  <si>
    <t>대구시 동구 신성로 6-1, 1층(신천동)</t>
  </si>
  <si>
    <t>053-939-5152</t>
  </si>
  <si>
    <t>충남 공주시 한적2길 51-14(금흥동, 우남퍼스트빌)</t>
  </si>
  <si>
    <t>041-857-0600</t>
  </si>
  <si>
    <t>광주시 동구 계림동 969번지</t>
  </si>
  <si>
    <t>010-6604-7015</t>
  </si>
  <si>
    <t>경북 포항시 북구 삼흥로57번길 17, 2층(장성동)</t>
  </si>
  <si>
    <t>010-7665-5151</t>
  </si>
  <si>
    <t>대전시 대덕구 신탄진동로23번길 31(신탄진동,154호)</t>
  </si>
  <si>
    <t>010-3243-9010</t>
  </si>
  <si>
    <t>서울 영등포구 영등포로3길 18, 1동 402호(양평동2가)</t>
  </si>
  <si>
    <t>서울시 강북구 수유동 451-75</t>
  </si>
  <si>
    <t>010-4247-3600</t>
  </si>
  <si>
    <t>서울시 성동구 살곶이길 50, 110동 701호(마장동, 마장동현대아파트)</t>
  </si>
  <si>
    <t>0507-361-4024</t>
  </si>
  <si>
    <t>서울시 노원구 상계동 1318</t>
  </si>
  <si>
    <t>010-8330-3135</t>
  </si>
  <si>
    <t>충남 논산시 가야곡면 가야공단길 14-23</t>
  </si>
  <si>
    <t>010-3644-8827</t>
  </si>
  <si>
    <t>경기도 남양주시 진건읍 사능로 559-76</t>
  </si>
  <si>
    <t>010-2207-3604</t>
  </si>
  <si>
    <t>인천시 남동구 아암대로 1223 607(고잔동, 성강지식산업센터)</t>
  </si>
  <si>
    <t>032-435-9930</t>
  </si>
  <si>
    <t>경기 화성시 봉담읍 동화길 53, 630호(원희캐슬봉담)</t>
  </si>
  <si>
    <t>031-5183-3830</t>
  </si>
  <si>
    <t>경기도 용인시 처인구 모현읍 갈담리 274-51</t>
  </si>
  <si>
    <t>서울시 강북구 도봉로 404 (번동)</t>
  </si>
  <si>
    <t>02-900-8500</t>
  </si>
  <si>
    <t>서울시 송파구 삼전동 111-1</t>
  </si>
  <si>
    <t>02-418-4627</t>
  </si>
  <si>
    <t>대구 수성구 고산로4길 48(신매동)</t>
  </si>
  <si>
    <t>053-260-7777</t>
  </si>
  <si>
    <t>광주 서구 유덕로 40번길 59(유촌동)</t>
  </si>
  <si>
    <t>제주 서귀포시 월라봉로 27, 1층 (신효동)</t>
  </si>
  <si>
    <t>064-763-3444</t>
  </si>
  <si>
    <t>서울시 강동구 구천면로47길 38-8, 102호(암사동)</t>
  </si>
  <si>
    <t>충남 논산시 대화로 169 (화지동)</t>
  </si>
  <si>
    <t>041-733-8402</t>
  </si>
  <si>
    <t>053-216-7700</t>
  </si>
  <si>
    <t>전남 영양군 학산면 상월상리길 11-29</t>
  </si>
  <si>
    <t>대구 북구 구암동 566</t>
  </si>
  <si>
    <t>부산시 해운대구 선수촌로 122, 108동 306호(반여동, 아시아선수촌아파트)</t>
  </si>
  <si>
    <t>광주시 북구 문화소통로 74, 1층(용봉동)</t>
  </si>
  <si>
    <t>충남 천안시 서북구 입장면 위례성로 1898-11</t>
  </si>
  <si>
    <t>041-585-8541</t>
  </si>
  <si>
    <t>대구 수성구 충의로4길 26(만촌동)</t>
  </si>
  <si>
    <t>010-8949-9374</t>
  </si>
  <si>
    <t>031-796-9779</t>
  </si>
  <si>
    <t>서울시 도봉구 도봉로 903(도봉동)</t>
  </si>
  <si>
    <t>02-956-2010</t>
  </si>
  <si>
    <t>충남 천안시 구성동 128-8</t>
  </si>
  <si>
    <t>041-562-8308</t>
  </si>
  <si>
    <t>경기 안산시 상록구 장하로 150(장하동)</t>
  </si>
  <si>
    <t>031-403-5958</t>
  </si>
  <si>
    <t>강원도 춘천시 후석로 326 (후명동, 엠타워401호)</t>
  </si>
  <si>
    <t>033-242-7587</t>
  </si>
  <si>
    <t>강원도 원주시 흥업면 흥업리 1438-2</t>
  </si>
  <si>
    <t>033-766-2677</t>
  </si>
  <si>
    <t>경기 김포시 월곶면 군하로 230-5</t>
  </si>
  <si>
    <t>031-985-2024</t>
  </si>
  <si>
    <t>경기 안성시 원곡면 관산길 100</t>
  </si>
  <si>
    <t>031-652-4440</t>
  </si>
  <si>
    <t>울산시 남구 수암로302번길 6 (야음동)</t>
  </si>
  <si>
    <t>경기도 양주시 장흥면 권율로 185번길 103</t>
  </si>
  <si>
    <t>010-4545-9780</t>
  </si>
  <si>
    <t>서울시 송파구 법원로9길 26, 시동 815호(문정동,에이치비지니스파크)</t>
  </si>
  <si>
    <t>충북 충주시 주덕읍 중원산업로 106-1</t>
  </si>
  <si>
    <t>010-3715-4301</t>
  </si>
  <si>
    <t>서울시 구로구 구로중앙로 198 18-117(구로동, 구로공구상가C브럭)</t>
  </si>
  <si>
    <t>02-2633-6372</t>
  </si>
  <si>
    <t>경기도 광주시 오포읍 매자리길 94-50</t>
  </si>
  <si>
    <t>010-8924-9570</t>
  </si>
  <si>
    <t>부산시 동래구 안락동 245-9 1층</t>
  </si>
  <si>
    <t>울산시 중구 약사동 약사2지구 5블럭 2-1롯트(평상6길 19)</t>
  </si>
  <si>
    <t>010-8511-2005</t>
  </si>
  <si>
    <t>대구시 달성군 옥포읍 농공공단길 42</t>
  </si>
  <si>
    <t>010-3561-3578</t>
  </si>
  <si>
    <t>광주 서구 하남대로 550번길 19-34, 19-40(동천동)</t>
  </si>
  <si>
    <t>062-513-4756</t>
  </si>
  <si>
    <t>충북 괴산군 괴산읍 읍내로 15길 8-7</t>
  </si>
  <si>
    <t>043-832-2217</t>
  </si>
  <si>
    <t>경남 고성 마암면 보전2길 25</t>
  </si>
  <si>
    <t>광주시 북구 하서로 395 (양산동)</t>
  </si>
  <si>
    <t>광주 서구 마륵로 45(마륵동, 2층 2호)</t>
  </si>
  <si>
    <t>062-945-3884</t>
  </si>
  <si>
    <t>서울시 마포구 독막로6길 9, 2513호(합정동)</t>
  </si>
  <si>
    <t>경기 성남시 분당구 돌마로 522번길 1 (서현동)</t>
  </si>
  <si>
    <t>031-704-0977</t>
  </si>
  <si>
    <t>031-462-4911</t>
  </si>
  <si>
    <t>서울시 강남구 언주로 432-6(역삼동, 성보루빌딩 8층)</t>
  </si>
  <si>
    <t>032-260-3891</t>
  </si>
  <si>
    <t>경기도 시흥시 승지로 34, 709동 503호(능곡동, 휴먼시아)</t>
  </si>
  <si>
    <t>010-6604-1085</t>
  </si>
  <si>
    <t>010-3711-4140</t>
  </si>
  <si>
    <t>인천시 남구 숭의동 435-32</t>
  </si>
  <si>
    <t>010-7511-4354</t>
  </si>
  <si>
    <t>서울 양천구 목동동로 73(신정동,양지타워)</t>
  </si>
  <si>
    <t>경기 하남시 하남대로 856, 102동 603호(덕풍동, 하남더샵센트럴뷰)</t>
  </si>
  <si>
    <t>02-439-1624</t>
  </si>
  <si>
    <t>서울시 중구 퇴계로 88길 21(신당동)</t>
  </si>
  <si>
    <t>02-599-5036</t>
  </si>
  <si>
    <t>경기 화성 우정읍 매바위로 40</t>
  </si>
  <si>
    <t>서울 영등포구 대방천로 152 (신림동)</t>
  </si>
  <si>
    <t>전북 전주 완산구 중평길 36 (평화동3가)</t>
  </si>
  <si>
    <t>경북 경산시 진량읍 대학로 1062-1, 1동 1202호(효성그랜드뷰)</t>
  </si>
  <si>
    <t>010-8409-2552</t>
  </si>
  <si>
    <t>대구 동구 화랑로80길 8. 146동 2층 208호(방촌동,우방상가)</t>
  </si>
  <si>
    <t>세종특별자치시 금남면 방돌길 39</t>
  </si>
  <si>
    <t>041-920-3300</t>
  </si>
  <si>
    <t>충남 천안시 서북구 봉정로 147(성정동)</t>
  </si>
  <si>
    <t>041-575-6255</t>
  </si>
  <si>
    <t>광주 서구 유덕로142번길 22-24, 제3동(덕흥동)</t>
  </si>
  <si>
    <t>062-367-3030</t>
  </si>
  <si>
    <t>대구 달성군 다사읍 서재로 143, 86</t>
  </si>
  <si>
    <t>충북 옥천군 옥천읍 동안리 130-8</t>
  </si>
  <si>
    <t>043-731-7086</t>
  </si>
  <si>
    <t>충북 청주시 서원구 남이면 양촌4길 7</t>
  </si>
  <si>
    <t>경기 부천시 원미구 중동로254번길 78,301(중동,필타운)</t>
  </si>
  <si>
    <t>서울시 강남구 도산대로100길 24(청담동)</t>
  </si>
  <si>
    <t>경기 이천시 부발읍 마암리 123-3, 4</t>
  </si>
  <si>
    <t>경기 하남시 대성로 50, 101호(하사창동)</t>
  </si>
  <si>
    <t>031-794-2312</t>
  </si>
  <si>
    <t>031-855-0438</t>
  </si>
  <si>
    <t>서울 강남구 영동대로 316(대치동,새마을운동중앙회빌딩 9층)</t>
  </si>
  <si>
    <t>02-3402-1411</t>
  </si>
  <si>
    <t>경기 부천시 경안로 469-1, 1층(괴안동)</t>
  </si>
  <si>
    <t>032-347-5525</t>
  </si>
  <si>
    <t>충남 천안시 동남구 옥천읍 도장로 193-7</t>
  </si>
  <si>
    <t>041-569-0057</t>
  </si>
  <si>
    <t>전북 군산시 중동 361</t>
  </si>
  <si>
    <t>010-6636-1388</t>
  </si>
  <si>
    <t>경기 용인시 처인구 모현읍 초하로 155</t>
  </si>
  <si>
    <t>031-526-7605</t>
  </si>
  <si>
    <t>경북 영천시 청동면 용내길 65</t>
  </si>
  <si>
    <t>전북 남원 보절면 진기다금길 359-8</t>
  </si>
  <si>
    <t>전남 여수시 여서등7길 40(여서동)</t>
  </si>
  <si>
    <t>경북 칠곡 북삼읍 인평리 321-2</t>
  </si>
  <si>
    <t>대구 달서구 두류 2 142-1</t>
  </si>
  <si>
    <t>전북 전주 완산 중화산동2  596-8</t>
  </si>
  <si>
    <t>054-976-9590</t>
  </si>
  <si>
    <t>경북 경산이압량면 감못둑길 55</t>
  </si>
  <si>
    <t>경북 포항 남 상공로 196 (대도동)</t>
  </si>
  <si>
    <t>대구 달성군 논공읍 논공공단1길 29-1</t>
  </si>
  <si>
    <t>서울 동대문구 고산지로 459,4층3호(제기동,무림빌딩)</t>
  </si>
  <si>
    <t>대구 서구 와룔로 338 (중리동)</t>
  </si>
  <si>
    <t>충북 청주 상당 우암동 410-34</t>
  </si>
  <si>
    <t>전북 남원 광치옹공1길 20-17 (광치동)</t>
  </si>
  <si>
    <t>전북 전주 완산구 중화산동2 704-9</t>
  </si>
  <si>
    <t>제주 서귀포 서귀 250-10</t>
  </si>
  <si>
    <t>경북 포항 남 상도 595-25</t>
  </si>
  <si>
    <t>충북 청주 흥덕구 사직동 239-2</t>
  </si>
  <si>
    <t>전북 익산 옥천로6길 32 (인화동1가)</t>
  </si>
  <si>
    <t>제주 제주 인디1길 15, 101-102(아라이동,마라뜨래별)</t>
  </si>
  <si>
    <t>경남 진주 큰들로 27 (상평로)</t>
  </si>
  <si>
    <t>전남 목포시 섶나무길 94(상동)</t>
  </si>
  <si>
    <t>광주 북구 자미로6번길 26 (신만동)</t>
  </si>
  <si>
    <t>대전 대덕구 한밭대로 1011(오정동)</t>
  </si>
  <si>
    <t>042-626-9240</t>
  </si>
  <si>
    <t>전북 김제시 김구면 선비로 1150, 2층</t>
  </si>
  <si>
    <t>대구 달성군 논공읍 노이길 160</t>
  </si>
  <si>
    <t>053-615-9691</t>
  </si>
  <si>
    <t>부산 강서구 평강로 389, 외 2필지(대저1동)</t>
  </si>
  <si>
    <t>광주 광산구 신가동 200-50</t>
  </si>
  <si>
    <t>062-574-8545</t>
  </si>
  <si>
    <t>경남 창원시 마산회원구 내서읍 삼계본동2길 21,1층(금강빌)</t>
  </si>
  <si>
    <t>055-232-2019</t>
  </si>
  <si>
    <t>전북 완주군 삼례읍 삼례로 443, 7층 702호</t>
  </si>
  <si>
    <t>대구 수성구 수성로 28, 3, 4층(상동)</t>
  </si>
  <si>
    <t>053-473-4415</t>
  </si>
  <si>
    <t>대구 동구 신덕로 131(신평동)</t>
  </si>
  <si>
    <t>010-6788-9458</t>
  </si>
  <si>
    <t>전남 화순군 화순읍 용곡3길 16</t>
  </si>
  <si>
    <t>부산 수영구 무학로9번길 138(광안동)</t>
  </si>
  <si>
    <t>051-756-3402</t>
  </si>
  <si>
    <t>서울시 중량구 봉화산로56길 120, 2층(신내동)</t>
  </si>
  <si>
    <t>서울 금천구 시흥대로 97, 19동 335호 (시흥동,시흥유흥상가)</t>
  </si>
  <si>
    <t>경기 시흥 상직길 49, 102호(하삼동)</t>
  </si>
  <si>
    <t>충남 천안시 서북구 노원8길 16(성정동)</t>
  </si>
  <si>
    <t>경기도 부천시 성주로 상기동 2층 213호(심곡본동, 부천극동아파트)</t>
  </si>
  <si>
    <t>경기 부천 원미구 부흥로 102, 1540동 20층 2003호(상동,한아름)</t>
  </si>
  <si>
    <t>서울 중랑구 상봉 120-14</t>
  </si>
  <si>
    <t>충북 음성 금왕읍 오선리 346-1</t>
  </si>
  <si>
    <t>070-4333-7524</t>
  </si>
  <si>
    <t>광주 광산구 장산로 265번길 22, 111동 1106호(신창동, 신창부영아파트)</t>
  </si>
  <si>
    <t>서울 강동구 양재대로 1471,405(길동,동선빌딩)</t>
  </si>
  <si>
    <t>인천 계양구 이나지로 311, 2층 211호(작전동)</t>
  </si>
  <si>
    <t>경기도 고양시 일산동구 정백로 19, 644호(백성동, 더루벤스카운터)</t>
  </si>
  <si>
    <t>경기도 남양주시 오남읍 진건오남로새농길 14</t>
  </si>
  <si>
    <t>인천시 서구 보등로 158, 공존234호(오류동, 블루텍)</t>
  </si>
  <si>
    <t>서울시 금천구 가산디지털1로, 1504, 1505호(가산동,더루벤스밸리)</t>
  </si>
  <si>
    <t>서울 송파구 선애천로38길 7 (마천동,1층)</t>
  </si>
  <si>
    <t>1599-7584</t>
  </si>
  <si>
    <t>서울시 동작가 사당로 27길 77 (사당동)</t>
  </si>
  <si>
    <t>서울 금천구 디지털로9길 99, 901-비호(가산동,스타벨리)</t>
  </si>
  <si>
    <t>경기 화성 봉담읍 생수길 53</t>
  </si>
  <si>
    <t>031-269-3585</t>
  </si>
  <si>
    <t>경기 광주시 진토길 35-7</t>
  </si>
  <si>
    <t>010-4584-8980</t>
  </si>
  <si>
    <t>경기 안산시 상록구 선진5길 32(사동)</t>
  </si>
  <si>
    <t>031-411-5321</t>
  </si>
  <si>
    <t>경기 김포시 양촌읍 대곶남로 580</t>
  </si>
  <si>
    <t>031-986-4071</t>
  </si>
  <si>
    <t>경기 화성시 황계안길 5 (황계동)</t>
  </si>
  <si>
    <t>대구 달서구 학산로42길 23(송현동)</t>
  </si>
  <si>
    <t>경북 경산시 경산로 40, 102동 201호(옥곡동, 한일유앤아이)</t>
  </si>
  <si>
    <t>063-231-0205</t>
  </si>
  <si>
    <t>경남 김해시 삼안로 137번길 4-13(삼방동)</t>
  </si>
  <si>
    <t>울산 울주군 언양읍 반천산업로 108-106</t>
  </si>
  <si>
    <t>충북 청주시 흥덕구 풍년로112번길 7 (가경동)</t>
  </si>
  <si>
    <t>043-237-1060</t>
  </si>
  <si>
    <t>대전 유성구 반석동로 54, 201호(반석동, 센터프라자3차)</t>
  </si>
  <si>
    <t>042-826-9770</t>
  </si>
  <si>
    <t>#135 CONGRESSIONAL AVE., BAHAY TORO QUEZON CITY 1106 PHILIPPINES</t>
  </si>
  <si>
    <t>63-2-361-0169</t>
  </si>
  <si>
    <t>광주 광산구 목련로394번길 39-21, 1층(신가동)</t>
  </si>
  <si>
    <t>010-3603-2211</t>
  </si>
  <si>
    <t>제주 제주시 간월동로 90-8, 101동 비102호(아라이동)</t>
  </si>
  <si>
    <t>064-722-0448</t>
  </si>
  <si>
    <t>053-817-5697</t>
  </si>
  <si>
    <t>제주 제주시 동광로 197 (건입동)</t>
  </si>
  <si>
    <t>064-722-6204</t>
  </si>
  <si>
    <t>제주 제주시 오남로 148-2, 1543-5(오라이동)</t>
  </si>
  <si>
    <t>064-755-7709</t>
  </si>
  <si>
    <t>대구 달서구 장기로5길 32(성당동)</t>
  </si>
  <si>
    <t>010-8566-5338</t>
  </si>
  <si>
    <t>전북 완주군 고산면 읍내7길 52-5, 1동 1층 102호</t>
  </si>
  <si>
    <t>경기 광주시 회덕길 96-4, A동(회덕동)</t>
  </si>
  <si>
    <t>경기 광명시 하안로 228, 3동 1층 4호(하안동,광명시범공단공장형아파트)</t>
  </si>
  <si>
    <t>경기 하남시 초광산단로 94, 비101호(광암동)</t>
  </si>
  <si>
    <t>광주 광산구 지로길7번길 30-1,2층(지죽동)</t>
  </si>
  <si>
    <t>경기 부천시 고강로154번길 15-7, 5동 402호(고강동, 하이트맨션)</t>
  </si>
  <si>
    <t>010-9399-3218</t>
  </si>
  <si>
    <t>서울 영등포구 영신로38길 18, 3층 3077호(영등포동6가,흥무빌딩)</t>
  </si>
  <si>
    <t>010-3835-6986</t>
  </si>
  <si>
    <t>경기 안성시 샛터1길 24(중리동)</t>
  </si>
  <si>
    <t>031-675-9970</t>
  </si>
  <si>
    <t>경기 광주시 초월읍 산수로 430-1</t>
  </si>
  <si>
    <t>031-761-5623</t>
  </si>
  <si>
    <t>경기 김포시 통진읍 가현리 218-12, 218-15</t>
  </si>
  <si>
    <t>032-564-1318</t>
  </si>
  <si>
    <t>서울 양천구 신정동 934-4</t>
  </si>
  <si>
    <t>02-3664-8201</t>
  </si>
  <si>
    <t>경기 성남시 수정구 사송동 517-27</t>
  </si>
  <si>
    <t>031-751-7785</t>
  </si>
  <si>
    <t>경기 남양주시 오남읍 양지로80번길 34</t>
  </si>
  <si>
    <t>031-573-5595</t>
  </si>
  <si>
    <t>경기 파주시 조리읍 은골길 199-16(외1필지)</t>
  </si>
  <si>
    <t>031-942-4553</t>
  </si>
  <si>
    <t>전남 해남군 해남읍 중앙1로 14-16 (2층)</t>
  </si>
  <si>
    <t xml:space="preserve">경북 구미시 구미중앙로35길 16, 1층(원평동) </t>
  </si>
  <si>
    <t>010-2994-6903</t>
  </si>
  <si>
    <t>경기 용인시 처인구 중부대로 1712(마평동)</t>
  </si>
  <si>
    <t>031-321-5533</t>
  </si>
  <si>
    <t>인천 남동구 석촌로 57(간석동)</t>
  </si>
  <si>
    <t>032-427-9000</t>
  </si>
  <si>
    <t>경북 구미시 고아읍 선산대로 707</t>
  </si>
  <si>
    <t>054-482-2827</t>
  </si>
  <si>
    <t>서울 종로구 삼봉로 95(견지동)</t>
  </si>
  <si>
    <t>053-593-9857</t>
  </si>
  <si>
    <t>경기 광주시 역동로 65, 1층 2호(역동)</t>
  </si>
  <si>
    <t>광주 북구 하남대로 733-6, 가동 2층(운암동)</t>
  </si>
  <si>
    <t>02-2275-7633</t>
  </si>
  <si>
    <t>경기 화성시 반송동 158-5</t>
  </si>
  <si>
    <t>031-613-0717</t>
  </si>
  <si>
    <t>010-5797-0452</t>
  </si>
  <si>
    <t>제주 제주시 조천읍 선흘남4길 37-1</t>
  </si>
  <si>
    <t>서울 송파구 송이로14길 22, 202호(가락동,영창빌딩)</t>
  </si>
  <si>
    <t>031-634-4673</t>
  </si>
  <si>
    <t>경북 경산시 옥실길 98(옥곡동)</t>
  </si>
  <si>
    <t>충남 천안시 서북구 성정로 130-1(성정동)</t>
  </si>
  <si>
    <t>052-254-7716</t>
  </si>
  <si>
    <t>전남 나주시 쌍산3길 41(빛가람동)</t>
  </si>
  <si>
    <t>062-416-5529</t>
  </si>
  <si>
    <t>경기 하남시 미사강변서로 25, 329호(풍산동, 미사테스타타워지식산업센터)</t>
  </si>
  <si>
    <t>031-699-5552</t>
  </si>
  <si>
    <t>대구 달성군 현풍면 현풍중앙로 34</t>
  </si>
  <si>
    <t>053-611-0950</t>
  </si>
  <si>
    <t>경기 김포시 고촌읍 아라육로270번길 74</t>
  </si>
  <si>
    <t>010-2394-3619</t>
  </si>
  <si>
    <t>서울 동작구 사당로23길 274(사당동)</t>
  </si>
  <si>
    <t>02-532-1884</t>
  </si>
  <si>
    <t>경기 광주시 포은대로 642-14(장지동)</t>
  </si>
  <si>
    <t>충남 보령시 대해로 647(신흑동)</t>
  </si>
  <si>
    <t>041-935-9355</t>
  </si>
  <si>
    <t>경기도 시흥시 금오로 67 (무지내동)</t>
  </si>
  <si>
    <t>031-314-4997</t>
  </si>
  <si>
    <t>경기 안산시 단원구 목내로108번길 33, 5동 1층(목내동, (주)한일금속)</t>
  </si>
  <si>
    <t>경기 광주시 도척면 도척로 662</t>
  </si>
  <si>
    <t>경기 하남시 하남대로 494, 나동(하산곡동)</t>
  </si>
  <si>
    <t>경기 안양시 동안구 경수대로 857, 1,2층(비산동)</t>
  </si>
  <si>
    <t>광주 광산구 임곡로 810, 201호(도천동)</t>
  </si>
  <si>
    <t>062-513-8762</t>
  </si>
  <si>
    <t>서울 마포구 양화로 85, 5층(서교동, 동현빌딩)</t>
  </si>
  <si>
    <t>02-2135-3170</t>
  </si>
  <si>
    <t>대구 북구 팔달북로8길 42(노원동3가)</t>
  </si>
  <si>
    <t>경기 고양시 일산서구 덕산로104번길 42(가좌동)</t>
  </si>
  <si>
    <t>경북 칠곡군 북삼읍 칠곡대로 397</t>
  </si>
  <si>
    <t>054-444-7689</t>
  </si>
  <si>
    <t>충남 논산시 계백로 832(부창동)</t>
  </si>
  <si>
    <t>010-3704-5900</t>
  </si>
  <si>
    <t>충남 보령시 대천동 153-1</t>
  </si>
  <si>
    <t>041-935-3936</t>
  </si>
  <si>
    <t>전남 목포시 하당남부로 34, 203(상동,베스트빌)</t>
  </si>
  <si>
    <t>경기 양주시 장흥면 가마골로147번길 38</t>
  </si>
  <si>
    <t>전남 목포시 영산로250번길 41(용당동)</t>
  </si>
  <si>
    <t>061-273-6100</t>
  </si>
  <si>
    <t>대구 달성군 논공읍 비슬로331길 23</t>
  </si>
  <si>
    <t>광주 북구 하서로466번길 35(본촌동)</t>
  </si>
  <si>
    <t>062-531-3831</t>
  </si>
  <si>
    <t>충남 천안시 동남구 수곡2길 17-17, 외4(신방동)</t>
  </si>
  <si>
    <t>041-412-5588</t>
  </si>
  <si>
    <t>대전 유성구 문화원로 13, 108동 101호(장대동, 드림월드아파트)</t>
  </si>
  <si>
    <t>010-8208-5803</t>
  </si>
  <si>
    <t>충남 천안시 동남구 고재14길 9, 201호(원성동)</t>
  </si>
  <si>
    <t>010-7711-1182</t>
  </si>
  <si>
    <t>부산 남구 자성로 152, 714호(문현동,한일오피스텔)</t>
  </si>
  <si>
    <t>051-631-9804</t>
  </si>
  <si>
    <t>서울 강남구 도산대로 217(신사동,강남빌딩)</t>
  </si>
  <si>
    <t>02-6013-6639</t>
  </si>
  <si>
    <t>경북 경산시 하양읍 지식산업4로 99</t>
  </si>
  <si>
    <t>인천 남동구 용천로 80, 202호(구월동,진향상가)</t>
  </si>
  <si>
    <t>010-2938-3455</t>
  </si>
  <si>
    <t>한맥 스티커확인</t>
    <phoneticPr fontId="1" type="noConversion"/>
  </si>
  <si>
    <t>울산 북구 진장7길 22 (진장동)</t>
  </si>
  <si>
    <t>인천 남구 한나루로526번길 83, 1층(주안동)</t>
  </si>
  <si>
    <t>010-8529-0448</t>
  </si>
  <si>
    <t>광주 서구 하남대로550번길 39-30 (동천동)</t>
  </si>
  <si>
    <t>062-522-5582</t>
  </si>
  <si>
    <t>010-5845-7128</t>
  </si>
  <si>
    <t>전북 전주시 덕진구 전진로 26 (산정동)</t>
  </si>
  <si>
    <t>063-244-4304</t>
  </si>
  <si>
    <t>경북 안동시 노하길 276 (노하동)</t>
  </si>
  <si>
    <t>054-858-9861</t>
  </si>
  <si>
    <t>광주 서구 상무대로1189번길 37, 1층(농성동)</t>
  </si>
  <si>
    <t>대구 동구 안심로49길 117 (서호동)</t>
  </si>
  <si>
    <t>010-8302-8308</t>
  </si>
  <si>
    <t>대전 유성구 유성대로646번길 52,1층(구암동)</t>
  </si>
  <si>
    <t>충북 청주시 서원구 남이면 부용남이길 330</t>
  </si>
  <si>
    <t>043-286-1066</t>
  </si>
  <si>
    <t>대전 중구 대종로 165(석교동)</t>
  </si>
  <si>
    <t>충남 태안군 태안읍 샘골로 1</t>
  </si>
  <si>
    <t>041-672-4700</t>
  </si>
  <si>
    <t>서울 도봉구 시루봉로23나길 18-26(도봉동)</t>
  </si>
  <si>
    <t>02-954-9460</t>
  </si>
  <si>
    <t>부산 기장군 정관읍 예림1로 64</t>
  </si>
  <si>
    <t>경기 성남시 중원구 자혜로16번길 45-2(금광동,1층)</t>
  </si>
  <si>
    <t>경기 양주시 장흥면 가마골로 147번길 38, 1층</t>
  </si>
  <si>
    <t>대구 달서구 학산로 15, 101동 1502호(월성동,월성서한이다음)</t>
  </si>
  <si>
    <t>053-956-5400</t>
  </si>
  <si>
    <t>전남 장성군 진원면 나노산단2로 27</t>
  </si>
  <si>
    <t>062-382-9566</t>
  </si>
  <si>
    <t>인천 서구 보석로12번안길 6, 1층상가(경서동)</t>
  </si>
  <si>
    <t>032-566-0206</t>
  </si>
  <si>
    <t>광주 북구 오산정길 33-1 (오치동)</t>
  </si>
  <si>
    <t>062-368-1361</t>
  </si>
  <si>
    <t>전남 여수시 문수6길 37, 1층(문수동)</t>
  </si>
  <si>
    <t>053-754-5466</t>
  </si>
  <si>
    <t>광주 광산구 선운로2번길 69, 1층(선암동)</t>
  </si>
  <si>
    <t>062-943-7536</t>
  </si>
  <si>
    <t>경기 파주시 월롱면 정문로293번길 112</t>
  </si>
  <si>
    <t>031-941-7868</t>
  </si>
  <si>
    <t>경기 양주시 백석읍 기산로471번길 1-1</t>
  </si>
  <si>
    <t>광주 서구 유덕로 136 (덕흥동)</t>
  </si>
  <si>
    <t>062-374-3933</t>
  </si>
  <si>
    <t>충남 천안시 동남구 청수14로 80 (청당동)</t>
  </si>
  <si>
    <t>041-559-8243</t>
  </si>
  <si>
    <t>세종 조치원읍 문화길 1(토드하우스)</t>
  </si>
  <si>
    <t>경기 안산시 상록구 석답길 27, 101호(양상동)</t>
  </si>
  <si>
    <t>031-410-2340</t>
  </si>
  <si>
    <t>경기 하남시 천호대로1358번길 99-10(초이동)</t>
  </si>
  <si>
    <t>02-400-9991</t>
  </si>
  <si>
    <t>대구 달성군 옥포읍 교항5길 11</t>
  </si>
  <si>
    <t>053-615-7718</t>
  </si>
  <si>
    <t>대구 달성군 옥포읍 옥계1길 13-1</t>
  </si>
  <si>
    <t>제주 제주시 아란6길 14-1, 202호(아라일동)</t>
  </si>
  <si>
    <t>010-2331-9264</t>
  </si>
  <si>
    <t>경기 파주시 조리읍 장곡리 50</t>
  </si>
  <si>
    <t>제주 제주시 선반로2길 23, 1층 (화북일동)</t>
  </si>
  <si>
    <t>064-900-9275</t>
  </si>
  <si>
    <t>경북 포항시 남구 구룡포읍 구룡포길 121-3</t>
  </si>
  <si>
    <t>010-2533-6063</t>
  </si>
  <si>
    <t>경기 광명시 도덕로 59 (광명동)</t>
  </si>
  <si>
    <t>충남 논산시 연무읍 마산리 700-27</t>
  </si>
  <si>
    <t>전남 장성군 삼서면 영장로 1930-21</t>
  </si>
  <si>
    <t>061-392-2580</t>
  </si>
  <si>
    <t>서울 양천구 오목로9길 12(신월동, 4층)</t>
  </si>
  <si>
    <t>010-8255-9017</t>
  </si>
  <si>
    <t>제주 제주시 애월읍 일주서로 6723, 701호(몽돌빌)</t>
  </si>
  <si>
    <t>경기 화성시 장안면 포승장안로1120번길 46-28</t>
  </si>
  <si>
    <t>031-351-8182</t>
  </si>
  <si>
    <t>경남 사천시 사천읍 옥산로 63</t>
  </si>
  <si>
    <t>전북 전주시 완산구 중산로 49 (중화산동2가)</t>
  </si>
  <si>
    <t>서울 마포구 마포대로 38 (도화동)</t>
  </si>
  <si>
    <t>010-9140-8277</t>
  </si>
  <si>
    <t>대전 서구 둔산북로 121, 510호 (둔산동,아너스빌오피스텔)</t>
  </si>
  <si>
    <t>042-488-6429</t>
  </si>
  <si>
    <t>서울 은평구 은평로 161(응암동)</t>
  </si>
  <si>
    <t>제주 서귀포시 안덕면 창천리 310-1</t>
  </si>
  <si>
    <t>충남 천안시 동남구 통정3로 8 (신방동)</t>
  </si>
  <si>
    <t>010-6490-5636</t>
  </si>
  <si>
    <t>광주 서구 유덕로40번길 40 (동천동)</t>
  </si>
  <si>
    <t>울산 북구 고헌로 204 (진장동)</t>
  </si>
  <si>
    <t>경기 파주시 조리읍 내산길 5, 104호,101호</t>
  </si>
  <si>
    <t>광주 광산구 목련로273번길 51(운남동)</t>
  </si>
  <si>
    <t>061-336-7737</t>
  </si>
  <si>
    <t>서울 서대문구 서소문로 37, 708호(합동, 충정로대우디오빌)</t>
  </si>
  <si>
    <t>02-6010-1661</t>
  </si>
  <si>
    <t>경북 안동시 노하3길 6 (노하동)</t>
  </si>
  <si>
    <t>경북 경산시 성암로 89(옥산동)</t>
  </si>
  <si>
    <t>053-814-7584</t>
  </si>
  <si>
    <t>경기 고양시 일산동구 장항로 52(백석동,1동 3층)</t>
  </si>
  <si>
    <t>충남 홍성군 홍성읍 문화로 50</t>
  </si>
  <si>
    <t>041-631-4190</t>
  </si>
  <si>
    <t>경기 용인시 수지구 신봉1로 181(신봉동)</t>
  </si>
  <si>
    <t>010-4699-2310</t>
  </si>
  <si>
    <t>대전 대덕구 우암로492번길 28(비래동)</t>
  </si>
  <si>
    <t>042-254-4540</t>
  </si>
  <si>
    <t>인천 남동구 용천로152번길 11(간석동,미주오피스텔 402호)</t>
  </si>
  <si>
    <t>032-468-4100</t>
  </si>
  <si>
    <t>전남 순천시 녹색로 1261(인월동)</t>
  </si>
  <si>
    <t>061-746-0982</t>
  </si>
  <si>
    <t>경기 시흥시 포도원로116번길 25, 4층 406호(신천동,프라임지식산업센터)</t>
  </si>
  <si>
    <t>전북 군산시 상지곡안3길 11-1 (지곡동)</t>
  </si>
  <si>
    <t>010-3658-2913</t>
  </si>
  <si>
    <t>경기 수원시 장안구 서부로 2166 (천천동)</t>
  </si>
  <si>
    <t>031-231-7878</t>
  </si>
  <si>
    <t>서울 용산구 한강대로 148(한강로2가, 케이티용산빌딩)</t>
  </si>
  <si>
    <t>010-9866-7070</t>
  </si>
  <si>
    <t>010-9945-6792</t>
  </si>
  <si>
    <t>경기 용인 처인구 금령로 166-1(마평동)</t>
  </si>
  <si>
    <t>053-964-4322</t>
    <phoneticPr fontId="1" type="noConversion"/>
  </si>
  <si>
    <t/>
  </si>
  <si>
    <t>강원 원주시 치악로 1418 (관설동)</t>
  </si>
  <si>
    <t>033-761-3388</t>
  </si>
  <si>
    <t>광주 광산구 임곡로 399-30, B동 (고룡동)</t>
  </si>
  <si>
    <t>서울 강서구 남부순환로 195 (내발산동)</t>
  </si>
  <si>
    <t>서울 중랑구 경재로 226, 2층(면목동,알렌타운홈 2층)</t>
  </si>
  <si>
    <t>강원 강릉시 교동광장로100번길 8 (교동)</t>
  </si>
  <si>
    <t>033-641-8014</t>
  </si>
  <si>
    <t>서울 강남구 봉은사로7길 40, 301호(논현동,신용빌딩)</t>
  </si>
  <si>
    <t>경북 문경시 영순면 새갓길 20-16</t>
  </si>
  <si>
    <t>경북 상주시 함창읍 영동길 9-33</t>
  </si>
  <si>
    <t>전남 광양시 광양읍 익신산단1길 127</t>
  </si>
  <si>
    <t>061-763-8125</t>
  </si>
  <si>
    <t>전남 여수시 학동 200-16</t>
  </si>
  <si>
    <t>061-680-4003</t>
  </si>
  <si>
    <t>경남 진주 명석면 나불로 215-16, 2층</t>
  </si>
  <si>
    <t>경북 포항시 북구 죽도동 677-31</t>
  </si>
  <si>
    <t>054-274-8808</t>
  </si>
  <si>
    <t>광주 북구 오치동 955-26</t>
  </si>
  <si>
    <t>062-265-8777</t>
  </si>
  <si>
    <t>강원 양구군 양구읍 파로호로 993-19</t>
  </si>
  <si>
    <t>033-482-7700</t>
  </si>
  <si>
    <t>서울 강남구 역삼동 791-1 301호</t>
  </si>
  <si>
    <t>02-552-7624</t>
  </si>
  <si>
    <t>광주 서구 매월1로57번길 30, 3층(매월동)</t>
  </si>
  <si>
    <t>062-654-4410</t>
  </si>
  <si>
    <t>경남 밀양시 산외면 율전길 143</t>
  </si>
  <si>
    <t>055-353-6205</t>
  </si>
  <si>
    <t>경기 남양주시 화도읍 마치로284번길 110-108, 주4,5,6동</t>
  </si>
  <si>
    <t>031-529-2502</t>
  </si>
  <si>
    <t>경기 안산 상록구 성안2길 23, 201호(사동)</t>
  </si>
  <si>
    <t>경북 경주시 유림로13번길 143(황성동)</t>
  </si>
  <si>
    <t>054-748-5900</t>
  </si>
  <si>
    <t>경기 구리시 동구릉로390번길 51, 나동(사노동)</t>
  </si>
  <si>
    <t>031-574-3581</t>
  </si>
  <si>
    <t>전북 완주군 이서면 오공로 11-12, 602호(한솔빌딩)</t>
  </si>
  <si>
    <t>063-227-2870</t>
  </si>
  <si>
    <t>광주 광산구 금봉로59번길 14(소촌동)</t>
  </si>
  <si>
    <t>강원 춘천시 퇴계농공로 85(퇴계동,1층 라동)</t>
  </si>
  <si>
    <t>010-5238-3548</t>
  </si>
  <si>
    <t>경기 고양시 덕양구 통일로 343 (신원동, 삼송메디피아 8층, 804,5,6호)</t>
  </si>
  <si>
    <t>02-388-2033</t>
  </si>
  <si>
    <t>054-749-6128</t>
  </si>
  <si>
    <t>전북 전주시 완산구 팔달로 34, 1층(서서학동)</t>
  </si>
  <si>
    <t>063-227-2873</t>
  </si>
  <si>
    <t>경북 경산시 진량읍 황제1길 86-31, 107동101호(창신황제타운)</t>
  </si>
  <si>
    <t>광주 북구 설죽로471번길 3 (삼각동)</t>
  </si>
  <si>
    <t>062-576-0442</t>
  </si>
  <si>
    <t>경북 경주시 안강읍 구강길 62-11</t>
  </si>
  <si>
    <t>경북 구미시 수출대로 152, 501호(공단동, 세원테크노밸리)</t>
  </si>
  <si>
    <t>054-476-0045</t>
  </si>
  <si>
    <t>전북 전주시 덕진구 전미동2가 152-4</t>
  </si>
  <si>
    <t>010-6543-5053</t>
  </si>
  <si>
    <t>대구 달서구 상원로 82, 2층 201호 (상인동)</t>
  </si>
  <si>
    <t>충남 보령시 해수욕장8길 28 (신흑동)</t>
  </si>
  <si>
    <t>041-934-1111</t>
  </si>
  <si>
    <t>경기 평택시 팽성읍 안정리 1603 K6 캠프험프리스파라</t>
  </si>
  <si>
    <t>대구 동구 동부로6길 91 (신천동)</t>
  </si>
  <si>
    <t>010-4830-0404</t>
  </si>
  <si>
    <t>울산 남구 선암호수길 150 (선암동)</t>
  </si>
  <si>
    <t>052-268-6080</t>
  </si>
  <si>
    <t>대구 달서구 조암로20길 50 (월암동)</t>
  </si>
  <si>
    <t>전북 전주시 완산구 서학로 95(동서학동)</t>
  </si>
  <si>
    <t>010-3658-6493</t>
  </si>
  <si>
    <t>경북 경주시 금성로 252-6 (노서동)</t>
  </si>
  <si>
    <t>054-771-7811</t>
  </si>
  <si>
    <t>제주 제주시 구남동6길 58-3(이도이동)</t>
  </si>
  <si>
    <t>064-721-0982</t>
  </si>
  <si>
    <t>서울 영등포구 양평로30길 14,1115호(양평동6가, 세종앤꺄뮤스퀘어)</t>
  </si>
  <si>
    <t>경기 시흥시 서해안로1332번길 68-8(방산동, B)</t>
  </si>
  <si>
    <t>031-313-0103</t>
  </si>
  <si>
    <t>경기 부천시 오정구 원종동 174</t>
  </si>
  <si>
    <t>032-682-3275</t>
  </si>
  <si>
    <t>경기 부천시 소사로 822 (원종동)</t>
  </si>
  <si>
    <t>010-9788-4756</t>
  </si>
  <si>
    <t>충남 천안시 동남구 원거리11길 38 (원성동)</t>
  </si>
  <si>
    <t>041-566-1089</t>
  </si>
  <si>
    <t>경기 안양시 만안구 병목안로 15, 비동1117호(안양동, 비와이씨안양비스타오피스텔)</t>
  </si>
  <si>
    <t>032-326-1333</t>
  </si>
  <si>
    <t>경기 부천시 성골로 15 (여월동)</t>
  </si>
  <si>
    <t>010-6775-1550</t>
  </si>
  <si>
    <t>경기 화성시 봉담읍 덕우공단1길 65-37</t>
  </si>
  <si>
    <t>02-3462-8471</t>
  </si>
  <si>
    <t>경기 광주시 도척면 도척로 693</t>
  </si>
  <si>
    <t>031-764-0345</t>
  </si>
  <si>
    <t>경기 고양시 일산동구 공릉천로231번길 57(사리현동)</t>
  </si>
  <si>
    <t>경기 화성시 봉담읍 건배길 56-4</t>
  </si>
  <si>
    <t>031-475-0206</t>
  </si>
  <si>
    <t>경기 화성시 봉담읍 덕우공단1길 65-43</t>
  </si>
  <si>
    <t>031-278-2050</t>
  </si>
  <si>
    <t>울산 북구 진장동 26블럭 5롯트</t>
  </si>
  <si>
    <t>052-269-0989</t>
  </si>
  <si>
    <t>경남 사천시 실안동 1243</t>
  </si>
  <si>
    <t>경기 수원시 권선구 하탑로21번길 15, 101호(탑동)</t>
  </si>
  <si>
    <t>010-5272-3349</t>
  </si>
  <si>
    <t>경기 수원시 영통구 매탄로 55-7, 1층 103호(매탄동)</t>
  </si>
  <si>
    <t>경기 안성시 계동 148</t>
  </si>
  <si>
    <t>031-675-1928</t>
  </si>
  <si>
    <t>대구 동구 안심로16길 45, 603동 602호(율하동, 율하휴먼시아 6단지)</t>
  </si>
  <si>
    <t>053-384-4165</t>
  </si>
  <si>
    <t>경북 포항시 북구 송라면 지경리 299</t>
  </si>
  <si>
    <t>울산 중구 학성동 156-19</t>
  </si>
  <si>
    <t>경기 시흥시 범안로 464(과림동)</t>
  </si>
  <si>
    <t>02-2613-5339</t>
  </si>
  <si>
    <t>경기 시흥시 계수로197번길 18(계수동)</t>
  </si>
  <si>
    <t>031-313-9662</t>
  </si>
  <si>
    <t>서울 서초구 양재대로 246 (염곡동)</t>
  </si>
  <si>
    <t>대전 서구 월평북로 95, 1005호(월평동,만년오피스텔)</t>
  </si>
  <si>
    <t>042-484-8899</t>
  </si>
  <si>
    <t>경북 경산시 경안로38길 51 (중방동)</t>
  </si>
  <si>
    <t>광주 서구 매월2로 53, 11동 205호(매월동, 광주산업용재유통센터)</t>
  </si>
  <si>
    <t>062-955-6060</t>
  </si>
  <si>
    <t>광주 서구 화개중앙로114번길 22 (금호동)</t>
  </si>
  <si>
    <t>062-655-6068</t>
  </si>
  <si>
    <t>대전 유성구 테크노3로 65 101-526(관평동,한신에스메카)</t>
  </si>
  <si>
    <t>042-336-7081</t>
  </si>
  <si>
    <t>충북 충주시 주덕읍 기업도시3로 2</t>
  </si>
  <si>
    <t>043-870-4152</t>
  </si>
  <si>
    <t>경기 양주시 장흥면 가마골로258번길 60-8</t>
  </si>
  <si>
    <t>031-829-1232</t>
  </si>
  <si>
    <t>경기 시흥시 군자로533번길 4, 101호(거모동)</t>
  </si>
  <si>
    <t>충남 천안시 동남구 목천읍 응원리 66-79</t>
  </si>
  <si>
    <t>광주 남구 백양로39번길 14 (백운동)</t>
  </si>
  <si>
    <t>062-361-7022</t>
  </si>
  <si>
    <t>광주 광산구 사암로 32 (신촌동)</t>
  </si>
  <si>
    <t>062-942-4153</t>
  </si>
  <si>
    <t>경기 고양시 덕양구 고골길116번길 14-93(관산동)</t>
  </si>
  <si>
    <t>010-9447-3923</t>
  </si>
  <si>
    <t>대구 북구 유통단지로 16, 30-20(산격동,산업용재관)</t>
  </si>
  <si>
    <t>053-604-1985</t>
  </si>
  <si>
    <t>서울 중구 충무로13길 11 (입정동)</t>
  </si>
  <si>
    <t>070-4062-0154</t>
  </si>
  <si>
    <t>경기 광주시 중대동 231-16</t>
  </si>
  <si>
    <t>031-797-2811</t>
  </si>
  <si>
    <t>서울 서초구 효령로 22, 6층 607호 (방배동,멤버스뷰)</t>
  </si>
  <si>
    <t>010-3627-1209</t>
  </si>
  <si>
    <t>전북 김제시 백구면 영상리 585-4</t>
  </si>
  <si>
    <t>063-548-0242</t>
  </si>
  <si>
    <t>대구 서구 통학로40길 30, 1층 (평리동)</t>
  </si>
  <si>
    <t>053-571-5520</t>
  </si>
  <si>
    <t>인천시 남동구 남동서로23번길 42, 이동 126블럭 13로트(고잔동)</t>
  </si>
  <si>
    <t>전남 광양시 옥곡면 큰골2길 1</t>
  </si>
  <si>
    <t>061-772-8557</t>
  </si>
  <si>
    <t>광주 서구 내방동 476-5</t>
  </si>
  <si>
    <t>062-374-6204</t>
  </si>
  <si>
    <t>전남 나주시 동수농공단지길 99-21 (동수동)</t>
  </si>
  <si>
    <t>062-252-3233</t>
  </si>
  <si>
    <t>전남 담양군 대덕면 금산길 29</t>
  </si>
  <si>
    <t>070-4197-0808</t>
  </si>
  <si>
    <t>대구 달성군 화원읍 성천로24길 12, 1층</t>
  </si>
  <si>
    <t>010-5058-5735</t>
  </si>
  <si>
    <t>경기 이천시 대월면 대산로 269-10, 2층 1호</t>
  </si>
  <si>
    <t>031-278-3244</t>
  </si>
  <si>
    <t>경기 고양시 일산서구 하이파크3로 61, 407동 2301호(덕이동, 하이파크시티 일산 파밀리에 4단지)</t>
  </si>
  <si>
    <t>대구 달성군 화원읍 구라리 1002-3</t>
  </si>
  <si>
    <t>서울 중구 을지로11길 26-2, 203호(입정동)</t>
  </si>
  <si>
    <t>02-2275-3651</t>
  </si>
  <si>
    <t>경기 용인시 처인구 모현읍 갈담리 274-60</t>
  </si>
  <si>
    <t>031-332-8710</t>
  </si>
  <si>
    <t>02-459-5806</t>
  </si>
  <si>
    <t>대구 동구 도평로 314(도동)</t>
  </si>
  <si>
    <t>대전 서구 언목재길 23 (괴곡동)</t>
  </si>
  <si>
    <t>042-545-9227</t>
  </si>
  <si>
    <t>경기 남양주시 와부읍 수례로 16</t>
  </si>
  <si>
    <t>031-577-6149</t>
  </si>
  <si>
    <t>인천 동구 인중로 547 (화수동, 제2동)</t>
  </si>
  <si>
    <t>인천 서구 길주로 34, 222-35 강남프라자, 222-70(석남동)</t>
  </si>
  <si>
    <t>충북 충주시 봉방동 102-3</t>
  </si>
  <si>
    <t>충남 논산시 부창동 622</t>
  </si>
  <si>
    <t>전남 목포시 삼학로 200, 202호(산정동)</t>
  </si>
  <si>
    <t>경북 경산시 압량면 의송리 19번지</t>
  </si>
  <si>
    <t>서울 마포구 성산로4길 35 (성산동,마포장애인종합복지관)</t>
  </si>
  <si>
    <t>010-7794-2008</t>
  </si>
  <si>
    <t>서울 송파구 성내천로53길 3, 1층(마천동)</t>
  </si>
  <si>
    <t>010-9134-9692</t>
  </si>
  <si>
    <t>031-703-0485</t>
  </si>
  <si>
    <t>전북 전주시 덕진구 신복로 141(팔복동1가)</t>
  </si>
  <si>
    <t>전남 나주시 봉황면 봉황농공단지길 134-7, 1층</t>
  </si>
  <si>
    <t>02-3440-7878</t>
  </si>
  <si>
    <t>경기 화성시 향남읍 서봉로 538-10</t>
  </si>
  <si>
    <t>031-204-4116</t>
  </si>
  <si>
    <t>경기 남양주시 진접읍 장현천로 136</t>
  </si>
  <si>
    <t>인천 남동구 소래역로 36(논현동)</t>
  </si>
  <si>
    <t>경기 고양시 일산동구 고풍로 196, 501호(풍동, 이솔빌딩)</t>
  </si>
  <si>
    <t>제주 제주시 거로남10길 95 (화북이동)</t>
  </si>
  <si>
    <t>064-752-4212</t>
  </si>
  <si>
    <t>전북 전주시 덕진구 장동길 47 (장동)</t>
  </si>
  <si>
    <t>063-231-5901</t>
  </si>
  <si>
    <t>경기 이천시 신둔면 석동로 26, 1동</t>
  </si>
  <si>
    <t>서울 광진구 광나루로 528 (구의동, 1층)</t>
  </si>
  <si>
    <t>02-455-0989</t>
  </si>
  <si>
    <t>서울 도봉구 노해로 195, 1층(쌍문동)</t>
  </si>
  <si>
    <t>02-1800-9115</t>
  </si>
  <si>
    <t>제주 서귀포시 중산간동로 7864-1 (동흥동)</t>
  </si>
  <si>
    <t>인천 미추홀구 매소흘로415번길 19 (학익동)</t>
  </si>
  <si>
    <t>032-864-2500</t>
  </si>
  <si>
    <t>충남 천안시 서북구 3공단6로 33(차암동, 한화꿈에그린스마일시티)</t>
  </si>
  <si>
    <t>041-558-9633</t>
  </si>
  <si>
    <t>경기 수원시 영통 매탄동 840-5</t>
  </si>
  <si>
    <t>031-214-8629</t>
  </si>
  <si>
    <t>031-826-8325</t>
  </si>
  <si>
    <t>강원 원주시 문막읍 원문로 1508-10</t>
  </si>
  <si>
    <t>인천 남동구 백범로 381, 207호 (간석동)</t>
  </si>
  <si>
    <t>010-8730-2747</t>
  </si>
  <si>
    <t>경북 포항시 남구 대이로1번길 36(대잠동)</t>
  </si>
  <si>
    <t>054-283-3372</t>
  </si>
  <si>
    <t>광주 북구 복룡길 18 (신용동)</t>
  </si>
  <si>
    <t>인천 서구 청라커낼로260번길 7-11, 4층 410호(청라동, 청라퍼스트타워)</t>
  </si>
  <si>
    <t>010-6304-5838</t>
  </si>
  <si>
    <t>경기 광주시 초월읍 두월길 61</t>
  </si>
  <si>
    <t>031-797-1420</t>
  </si>
  <si>
    <t>032-460-1100</t>
  </si>
  <si>
    <t>서울 서대문구 거북골로 162 (북가좌동)</t>
  </si>
  <si>
    <t>충남 청양군 청양읍 중앙로 155</t>
  </si>
  <si>
    <t>041-942-3166</t>
  </si>
  <si>
    <t>전남 광양시 광양읍 회암3길 10</t>
  </si>
  <si>
    <t>061-763-3111</t>
  </si>
  <si>
    <t>대구 동구 신서로 72, 105동 903호(신서동,신서동퀸덤)</t>
  </si>
  <si>
    <t>010-3813-8695</t>
  </si>
  <si>
    <t>경기 하남시 하남대로 946 (풍산동,외1필지)</t>
  </si>
  <si>
    <t>031-792-3172</t>
  </si>
  <si>
    <t>경기 가평군 조종면 꽃동네길 35-25</t>
  </si>
  <si>
    <t>031-589-0265</t>
  </si>
  <si>
    <t>경북 경산시 경안로 426, 1층(대평동)</t>
  </si>
  <si>
    <t>경남 창원시 마산합포구 월영남로 17-11, 203호(해운동)</t>
  </si>
  <si>
    <t>서울 강남구 역삼로63길 5, 3층(대치동, 강남설계센터)</t>
  </si>
  <si>
    <t>02-556-1800</t>
  </si>
  <si>
    <t>경기 파주시 광탄면 장지산로200번길 61, 1동</t>
  </si>
  <si>
    <t>010-8777-0751</t>
  </si>
  <si>
    <t>서울 성북구 종암로19라길 8-8, 203호(종암동, 덕신타운)</t>
  </si>
  <si>
    <t>010-7633-1131</t>
  </si>
  <si>
    <t>경기 광주시 퇴촌면 천진암로 427</t>
  </si>
  <si>
    <t>031-767-6789</t>
  </si>
  <si>
    <t>울산 울주군 상북면 향산다개로 159</t>
  </si>
  <si>
    <t>052-254-5100</t>
  </si>
  <si>
    <t>대구 북구 영송로 15, 성실관1층 5103호(태전동, 대구보건대학교 창업보육센터)</t>
  </si>
  <si>
    <t>전남 무안군 삼향읍 남악4로 86, 한양에드가오피스텔3층 302호, 303호</t>
  </si>
  <si>
    <t>061-242-8570</t>
  </si>
  <si>
    <t>경북 경주시 원화로181번길 13-3(인왕동)</t>
  </si>
  <si>
    <t>010-5819-6586</t>
  </si>
  <si>
    <t>032-721-3881</t>
  </si>
  <si>
    <t>062-511-7934</t>
  </si>
  <si>
    <t>대구 달성군 옥포읍 비슬로 2172-8</t>
  </si>
  <si>
    <t>경남 창원시 마산합포구 합포로 59(동성동)</t>
  </si>
  <si>
    <t>055-244-4400</t>
  </si>
  <si>
    <t>경기 성남시 수정구 수정로 319, 114동 1203호(신흥동, 산성역 포레스티아)</t>
  </si>
  <si>
    <t>서울 구로구 천왕로 9, 상가동 2층 202호(천왕동, 천왕이펜하우스6단지)</t>
  </si>
  <si>
    <t>02-2625-9662</t>
  </si>
  <si>
    <t>경기 의정부시 고산로 27(고산동, 의정부경전철차량기지)</t>
  </si>
  <si>
    <t>031-820-1028</t>
  </si>
  <si>
    <t>제주 제주시 원당북로 78 (삼양일동)</t>
  </si>
  <si>
    <t>경북 경산시 백자로10길 11, 617동 302호(사동, 사동사랑으로부영6차)</t>
  </si>
  <si>
    <t>서울 종로구 돈화문로2길 25-7(장사동)</t>
  </si>
  <si>
    <t>02-2274-8551</t>
  </si>
  <si>
    <t>제주 제주시 아란9길 22, 1층(아라일동, 제주아라스위첸아파트)</t>
  </si>
  <si>
    <t>064-727-2580</t>
  </si>
  <si>
    <t>제주 제주시 애월읍 하귀1리 1072</t>
  </si>
  <si>
    <t>경기 광주시 초월읍 현산로 86, 104동 1006호(신일아파트)</t>
  </si>
  <si>
    <t>010-9139-0299</t>
  </si>
  <si>
    <t>경기 성남시 분당구 야탑로 243, 2층 201호(야탑동, 부건프라자)</t>
  </si>
  <si>
    <t>031-709-9388</t>
  </si>
  <si>
    <t>경기 하남시 샘재로 26 (교산동)</t>
  </si>
  <si>
    <t>02-2242-8000</t>
  </si>
  <si>
    <t>서울 강동구 성안로13길 28-18, 101호(성내동)</t>
  </si>
  <si>
    <t>02-484-0307</t>
  </si>
  <si>
    <t>경남 창원시 진해구 용원동 1213-7</t>
  </si>
  <si>
    <t>세종 연서면 용연로 395</t>
  </si>
  <si>
    <t>서울 금천구 독산1동 291-5 시티렉스 207</t>
  </si>
  <si>
    <t>경기 고양시 일산동구 견달산로 260, 1층(식사동, 제나동호)</t>
  </si>
  <si>
    <t>02-6925-0810</t>
  </si>
  <si>
    <t>경기 김포시 풍무로 113, 102동 507호(풍무동, 신안아파트)</t>
  </si>
  <si>
    <t>인천 중구 제물량로24번길 6-14, 1층(신흥동3가, 이형일오피스텔)</t>
  </si>
  <si>
    <t>전북 전주시 덕진구 숲정이1길 1, 2층(진북동)</t>
  </si>
  <si>
    <t>010-5796-9994</t>
  </si>
  <si>
    <t>전북 순창군 금과면 방축4길 24-9</t>
  </si>
  <si>
    <t>경기 고양시 덕양구 보광로 54-41, 창고1동(벽제동)</t>
  </si>
  <si>
    <t>경기 파주시 경의로1004번길 33, 7층 701호(야당동)</t>
  </si>
  <si>
    <t>010-6231-9012</t>
  </si>
  <si>
    <t>경북 포항시 남구 연일읍 철강로141번길 71</t>
  </si>
  <si>
    <t>054-275-0455</t>
  </si>
  <si>
    <t>대전 유성구 유성대로935번길 16, 1층(죽동)</t>
  </si>
  <si>
    <t>전남 완도군 완도읍 청해진서로 213 (2층)</t>
  </si>
  <si>
    <t>강원 춘천시 신동면 한치로 966-175</t>
  </si>
  <si>
    <t>033-262-9717</t>
  </si>
  <si>
    <t>경기 시흥시 무지내동 375</t>
  </si>
  <si>
    <t>031-317-9232</t>
  </si>
  <si>
    <t>경기 광주시 직동로 143, 1층(직동, 172-4)</t>
  </si>
  <si>
    <t>02-3446-7802</t>
  </si>
  <si>
    <t>서울 강남구 도산대로90길 11, 4층(청담동)</t>
  </si>
  <si>
    <t>강원 춘천시 동산면 논골길 17-24</t>
  </si>
  <si>
    <t>경북 문경시 당교로 245(모전동,센텀타워801호)</t>
  </si>
  <si>
    <t>대전 동구 산내로1287번길 10-19 (낭월동)</t>
  </si>
  <si>
    <t>042-624-4120</t>
  </si>
  <si>
    <t>부산 금정구 동천로7번길 20-2 (회동동)</t>
  </si>
  <si>
    <t>051-522-6767</t>
  </si>
  <si>
    <t>제주 서귀포시 태평로431번길 3, 1111호(서귀동,디 아일랜드 블루오피스텔)</t>
  </si>
  <si>
    <t>064-762-6532</t>
  </si>
  <si>
    <t>충남 천안시 서북구 노태산로 11 (백석동)</t>
  </si>
  <si>
    <t>041-566-8300</t>
  </si>
  <si>
    <t>제주 서귀포시 천제연로 162-1 (중문동)</t>
  </si>
  <si>
    <t>064-738-9406</t>
  </si>
  <si>
    <t>경남 창원시 진해구 제덕동 873-6 1층</t>
  </si>
  <si>
    <t>충북 청주시 서원구 청남로 2140, 지하1~지상8층(모충동)</t>
  </si>
  <si>
    <t>전북 부안군 변산면 채석강길 6-1</t>
  </si>
  <si>
    <t>경기 김포시 통진읍 마송로 65-35</t>
  </si>
  <si>
    <t>제주 제주시 영강길 207-9(영평동)</t>
  </si>
  <si>
    <t>064-724-0990</t>
  </si>
  <si>
    <t>경기 용인 처인구 모현면 초하로 42-1</t>
  </si>
  <si>
    <t>서울 금천구 시흥동 966 중앙철재상가 1-210</t>
  </si>
  <si>
    <t>02-893-6789</t>
  </si>
  <si>
    <t>경기 구리시 안골로8번길 7-3(교문동)</t>
  </si>
  <si>
    <t>경기 남양주시 경춘로725번길 52-19(일패동)</t>
  </si>
  <si>
    <t>031-557-2644</t>
  </si>
  <si>
    <t>062-511-1125</t>
  </si>
  <si>
    <t>서울 용산구 독서당로 103, 1층 (한남동)</t>
  </si>
  <si>
    <t>서울 노원구 동일로242 나길 8 (상계동)</t>
  </si>
  <si>
    <t>전남 여수시 주삼덕양로 86 (해산동)</t>
  </si>
  <si>
    <t>061-681-1300</t>
  </si>
  <si>
    <t>서울 중랑구 망우로 232(상봉동)</t>
  </si>
  <si>
    <t>02-433-6888</t>
  </si>
  <si>
    <t>광주 북구 설죽로418번길 20 (삼각동)</t>
  </si>
  <si>
    <t>062-574-2300</t>
  </si>
  <si>
    <t>전남 영광군 묘량면 밀재로9길 9</t>
  </si>
  <si>
    <t>062-513-5379</t>
  </si>
  <si>
    <t>부산 해운대구 센텀중앙로 97, A동 1301호(재송동, 센텀스카이비즈)</t>
  </si>
  <si>
    <t>경기 양주시 백석읍 호명로 103-22, 502동 202호(가야5차아파트)</t>
  </si>
  <si>
    <t>0505-372-8079</t>
  </si>
  <si>
    <t>광주 북구 용봉로 3, 2층(용봉동)</t>
  </si>
  <si>
    <t>062-531-1574</t>
  </si>
  <si>
    <t>경기 광명시 가리대1길 2, 158-8 (소하동)</t>
  </si>
  <si>
    <t>010-5473-9853</t>
  </si>
  <si>
    <t>전북 김제시 백구면 번영로 2914-23</t>
  </si>
  <si>
    <t>경북 경산시 옥곡동 630</t>
  </si>
  <si>
    <t>053-358-8828</t>
  </si>
  <si>
    <t>경기 시흥시 배곧4로 6, 506호(정왕동,한울프라자)</t>
  </si>
  <si>
    <t>031-797-9780</t>
  </si>
  <si>
    <t>서울 금천구 시흥대로 97, 14동 214호(시흥동, 시흥유통상가)</t>
  </si>
  <si>
    <t>서울 송파구 삼전로6길 6, 3층(삼전동, 와이제이빌딩)</t>
  </si>
  <si>
    <t>광주 북구 서하로183번길 40, 103동 12층 9호(오치동, 우성아파트)</t>
  </si>
  <si>
    <t>010-4517-2376</t>
  </si>
  <si>
    <t>대전 중구 대전천서로 247(문창동)</t>
  </si>
  <si>
    <t>054-473-5008</t>
  </si>
  <si>
    <t>대구 달성군 하빈면 하산2길 37-18</t>
  </si>
  <si>
    <t>서울 종로구 청계천로 117-19, 102호(관수동, 금화상사)</t>
  </si>
  <si>
    <t>02-2279-6546</t>
  </si>
  <si>
    <t>서울 금천구 범안로 1130, 1301호(가산동, 디지털엠파이어빌딩)</t>
  </si>
  <si>
    <t>02-2675-2008</t>
  </si>
  <si>
    <t>경기 부천시 소향로 111, 3층 307호(중동,디아뜨1)</t>
  </si>
  <si>
    <t>010-8427-8537</t>
  </si>
  <si>
    <t>경북 경산시 와촌면 불굴사길 87-8</t>
  </si>
  <si>
    <t>053-854-4508</t>
  </si>
  <si>
    <t>서울 은평구 은평로12길 11, 1층(응암동)</t>
  </si>
  <si>
    <t>경북 포항시 북구 청하면 사방공원길 3</t>
  </si>
  <si>
    <t>광주 서구 동천동 65</t>
  </si>
  <si>
    <t>062-513-9955</t>
  </si>
  <si>
    <t>전남 나주시 송월2길 24, 101호(송월동)</t>
  </si>
  <si>
    <t>061-332-7428</t>
  </si>
  <si>
    <t>울산 울주군 언양읍 반천산업로 32-36</t>
  </si>
  <si>
    <t>제주 서귀포시 성산읍 신천서로72번길 16-28</t>
  </si>
  <si>
    <t>전남 나주시 나주로 41-17, 상가동동 3층 302호(송월동, 송월부영아파트)</t>
  </si>
  <si>
    <t>경기 화성시 장안면 한천4길 65-9</t>
  </si>
  <si>
    <t>010-2206-1926</t>
  </si>
  <si>
    <t>경북 구미시 구미중앙로 149(원평동)</t>
  </si>
  <si>
    <t>010-3814-3395</t>
  </si>
  <si>
    <t>경기 부천시 경인로 433(괴안동)</t>
  </si>
  <si>
    <t>경북 칠곡군 왜관읍 전원4길 10-17</t>
  </si>
  <si>
    <t>충북 음성군 음성읍 신용로 62-17</t>
  </si>
  <si>
    <t>043-750-7023</t>
  </si>
  <si>
    <t>광주광역시 서구 유덕로141번길 23(덕흥동)</t>
  </si>
  <si>
    <t>063-228-9266</t>
  </si>
  <si>
    <t>울산 남구 산업로585번길 38(여천동)</t>
  </si>
  <si>
    <t>052-274-3488</t>
  </si>
  <si>
    <t>서울 금천구 가산디지털1로 181, 12층 1207호(가산동, 가산 더블유센터)</t>
  </si>
  <si>
    <t>02-833-0762</t>
  </si>
  <si>
    <t>경기 수원시 권선구 세권로35번길 50-10(세류동)</t>
  </si>
  <si>
    <t>031-234-8778</t>
  </si>
  <si>
    <t>경기 성남시 중원구 광명로 245-3, 1층(중앙동)</t>
  </si>
  <si>
    <t>대구 동구 반야월북로12길 27 (율암동)</t>
  </si>
  <si>
    <t>010-3526-3606</t>
  </si>
  <si>
    <t>제주 제주시 연삼로 793, 1층 (화북이동)</t>
  </si>
  <si>
    <t>064-900-2572</t>
  </si>
  <si>
    <t>전남 장성군 장성읍 역전로 10</t>
  </si>
  <si>
    <t>충북 충주시 중원대로 3757(용관동)</t>
  </si>
  <si>
    <t>043-853-1332</t>
  </si>
  <si>
    <t>서울 강서구 까치산로20길 9-6, 1층 101호(화곡동)</t>
  </si>
  <si>
    <t>031-765-7155</t>
  </si>
  <si>
    <t>경북 경산시 압량읍 내리길26길 34</t>
  </si>
  <si>
    <t>제주 제주시 광양13길 34, 2층(이도이동)</t>
  </si>
  <si>
    <t>064-787-1789</t>
  </si>
  <si>
    <t>02-975-1176</t>
  </si>
  <si>
    <t>대구 중구 대봉로 237-14, 2층 (대봉동)</t>
  </si>
  <si>
    <t>충남 공주시 한적2길 41-13(금흥동)</t>
  </si>
  <si>
    <t>경기 고양시 일산서구 강성로 147, 404호(주엽동, 동문씨티프라자)</t>
  </si>
  <si>
    <t>031-916-7561</t>
  </si>
  <si>
    <t>전북 완주군 이서면 콩쥐팥쥐로 1296-56</t>
  </si>
  <si>
    <t>경기 용인시 처인구 모현읍 곡현로 477, 외1필지(1층)</t>
  </si>
  <si>
    <t>경북 포항시 북구 용흥로 110-1, 1동 1층(용흥동)</t>
  </si>
  <si>
    <t>서울 강남구 논현로127길 13-9, 202(논현동, 반석빌딩)</t>
  </si>
  <si>
    <t>02-543-4440</t>
  </si>
  <si>
    <t>경기 남양주시 진건읍 사릉로304번길 9-1</t>
  </si>
  <si>
    <t>경기 화성시 삼성1로4길 7-5(석우동)</t>
  </si>
  <si>
    <t>010-8922-1936</t>
  </si>
  <si>
    <t>대구 동구 검사동 908-108</t>
  </si>
  <si>
    <t>010-3535-2861</t>
  </si>
  <si>
    <t>경북 구미시 인동20길 38-9(진평동)</t>
  </si>
  <si>
    <t>서울 도봉구 우이천로4라길 11-7, 1층(창동)</t>
  </si>
  <si>
    <t>010-3710-2577</t>
  </si>
  <si>
    <t>경기 화성시 동탄치동천로4길 21-2, 4층(영천동)</t>
  </si>
  <si>
    <t>031-742-3909</t>
  </si>
  <si>
    <t>광주 서구 상무중앙로 110, 12층(치평동)</t>
  </si>
  <si>
    <t>경북 안동시 옥야동 26-7</t>
  </si>
  <si>
    <t>054-853-6482</t>
  </si>
  <si>
    <t>서울 구로구 경인로 159, 2층(오류동)</t>
  </si>
  <si>
    <t>02-6327-0111</t>
  </si>
  <si>
    <t>경북 경주시 탈해로 28, 나동 205호(동천동)</t>
  </si>
  <si>
    <t>충남 서산 음암면 동암마을길 253</t>
  </si>
  <si>
    <t>서울 강동구 암사동 476-10 10/5</t>
  </si>
  <si>
    <t>02-3426-7018</t>
  </si>
  <si>
    <t>전북 전주시 덕진구 기린대로 718-2, 1층(팔복동1가)</t>
  </si>
  <si>
    <t>063-905-7485</t>
  </si>
  <si>
    <t>031-965-0365</t>
  </si>
  <si>
    <t>경기 용인시 처인구 모현읍 백옥대로1995번길 40-12(가동 나동)</t>
  </si>
  <si>
    <t>031-334-1881</t>
  </si>
  <si>
    <t>대구 북구 태암남로1길 16-6, 1층 102호(태전동)</t>
  </si>
  <si>
    <t>경기 김포시 대곶면 대곶로199번길 10</t>
  </si>
  <si>
    <t>031-986-1617</t>
  </si>
  <si>
    <t>전북 군산시 미성로 503(미룡동)</t>
  </si>
  <si>
    <t>063-463-7012</t>
  </si>
  <si>
    <t>서울 노원구 초안산로2길 129(월계동), 한마하우스 2층</t>
  </si>
  <si>
    <t>02-3401-2227</t>
  </si>
  <si>
    <t>서울 강동구 동남로87길 64, 지층 2호(고덕동)</t>
  </si>
  <si>
    <t>서울 노원구 동일로176길 25, 102호(공릉동)</t>
  </si>
  <si>
    <t>울산 남구 신정로54번길 24, A동 1층상가(달동,문화파크빌)</t>
  </si>
  <si>
    <t>062-514-7889</t>
  </si>
  <si>
    <t>경기 안양시 동안구 평촌대로401번길 40, 102(비산동)</t>
  </si>
  <si>
    <t>010-4343-4709</t>
  </si>
  <si>
    <t>경기 김포시 태장로795번길 23, FB층 107호(장기동)</t>
  </si>
  <si>
    <t>서울 중구 을지로4가 9-6 대림상가3층가,나열 365</t>
  </si>
  <si>
    <t>경북 포항시 북구 흥해읍 동해대로 1115</t>
  </si>
  <si>
    <t>010-3150-1133</t>
  </si>
  <si>
    <t>경기 양주시 청담로14번길 21, 나동(고읍동)</t>
  </si>
  <si>
    <t>경기 남양주시 미금로56번길 5-21, 4층(다산동)</t>
  </si>
  <si>
    <t>031-563-8804</t>
  </si>
  <si>
    <t>서울 성동구 아차산로17길 57, 402호(성수동2가, 일신건영휴먼테코)</t>
  </si>
  <si>
    <t>02-6466-5015</t>
  </si>
  <si>
    <t>경기 남양주시 진접읍 진건오남로 1020-25, 101~103호</t>
  </si>
  <si>
    <t>경기 안산시 상록구 한양대학로 55, 한양대학교 창업센터(사동)</t>
  </si>
  <si>
    <t>031-355-5862</t>
  </si>
  <si>
    <t>광주 광산구 우산로 124(우산동)</t>
  </si>
  <si>
    <t>1522-1422</t>
  </si>
  <si>
    <t>경기 양평군 양평읍 도곡리 859-8</t>
  </si>
  <si>
    <t>대구 수성구 들안로64길 33-1(수성동3가, 20-10.20-11)</t>
  </si>
  <si>
    <t>가경건설산업</t>
  </si>
  <si>
    <t>D2D</t>
  </si>
  <si>
    <t>가나다샷시</t>
  </si>
  <si>
    <t>S2C</t>
  </si>
  <si>
    <t>가나산업</t>
  </si>
  <si>
    <t>가나안산업</t>
  </si>
  <si>
    <t>S2D</t>
  </si>
  <si>
    <t>가나창호유리</t>
  </si>
  <si>
    <t>가람</t>
  </si>
  <si>
    <t>가안샤시</t>
  </si>
  <si>
    <t>S1D</t>
  </si>
  <si>
    <t>가야건업</t>
  </si>
  <si>
    <t>D4D</t>
  </si>
  <si>
    <t>가야산업</t>
  </si>
  <si>
    <t>D3D</t>
  </si>
  <si>
    <t>가원산업</t>
  </si>
  <si>
    <t>가정건설산업</t>
  </si>
  <si>
    <t>감문종합창호</t>
  </si>
  <si>
    <t>강남병원</t>
  </si>
  <si>
    <t>강남산업</t>
  </si>
  <si>
    <t>강남상사</t>
  </si>
  <si>
    <t>강남하이테크</t>
  </si>
  <si>
    <t>강동금속창호</t>
  </si>
  <si>
    <t>S3D</t>
  </si>
  <si>
    <t>강동노인복지타운</t>
  </si>
  <si>
    <t>강림창호</t>
  </si>
  <si>
    <t>강원산업</t>
  </si>
  <si>
    <t>강원산업-인천</t>
  </si>
  <si>
    <t>S4D</t>
  </si>
  <si>
    <t>강원창호</t>
  </si>
  <si>
    <t>강원철물</t>
  </si>
  <si>
    <t>강인이앤지</t>
  </si>
  <si>
    <t>강인창호공사</t>
  </si>
  <si>
    <t>강철금속</t>
  </si>
  <si>
    <t>D1D</t>
  </si>
  <si>
    <t>강호자재</t>
  </si>
  <si>
    <t>거광기업</t>
  </si>
  <si>
    <t>거명창호건설</t>
  </si>
  <si>
    <t>거산알루미늄</t>
  </si>
  <si>
    <t>거성산업</t>
  </si>
  <si>
    <t>거성산업건설</t>
  </si>
  <si>
    <t>거성시스템</t>
  </si>
  <si>
    <t>거성엠에스디</t>
  </si>
  <si>
    <t>거우</t>
  </si>
  <si>
    <t>건강홈케어</t>
  </si>
  <si>
    <t>건곤건설산업</t>
  </si>
  <si>
    <t>건설기업</t>
  </si>
  <si>
    <t>건설부속-폐업</t>
  </si>
  <si>
    <t>S3C</t>
  </si>
  <si>
    <t>건설유리</t>
  </si>
  <si>
    <t>건설창호부속</t>
  </si>
  <si>
    <t>건양건업</t>
  </si>
  <si>
    <t>건양금속</t>
  </si>
  <si>
    <t>건우시스템</t>
  </si>
  <si>
    <t>건일부속상사</t>
  </si>
  <si>
    <t>D4C</t>
  </si>
  <si>
    <t>건희기업</t>
  </si>
  <si>
    <t>검창금속-폐업</t>
  </si>
  <si>
    <t>경기알루미늄</t>
  </si>
  <si>
    <t>경기창호</t>
  </si>
  <si>
    <t>경기커튼월-개인</t>
  </si>
  <si>
    <t>경기커튼월-법인</t>
  </si>
  <si>
    <t>경남대학교</t>
  </si>
  <si>
    <t>경남산업개발</t>
  </si>
  <si>
    <t>경남시스템창호</t>
  </si>
  <si>
    <t>경남알미늄</t>
  </si>
  <si>
    <t>경남윈스텍</t>
  </si>
  <si>
    <t>경덕중기</t>
  </si>
  <si>
    <t>경도</t>
  </si>
  <si>
    <t>경도건설</t>
  </si>
  <si>
    <t>경동건업</t>
  </si>
  <si>
    <t>경북유리건업</t>
  </si>
  <si>
    <t>경북유리공사</t>
  </si>
  <si>
    <t>경북창호</t>
  </si>
  <si>
    <t>경산업</t>
  </si>
  <si>
    <t>경성공사</t>
  </si>
  <si>
    <t>경신</t>
  </si>
  <si>
    <t>경우커튼월</t>
  </si>
  <si>
    <t>경원알미늄</t>
  </si>
  <si>
    <t>경이산업</t>
  </si>
  <si>
    <t>경인교육대학교</t>
  </si>
  <si>
    <t>경인엔지니어링</t>
  </si>
  <si>
    <t>경진금속</t>
  </si>
  <si>
    <t>경진산업</t>
  </si>
  <si>
    <t>경진상사</t>
  </si>
  <si>
    <t>경진씨엔에이</t>
  </si>
  <si>
    <t>경형산업</t>
  </si>
  <si>
    <t>경화창호산업</t>
  </si>
  <si>
    <t>경희</t>
  </si>
  <si>
    <t>경희산업</t>
  </si>
  <si>
    <t>경희알미늄</t>
  </si>
  <si>
    <t>경희인테리어</t>
  </si>
  <si>
    <t>계림창호</t>
  </si>
  <si>
    <t>고려대학교의료원</t>
  </si>
  <si>
    <t>고려비뇨기과의원</t>
  </si>
  <si>
    <t>고려알미늄</t>
  </si>
  <si>
    <t>고려창호</t>
  </si>
  <si>
    <t>고합</t>
  </si>
  <si>
    <t>고호태양광</t>
  </si>
  <si>
    <t>고효율창호예창</t>
  </si>
  <si>
    <t>골든호텔</t>
  </si>
  <si>
    <t>공간산업개발</t>
  </si>
  <si>
    <t>공간앤플랜트</t>
  </si>
  <si>
    <t>공간피앤씨</t>
  </si>
  <si>
    <t>공명상사</t>
  </si>
  <si>
    <t>공명이엠씨</t>
  </si>
  <si>
    <t>공영휀스타</t>
  </si>
  <si>
    <t>공오이인테리어</t>
  </si>
  <si>
    <t>공우이엔씨</t>
  </si>
  <si>
    <t>공원아이빌</t>
  </si>
  <si>
    <t>공인에스씨</t>
  </si>
  <si>
    <t>광덕방화문</t>
  </si>
  <si>
    <t>광덕베스카</t>
  </si>
  <si>
    <t>광덕테크</t>
  </si>
  <si>
    <t>광산알미늄</t>
  </si>
  <si>
    <t>광성</t>
  </si>
  <si>
    <t>광성공업사</t>
  </si>
  <si>
    <t>광성스틸공업</t>
  </si>
  <si>
    <t>광성칼라샷시부속</t>
  </si>
  <si>
    <t>D3C</t>
  </si>
  <si>
    <t>광우건설</t>
  </si>
  <si>
    <t>광원상사</t>
  </si>
  <si>
    <t>S4C</t>
  </si>
  <si>
    <t>광일종합부속</t>
  </si>
  <si>
    <t>광장이엔씨</t>
  </si>
  <si>
    <t>광주알미늄</t>
  </si>
  <si>
    <t>광진건설</t>
  </si>
  <si>
    <t>광진공사</t>
  </si>
  <si>
    <t>광하건설</t>
  </si>
  <si>
    <t>교대금호어울림</t>
  </si>
  <si>
    <t>구구창호</t>
  </si>
  <si>
    <t>구남창호</t>
  </si>
  <si>
    <t>구로툴</t>
  </si>
  <si>
    <t>구륙광고</t>
  </si>
  <si>
    <t>구리토평주공</t>
  </si>
  <si>
    <t>구립종로노인종합</t>
  </si>
  <si>
    <t>구립한남요양원</t>
  </si>
  <si>
    <t>국립공원사무소</t>
  </si>
  <si>
    <t>국립무형유산원</t>
  </si>
  <si>
    <t>국민공구</t>
  </si>
  <si>
    <t>국민연금관리공단</t>
  </si>
  <si>
    <t>국보창호</t>
  </si>
  <si>
    <t>국제</t>
  </si>
  <si>
    <t>국제부속</t>
  </si>
  <si>
    <t>D1C</t>
  </si>
  <si>
    <t>국제스틸셔터</t>
  </si>
  <si>
    <t>국제철물상사</t>
  </si>
  <si>
    <t>국지</t>
  </si>
  <si>
    <t>권선동성당</t>
  </si>
  <si>
    <t>그린피아</t>
  </si>
  <si>
    <t>그린하우징코리아</t>
  </si>
  <si>
    <t>글로벌라인</t>
  </si>
  <si>
    <t>글로벌유명</t>
  </si>
  <si>
    <t>글로윈스</t>
  </si>
  <si>
    <t>글리트라트레이딩</t>
  </si>
  <si>
    <t>금강건설</t>
  </si>
  <si>
    <t>금강기업</t>
  </si>
  <si>
    <t>금강부속-상인</t>
  </si>
  <si>
    <t>금강부속-용계</t>
  </si>
  <si>
    <t>금강빌딩</t>
  </si>
  <si>
    <t>금강상사</t>
  </si>
  <si>
    <t>금강시스템산업</t>
  </si>
  <si>
    <t>금강시스템하우징</t>
  </si>
  <si>
    <t>금강이례</t>
  </si>
  <si>
    <t>금강창호</t>
  </si>
  <si>
    <t>금강창호공방</t>
  </si>
  <si>
    <t>금강창호기공</t>
  </si>
  <si>
    <t>금과어린이집</t>
  </si>
  <si>
    <t>금란교회</t>
  </si>
  <si>
    <t>금문시스템</t>
  </si>
  <si>
    <t>금산산업개발</t>
  </si>
  <si>
    <t>금성사</t>
  </si>
  <si>
    <t>S1C</t>
  </si>
  <si>
    <t>금성종합상사</t>
  </si>
  <si>
    <t>금송이앤지건설</t>
  </si>
  <si>
    <t>금송티에스</t>
  </si>
  <si>
    <t>금아기업-폐업</t>
  </si>
  <si>
    <t>금아창호</t>
  </si>
  <si>
    <t>금영유통</t>
  </si>
  <si>
    <t>금오상사</t>
  </si>
  <si>
    <t>금오유리</t>
  </si>
  <si>
    <t>금오하이텍-폐업</t>
  </si>
  <si>
    <t>금진</t>
  </si>
  <si>
    <t>금풍상회</t>
  </si>
  <si>
    <t>금호상사-대구</t>
  </si>
  <si>
    <t>금호상사-서울</t>
  </si>
  <si>
    <t>금호상사-인천</t>
  </si>
  <si>
    <t>금호석유화학</t>
  </si>
  <si>
    <t>S2E</t>
  </si>
  <si>
    <t>금호전기조명</t>
  </si>
  <si>
    <t>금화상사</t>
  </si>
  <si>
    <t>금화창호</t>
  </si>
  <si>
    <t>기림건설</t>
  </si>
  <si>
    <t>기영종합건설</t>
  </si>
  <si>
    <t>기장부속</t>
  </si>
  <si>
    <t>기현</t>
  </si>
  <si>
    <t>기현샤시부속</t>
  </si>
  <si>
    <t>기호산업</t>
  </si>
  <si>
    <t>기화건업</t>
  </si>
  <si>
    <t>기흥산업</t>
  </si>
  <si>
    <t>길문시스템</t>
  </si>
  <si>
    <t>김원태</t>
  </si>
  <si>
    <t>김태진적성연구소</t>
  </si>
  <si>
    <t>까지</t>
  </si>
  <si>
    <t>깨비무인호텔</t>
  </si>
  <si>
    <t>꽃동네희망의집</t>
  </si>
  <si>
    <t>나누리수원병원</t>
  </si>
  <si>
    <t>나눔종합공사</t>
  </si>
  <si>
    <t>나라금속창호-폐업</t>
  </si>
  <si>
    <t>나라윈</t>
  </si>
  <si>
    <t>나래윈</t>
  </si>
  <si>
    <t>나린건설</t>
  </si>
  <si>
    <t>나비시스템</t>
  </si>
  <si>
    <t>나사렛종합건설</t>
  </si>
  <si>
    <t>나에디자인</t>
  </si>
  <si>
    <t>나우</t>
  </si>
  <si>
    <t>나우금속</t>
  </si>
  <si>
    <t>나운자동문</t>
  </si>
  <si>
    <t>남경글라시스</t>
  </si>
  <si>
    <t>남경창호건설</t>
  </si>
  <si>
    <t>남도창호-광주</t>
  </si>
  <si>
    <t>남도창호-여수</t>
  </si>
  <si>
    <t>남명기공</t>
  </si>
  <si>
    <t>남산산업</t>
  </si>
  <si>
    <t>남산자원</t>
  </si>
  <si>
    <t>남선AL중구대리점</t>
  </si>
  <si>
    <t>남선금속-대구</t>
  </si>
  <si>
    <t>남선금속-서울</t>
  </si>
  <si>
    <t>남선기공사</t>
  </si>
  <si>
    <t>남선기업</t>
  </si>
  <si>
    <t>남선-논산</t>
  </si>
  <si>
    <t>남선목포-폐업</t>
  </si>
  <si>
    <t>남선상사-대구</t>
  </si>
  <si>
    <t>남선상사-서울</t>
  </si>
  <si>
    <t>남선샷시부속</t>
  </si>
  <si>
    <t>남선스텐부속</t>
  </si>
  <si>
    <t>남선시스템</t>
  </si>
  <si>
    <t>남선알미늄-*</t>
  </si>
  <si>
    <t>남선알미늄-광주</t>
  </si>
  <si>
    <t>남선알미늄-대구</t>
  </si>
  <si>
    <t>남선알미늄-문경</t>
  </si>
  <si>
    <t>남선알미늄-상주</t>
  </si>
  <si>
    <t>남선알미늄-안동</t>
  </si>
  <si>
    <t>남선알미늄-영주</t>
  </si>
  <si>
    <t>남선알미늄-원주</t>
  </si>
  <si>
    <t>남선알미늄-이천</t>
  </si>
  <si>
    <t>남선알미늄-전북</t>
  </si>
  <si>
    <t>남선알미늄-제천</t>
  </si>
  <si>
    <t>남선-여수</t>
  </si>
  <si>
    <t>남선창호-천안</t>
  </si>
  <si>
    <t>남선창호-파주</t>
  </si>
  <si>
    <t>남선하이테크</t>
  </si>
  <si>
    <t>남성프라자</t>
  </si>
  <si>
    <t>남양글로벌</t>
  </si>
  <si>
    <t>남양산업</t>
  </si>
  <si>
    <t>남영산업사</t>
  </si>
  <si>
    <t>남평초등학교</t>
  </si>
  <si>
    <t>네모나라</t>
  </si>
  <si>
    <t>넥스트이엔씨</t>
  </si>
  <si>
    <t>노먼</t>
  </si>
  <si>
    <t>노아</t>
  </si>
  <si>
    <t>노아스틸</t>
  </si>
  <si>
    <t>노원아이파크</t>
  </si>
  <si>
    <t>논산건업</t>
  </si>
  <si>
    <t>누리</t>
  </si>
  <si>
    <t>누리빛</t>
  </si>
  <si>
    <t>누리폴딩</t>
  </si>
  <si>
    <t>뉴모드</t>
  </si>
  <si>
    <t>뉴월드상사</t>
  </si>
  <si>
    <t>D2C</t>
  </si>
  <si>
    <t>늘푸른인테리어</t>
  </si>
  <si>
    <t>다림산업개발</t>
  </si>
  <si>
    <t>다스코</t>
  </si>
  <si>
    <t>다연창호</t>
  </si>
  <si>
    <t>다온</t>
  </si>
  <si>
    <t>다온개발</t>
  </si>
  <si>
    <t>다온건설창호</t>
  </si>
  <si>
    <t>다온창호</t>
  </si>
  <si>
    <t>다우건설</t>
  </si>
  <si>
    <t>다우상사</t>
  </si>
  <si>
    <t>다우스이엔씨</t>
  </si>
  <si>
    <t>다우종합건설</t>
  </si>
  <si>
    <t>다원건설-대구</t>
  </si>
  <si>
    <t>다원건설-청주</t>
  </si>
  <si>
    <t>다원창호</t>
  </si>
  <si>
    <t>다은건업</t>
  </si>
  <si>
    <t>다인창호</t>
  </si>
  <si>
    <t>다인토탈</t>
  </si>
  <si>
    <t>다인티에스-폐업</t>
  </si>
  <si>
    <t>다중씨엠씨</t>
  </si>
  <si>
    <t>다해창호</t>
  </si>
  <si>
    <t>다호창호건설</t>
  </si>
  <si>
    <t>달나라인테리어</t>
  </si>
  <si>
    <t>달빛</t>
  </si>
  <si>
    <t>당산광고유리</t>
  </si>
  <si>
    <t>당신엔지니어링</t>
  </si>
  <si>
    <t>대건건업</t>
  </si>
  <si>
    <t>대건기업</t>
  </si>
  <si>
    <t>대경건업-제주</t>
  </si>
  <si>
    <t>대경건업-칠곡</t>
  </si>
  <si>
    <t>대경상사</t>
  </si>
  <si>
    <t>대경아이엔씨</t>
  </si>
  <si>
    <t>대광금속</t>
  </si>
  <si>
    <t>대광금속-법인</t>
  </si>
  <si>
    <t>대광산업건설</t>
  </si>
  <si>
    <t>대광상사</t>
  </si>
  <si>
    <t>대광이앤씨</t>
  </si>
  <si>
    <t>대광지엔앰</t>
  </si>
  <si>
    <t>대광창호</t>
  </si>
  <si>
    <t>대구교육해양수련</t>
  </si>
  <si>
    <t>대구농수산물</t>
  </si>
  <si>
    <t>대구방충망</t>
  </si>
  <si>
    <t>대구은행-본사</t>
  </si>
  <si>
    <t>대구출입국</t>
  </si>
  <si>
    <t>대기금속</t>
  </si>
  <si>
    <t>대도산업개발</t>
  </si>
  <si>
    <t>대도상사</t>
  </si>
  <si>
    <t>대동다숲아파트</t>
  </si>
  <si>
    <t>대동상사</t>
  </si>
  <si>
    <t>대동스텐</t>
  </si>
  <si>
    <t>대동요업</t>
  </si>
  <si>
    <t>대동이지스</t>
  </si>
  <si>
    <t>대륜금속</t>
  </si>
  <si>
    <t>대림산업-폐업</t>
  </si>
  <si>
    <t>대림상사-종료</t>
  </si>
  <si>
    <t>대림종합상사</t>
  </si>
  <si>
    <t>대명</t>
  </si>
  <si>
    <t>대명건축</t>
  </si>
  <si>
    <t>대명상사-폐업</t>
  </si>
  <si>
    <t>대명엔지니어링</t>
  </si>
  <si>
    <t>대명종합상사</t>
  </si>
  <si>
    <t>S2B</t>
  </si>
  <si>
    <t>대명종합유통</t>
  </si>
  <si>
    <t>대명창호-광주</t>
  </si>
  <si>
    <t>대명창호부속</t>
  </si>
  <si>
    <t>대명창호-원주</t>
  </si>
  <si>
    <t>대명플러스</t>
  </si>
  <si>
    <t>S4B</t>
  </si>
  <si>
    <t>대방종합건설</t>
  </si>
  <si>
    <t>대범철물</t>
  </si>
  <si>
    <t>대산부속상사</t>
  </si>
  <si>
    <t>대상건설</t>
  </si>
  <si>
    <t>대상시스템창호</t>
  </si>
  <si>
    <t>대상테크놀로지</t>
  </si>
  <si>
    <t>대성건업</t>
  </si>
  <si>
    <t>대성기업-휴업</t>
  </si>
  <si>
    <t>대성방범창</t>
  </si>
  <si>
    <t>대성부속</t>
  </si>
  <si>
    <t>대성상사-경산</t>
  </si>
  <si>
    <t>대성상사-부천</t>
  </si>
  <si>
    <t>대성샤시부속</t>
  </si>
  <si>
    <t>대성샷슈기업</t>
  </si>
  <si>
    <t>대성샷시부속</t>
  </si>
  <si>
    <t>대성스카이렉스</t>
  </si>
  <si>
    <t>대성엠지엠</t>
  </si>
  <si>
    <t>대성우리테크</t>
  </si>
  <si>
    <t>대성이엔지</t>
  </si>
  <si>
    <t>대성창호-군산</t>
  </si>
  <si>
    <t>대승건업</t>
  </si>
  <si>
    <t>대승산업</t>
  </si>
  <si>
    <t>대승종합상사</t>
  </si>
  <si>
    <t>대신사</t>
  </si>
  <si>
    <t>S2A</t>
  </si>
  <si>
    <t>대신시스템</t>
  </si>
  <si>
    <t>대신종합상사</t>
  </si>
  <si>
    <t>대신테크</t>
  </si>
  <si>
    <t>대심이엔지-*</t>
  </si>
  <si>
    <t>대아금속</t>
  </si>
  <si>
    <t>대아산업</t>
  </si>
  <si>
    <t>대양기업</t>
  </si>
  <si>
    <t>대양상사</t>
  </si>
  <si>
    <t>대연테크</t>
  </si>
  <si>
    <t>대영건업</t>
  </si>
  <si>
    <t>대영알루원</t>
  </si>
  <si>
    <t>대영유리</t>
  </si>
  <si>
    <t>대영제일</t>
  </si>
  <si>
    <t>대영창호건설</t>
  </si>
  <si>
    <t>대오산업</t>
  </si>
  <si>
    <t>대왕공업사</t>
  </si>
  <si>
    <t>대우개발</t>
  </si>
  <si>
    <t>대우금속</t>
  </si>
  <si>
    <t>대우넥스테크</t>
  </si>
  <si>
    <t>대우인테리어</t>
  </si>
  <si>
    <t>대우창호</t>
  </si>
  <si>
    <t>대웅산업</t>
  </si>
  <si>
    <t>대웅엔지니어링</t>
  </si>
  <si>
    <t>대원</t>
  </si>
  <si>
    <t>대원건설</t>
  </si>
  <si>
    <t>대원상사-휴업</t>
  </si>
  <si>
    <t>대원씨엠씨</t>
  </si>
  <si>
    <t>대원외장-폐업</t>
  </si>
  <si>
    <t>대원종합건설-폐업</t>
  </si>
  <si>
    <t>대은금속</t>
  </si>
  <si>
    <t>대일알미늄스텐</t>
  </si>
  <si>
    <t>대일종합상사</t>
  </si>
  <si>
    <t>대일종합설비</t>
  </si>
  <si>
    <t>대일특수유리</t>
  </si>
  <si>
    <t>대자연요양원</t>
  </si>
  <si>
    <t>대전보훈요양원</t>
  </si>
  <si>
    <t>대정건설산업</t>
  </si>
  <si>
    <t>대정시스템창호</t>
  </si>
  <si>
    <t>대정창호</t>
  </si>
  <si>
    <t>대종건설</t>
  </si>
  <si>
    <t>대지부속</t>
  </si>
  <si>
    <t>대지빌딩</t>
  </si>
  <si>
    <t>대진건업</t>
  </si>
  <si>
    <t>대진창호</t>
  </si>
  <si>
    <t>대진창호알미늄</t>
  </si>
  <si>
    <t>대창건설산업</t>
  </si>
  <si>
    <t>대창부속-경주</t>
  </si>
  <si>
    <t>대창산업-광주</t>
  </si>
  <si>
    <t>대창산업-포항</t>
  </si>
  <si>
    <t>대창종합건설</t>
  </si>
  <si>
    <t>대창창호건설</t>
  </si>
  <si>
    <t>대창하드웨어</t>
  </si>
  <si>
    <t>S1A</t>
  </si>
  <si>
    <t>대천</t>
  </si>
  <si>
    <t>대평창호</t>
  </si>
  <si>
    <t>대풍산업-폐업</t>
  </si>
  <si>
    <t>대하건설</t>
  </si>
  <si>
    <t>대한광고디자인</t>
  </si>
  <si>
    <t>대한노인회</t>
  </si>
  <si>
    <t>대한산업</t>
  </si>
  <si>
    <t>대한산업개발</t>
  </si>
  <si>
    <t>대한산업-지점</t>
  </si>
  <si>
    <t>대한소방공제회</t>
  </si>
  <si>
    <t>대한시스템창호</t>
  </si>
  <si>
    <t>대한알미늄</t>
  </si>
  <si>
    <t>대한유리창호</t>
  </si>
  <si>
    <t>대한창호-김제</t>
  </si>
  <si>
    <t>대현산업</t>
  </si>
  <si>
    <t>대현엠엔에스</t>
  </si>
  <si>
    <t>대현창호</t>
  </si>
  <si>
    <t>대현테크</t>
  </si>
  <si>
    <t>대호상사</t>
  </si>
  <si>
    <t>대호종합산업</t>
  </si>
  <si>
    <t>대화시스템</t>
  </si>
  <si>
    <t>대화알미늄</t>
  </si>
  <si>
    <t>대흥</t>
  </si>
  <si>
    <t>대흥건업</t>
  </si>
  <si>
    <t>대흥건철</t>
  </si>
  <si>
    <t>대흥기업</t>
  </si>
  <si>
    <t>대흥에프에스</t>
  </si>
  <si>
    <t>대흥엔지니어링</t>
  </si>
  <si>
    <t>더데이관광호텔</t>
  </si>
  <si>
    <t>더모션아트텍</t>
  </si>
  <si>
    <t>더원빌딩</t>
  </si>
  <si>
    <t>더원스틸</t>
  </si>
  <si>
    <t>더원테크</t>
  </si>
  <si>
    <t>더윈</t>
  </si>
  <si>
    <t>더윈도우-안성</t>
  </si>
  <si>
    <t>더윈도우-양산</t>
  </si>
  <si>
    <t>더인유리</t>
  </si>
  <si>
    <t>더존샤시</t>
  </si>
  <si>
    <t>더탑이엔씨</t>
  </si>
  <si>
    <t>더피풀</t>
  </si>
  <si>
    <t>더해인</t>
  </si>
  <si>
    <t>덕산기업</t>
  </si>
  <si>
    <t>덕상건설</t>
  </si>
  <si>
    <t>덕양기업</t>
  </si>
  <si>
    <t>덕영창호</t>
  </si>
  <si>
    <t>덕우에스엔씨</t>
  </si>
  <si>
    <t>덕천요양병원</t>
  </si>
  <si>
    <t>데코윈</t>
  </si>
  <si>
    <t>도담창호</t>
  </si>
  <si>
    <t>도성산업</t>
  </si>
  <si>
    <t>도시금속</t>
  </si>
  <si>
    <t>도안실내건축</t>
  </si>
  <si>
    <t>도암씨앤아이</t>
  </si>
  <si>
    <t>도어닥터</t>
  </si>
  <si>
    <t>도영건설</t>
  </si>
  <si>
    <t>도영전설</t>
  </si>
  <si>
    <t>도운창호</t>
  </si>
  <si>
    <t>도원시스템</t>
  </si>
  <si>
    <t>도원인더스트리</t>
  </si>
  <si>
    <t>도현윈시스템</t>
  </si>
  <si>
    <t>도호건설</t>
  </si>
  <si>
    <t>동갑창호</t>
  </si>
  <si>
    <t>동건기업</t>
  </si>
  <si>
    <t>동광건철공업</t>
  </si>
  <si>
    <t>동광창호-폐업</t>
  </si>
  <si>
    <t>동국제강</t>
  </si>
  <si>
    <t>동남</t>
  </si>
  <si>
    <t>동남건재</t>
  </si>
  <si>
    <t>동남산업</t>
  </si>
  <si>
    <t>동남종합자재마트</t>
  </si>
  <si>
    <t>동남창호산업</t>
  </si>
  <si>
    <t>동대문레지던스</t>
  </si>
  <si>
    <t>동덕종합상사</t>
  </si>
  <si>
    <t>동방시스템</t>
  </si>
  <si>
    <t>동방실업</t>
  </si>
  <si>
    <t>동방창호</t>
  </si>
  <si>
    <t>동보창호공사</t>
  </si>
  <si>
    <t>동부건업</t>
  </si>
  <si>
    <t>동산창호</t>
  </si>
  <si>
    <t>동서산업</t>
  </si>
  <si>
    <t>동서삿시유리</t>
  </si>
  <si>
    <t>동서씨앤티</t>
  </si>
  <si>
    <t>동성기업-광주</t>
  </si>
  <si>
    <t>동성기업-울산</t>
  </si>
  <si>
    <t>동수건설</t>
  </si>
  <si>
    <t>동신건업</t>
  </si>
  <si>
    <t>동신상사</t>
  </si>
  <si>
    <t>동신알앤에프</t>
  </si>
  <si>
    <t>동아글라스</t>
  </si>
  <si>
    <t>동아금속</t>
  </si>
  <si>
    <t>동아산업</t>
  </si>
  <si>
    <t>동아엔지니어링</t>
  </si>
  <si>
    <t>동아열린창</t>
  </si>
  <si>
    <t>동아창호</t>
  </si>
  <si>
    <t>동양강철-경장</t>
  </si>
  <si>
    <t>동양강철-광주</t>
  </si>
  <si>
    <t>동양강철-군산</t>
  </si>
  <si>
    <t>동양강철-대전</t>
  </si>
  <si>
    <t>동양강철-북부</t>
  </si>
  <si>
    <t>동양강철-안성</t>
  </si>
  <si>
    <t>동양강철-용인</t>
  </si>
  <si>
    <t>동양강철-원주</t>
  </si>
  <si>
    <t>동양강철-의왕</t>
  </si>
  <si>
    <t>동양강철이지-전주</t>
  </si>
  <si>
    <t>동양강철-익산</t>
  </si>
  <si>
    <t>동양강철-전주</t>
  </si>
  <si>
    <t>동양건영</t>
  </si>
  <si>
    <t>동양곡면창호</t>
  </si>
  <si>
    <t>동양금속샷슈</t>
  </si>
  <si>
    <t>동양기업-강릉</t>
  </si>
  <si>
    <t>동양기업-광주</t>
  </si>
  <si>
    <t>동양기업-시흥</t>
  </si>
  <si>
    <t>동양기업-제주</t>
  </si>
  <si>
    <t>동양기업-화성</t>
  </si>
  <si>
    <t>동양부속상사</t>
  </si>
  <si>
    <t>D4B</t>
  </si>
  <si>
    <t>동양사</t>
  </si>
  <si>
    <t>동양산업</t>
  </si>
  <si>
    <t>동양샷시부속-대전</t>
  </si>
  <si>
    <t>동양시스템-원주</t>
  </si>
  <si>
    <t>동양시스템-제주</t>
  </si>
  <si>
    <t>동양시스템-하남</t>
  </si>
  <si>
    <t>동양실업</t>
  </si>
  <si>
    <t>동양알루코</t>
  </si>
  <si>
    <t>동양알앤디</t>
  </si>
  <si>
    <t>동양에스유</t>
  </si>
  <si>
    <t>동양에이엘</t>
  </si>
  <si>
    <t>동양엔지니어링</t>
  </si>
  <si>
    <t>동양윈텍</t>
  </si>
  <si>
    <t>동양윈텍씨더블유</t>
  </si>
  <si>
    <t>동양이엔지</t>
  </si>
  <si>
    <t>동양창테크</t>
  </si>
  <si>
    <t>동양창호</t>
  </si>
  <si>
    <t>동양창호산업</t>
  </si>
  <si>
    <t>동양하우징</t>
  </si>
  <si>
    <t>동연기공</t>
  </si>
  <si>
    <t>동영상사</t>
  </si>
  <si>
    <t>동영창호산업</t>
  </si>
  <si>
    <t>동영천골프연습장</t>
  </si>
  <si>
    <t>동우</t>
  </si>
  <si>
    <t>동우시스템</t>
  </si>
  <si>
    <t>동원건업</t>
  </si>
  <si>
    <t>동원금속</t>
  </si>
  <si>
    <t>동원부속-방배</t>
  </si>
  <si>
    <t>동일기업</t>
  </si>
  <si>
    <t>동일스텐</t>
  </si>
  <si>
    <t>동일알미늄</t>
  </si>
  <si>
    <t>동일창호건설</t>
  </si>
  <si>
    <t>동일특수유리</t>
  </si>
  <si>
    <t>동주</t>
  </si>
  <si>
    <t>동진</t>
  </si>
  <si>
    <t>동진산업개발</t>
  </si>
  <si>
    <t>동진창호-시흥</t>
  </si>
  <si>
    <t>동진창호-음성</t>
  </si>
  <si>
    <t>동창창호</t>
  </si>
  <si>
    <t>동천알미늄</t>
  </si>
  <si>
    <t>동해기업</t>
  </si>
  <si>
    <t>동현이앤아이</t>
  </si>
  <si>
    <t>동호부속</t>
  </si>
  <si>
    <t>동호산업-영천</t>
  </si>
  <si>
    <t>동호산업-천안</t>
  </si>
  <si>
    <t>동호실업</t>
  </si>
  <si>
    <t>동환건설</t>
  </si>
  <si>
    <t>두경피브이씨</t>
  </si>
  <si>
    <t>두리토탈</t>
  </si>
  <si>
    <t>두리환경개발</t>
  </si>
  <si>
    <t>두린</t>
  </si>
  <si>
    <t>두만공업사</t>
  </si>
  <si>
    <t>두산금속</t>
  </si>
  <si>
    <t>두산금속상사</t>
  </si>
  <si>
    <t>두산유리</t>
  </si>
  <si>
    <t>두손건설</t>
  </si>
  <si>
    <t>두현</t>
  </si>
  <si>
    <t>두현트리움</t>
  </si>
  <si>
    <t>두홍창호</t>
  </si>
  <si>
    <t>드림상사</t>
  </si>
  <si>
    <t>드림씨앤에스-완주</t>
  </si>
  <si>
    <t>드림씨앤에스-전주</t>
  </si>
  <si>
    <t>드림음향</t>
  </si>
  <si>
    <t>드림창호</t>
  </si>
  <si>
    <t>드림하이샤시창호</t>
  </si>
  <si>
    <t>디아씨테크</t>
  </si>
  <si>
    <t>디아이건축-폐업</t>
  </si>
  <si>
    <t>디아이에이치에이</t>
  </si>
  <si>
    <t>디앤디디자인</t>
  </si>
  <si>
    <t>디에스대산</t>
  </si>
  <si>
    <t>디유이엔지</t>
  </si>
  <si>
    <t>디자인그룹제이</t>
  </si>
  <si>
    <t>디자인비전</t>
  </si>
  <si>
    <t>디자인스튜디오</t>
  </si>
  <si>
    <t>디자인프로-개인</t>
  </si>
  <si>
    <t>디자인프로-법인</t>
  </si>
  <si>
    <t>디케이이안</t>
  </si>
  <si>
    <t>뚝섬리버빌</t>
  </si>
  <si>
    <t>라비치호텔</t>
  </si>
  <si>
    <t>라온인테리어</t>
  </si>
  <si>
    <t>라온커튼월-폐업</t>
  </si>
  <si>
    <t>라은건설</t>
  </si>
  <si>
    <t>라이프전기</t>
  </si>
  <si>
    <t>라인창호</t>
  </si>
  <si>
    <t>라코지스테이</t>
  </si>
  <si>
    <t>래미안마포리버웰</t>
  </si>
  <si>
    <t>럭스베르</t>
  </si>
  <si>
    <t>럭키시스템</t>
  </si>
  <si>
    <t>럭키케미칼</t>
  </si>
  <si>
    <t>레피오</t>
  </si>
  <si>
    <t>렉산월드</t>
  </si>
  <si>
    <t>로데오빌딩</t>
  </si>
  <si>
    <t>로얄건업</t>
  </si>
  <si>
    <t>로얄상사-서울</t>
  </si>
  <si>
    <t>롯데캐슬</t>
  </si>
  <si>
    <t>롯데호텔-울산</t>
  </si>
  <si>
    <t>루바하이텍</t>
  </si>
  <si>
    <t>룩스</t>
  </si>
  <si>
    <t>리드</t>
  </si>
  <si>
    <t>리본어린이집</t>
  </si>
  <si>
    <t>리브디자인</t>
  </si>
  <si>
    <t>리알금속</t>
  </si>
  <si>
    <t>리엑스건축</t>
  </si>
  <si>
    <t>리오통상</t>
  </si>
  <si>
    <t>리츠랜드</t>
  </si>
  <si>
    <t>마곡엠밸리</t>
  </si>
  <si>
    <t>마루공사</t>
  </si>
  <si>
    <t>마루창호산업</t>
  </si>
  <si>
    <t>마이윈시스템</t>
  </si>
  <si>
    <t>마평창호</t>
  </si>
  <si>
    <t>마포건축</t>
  </si>
  <si>
    <t>마포종합복지관</t>
  </si>
  <si>
    <t>만자동문</t>
  </si>
  <si>
    <t>맑은공기제작소</t>
  </si>
  <si>
    <t>맥스클래딩</t>
  </si>
  <si>
    <t>맥엠엔씨</t>
  </si>
  <si>
    <t>머드린</t>
  </si>
  <si>
    <t>메이크월</t>
  </si>
  <si>
    <t>메인윈도우-*</t>
  </si>
  <si>
    <t>메종테라피</t>
  </si>
  <si>
    <t>메탈사이트</t>
  </si>
  <si>
    <t>메탈컴퍼니</t>
  </si>
  <si>
    <t>메트로하우징</t>
  </si>
  <si>
    <t>명가하우징</t>
  </si>
  <si>
    <t>명보건설</t>
  </si>
  <si>
    <t>명성</t>
  </si>
  <si>
    <t>명성상회</t>
  </si>
  <si>
    <t>명성이앤씨</t>
  </si>
  <si>
    <t>명성종합상사</t>
  </si>
  <si>
    <t>명성철물건재</t>
  </si>
  <si>
    <t>명성철물-팔마</t>
  </si>
  <si>
    <t>명성하드웨어</t>
  </si>
  <si>
    <t>명은금속</t>
  </si>
  <si>
    <t>명인산업</t>
  </si>
  <si>
    <t>명일기업</t>
  </si>
  <si>
    <t>명일알미늄-*</t>
  </si>
  <si>
    <t>명일이엔지</t>
  </si>
  <si>
    <t>명진건철</t>
  </si>
  <si>
    <t>명진샷시철물</t>
  </si>
  <si>
    <t>명진이엔지</t>
  </si>
  <si>
    <t>명진종합창호</t>
  </si>
  <si>
    <t>명창종합상사</t>
  </si>
  <si>
    <t>명품도어</t>
  </si>
  <si>
    <t>명화상사</t>
  </si>
  <si>
    <t>모닝인테리어</t>
  </si>
  <si>
    <t>모던창호</t>
  </si>
  <si>
    <t>모든창호</t>
  </si>
  <si>
    <t>모세금속</t>
  </si>
  <si>
    <t>목포외과의원</t>
  </si>
  <si>
    <t>몽삐에뜨-폐업</t>
  </si>
  <si>
    <t>무궁화산업개발</t>
  </si>
  <si>
    <t>무등창호</t>
  </si>
  <si>
    <t>무림금속</t>
  </si>
  <si>
    <t>무림산업</t>
  </si>
  <si>
    <t>무빙스테이지</t>
  </si>
  <si>
    <t>무송건설산업</t>
  </si>
  <si>
    <t>무지개창호</t>
  </si>
  <si>
    <t>무지개창호공사</t>
  </si>
  <si>
    <t>무학공업사</t>
  </si>
  <si>
    <t>문경팜</t>
  </si>
  <si>
    <t>문앤지음</t>
  </si>
  <si>
    <t>문창산업</t>
  </si>
  <si>
    <t>문화상사</t>
  </si>
  <si>
    <t>미강유리샷시</t>
  </si>
  <si>
    <t>미건윈텍</t>
  </si>
  <si>
    <t>미건이엔씨</t>
  </si>
  <si>
    <t>미건창호</t>
  </si>
  <si>
    <t>미광</t>
  </si>
  <si>
    <t>미노스호텔</t>
  </si>
  <si>
    <t>미담테크</t>
  </si>
  <si>
    <t>미라지빌딩</t>
  </si>
  <si>
    <t>미람창호</t>
  </si>
  <si>
    <t>미래건설산업</t>
  </si>
  <si>
    <t>미래금속창호</t>
  </si>
  <si>
    <t>미래바다이엔지</t>
  </si>
  <si>
    <t>미래산업</t>
  </si>
  <si>
    <t>미래상사</t>
  </si>
  <si>
    <t>미래시스템창호</t>
  </si>
  <si>
    <t>미래종합부속</t>
  </si>
  <si>
    <t>미래창호</t>
  </si>
  <si>
    <t>미래플러스</t>
  </si>
  <si>
    <t>미르건설</t>
  </si>
  <si>
    <t>미르산업개발-폐업</t>
  </si>
  <si>
    <t>미리내어린이집</t>
  </si>
  <si>
    <t>미맥스</t>
  </si>
  <si>
    <t>미백창호</t>
  </si>
  <si>
    <t>미성개발</t>
  </si>
  <si>
    <t>미성산업</t>
  </si>
  <si>
    <t>미성창호금속</t>
  </si>
  <si>
    <t>미소창호</t>
  </si>
  <si>
    <t>미소청과</t>
  </si>
  <si>
    <t>미주건설</t>
  </si>
  <si>
    <t>미주부속</t>
  </si>
  <si>
    <t>미진정공</t>
  </si>
  <si>
    <t>미코바이오메드</t>
  </si>
  <si>
    <t>민우씨티</t>
  </si>
  <si>
    <t>민정건설</t>
  </si>
  <si>
    <t>밀알종합상사</t>
  </si>
  <si>
    <t>바로디자인</t>
  </si>
  <si>
    <t>바론</t>
  </si>
  <si>
    <t>바우금속</t>
  </si>
  <si>
    <t>바우디자인</t>
  </si>
  <si>
    <t>바이</t>
  </si>
  <si>
    <t>바이필룩스</t>
  </si>
  <si>
    <t>반디</t>
  </si>
  <si>
    <t>반석산업</t>
  </si>
  <si>
    <t>S4A</t>
  </si>
  <si>
    <t>반석이엔씨</t>
  </si>
  <si>
    <t>방충망달인방충망</t>
  </si>
  <si>
    <t>백경비엠에스</t>
  </si>
  <si>
    <t>백두산업건설(주)</t>
  </si>
  <si>
    <t>백마실업</t>
  </si>
  <si>
    <t>백산건업</t>
  </si>
  <si>
    <t>백상종합목재</t>
  </si>
  <si>
    <t>백제건설</t>
  </si>
  <si>
    <t>베라건설</t>
  </si>
  <si>
    <t>베스트금속</t>
  </si>
  <si>
    <t>베스트원</t>
  </si>
  <si>
    <t>베스트창호</t>
  </si>
  <si>
    <t>베스트파트너스</t>
  </si>
  <si>
    <t>베스트프라임</t>
  </si>
  <si>
    <t>벽산스텐</t>
  </si>
  <si>
    <t>벽세산업</t>
  </si>
  <si>
    <t>보경</t>
  </si>
  <si>
    <t>보경종합상사</t>
  </si>
  <si>
    <t>보경테크윈</t>
  </si>
  <si>
    <t>보광종합설비</t>
  </si>
  <si>
    <t>보광철물장식</t>
  </si>
  <si>
    <t>보금산업</t>
  </si>
  <si>
    <t>보성에어텍</t>
  </si>
  <si>
    <t>보성윈도우</t>
  </si>
  <si>
    <t>보성전기조명</t>
  </si>
  <si>
    <t>보영산업</t>
  </si>
  <si>
    <t>보창</t>
  </si>
  <si>
    <t>부국상공사</t>
  </si>
  <si>
    <t>부력에너지</t>
  </si>
  <si>
    <t>부림</t>
  </si>
  <si>
    <t>부민강업</t>
  </si>
  <si>
    <t>부산판유리창호</t>
  </si>
  <si>
    <t>부성사</t>
  </si>
  <si>
    <t>부성윈시스템</t>
  </si>
  <si>
    <t>부성이엔씨</t>
  </si>
  <si>
    <t>부성창호</t>
  </si>
  <si>
    <t>부원</t>
  </si>
  <si>
    <t>부일엔지니어링</t>
  </si>
  <si>
    <t>부창산업</t>
  </si>
  <si>
    <t>부현건업</t>
  </si>
  <si>
    <t>부흥철물</t>
  </si>
  <si>
    <t>북방건설</t>
  </si>
  <si>
    <t>브란텍글레이징</t>
  </si>
  <si>
    <t>블루오션</t>
  </si>
  <si>
    <t>비강이엔씨</t>
  </si>
  <si>
    <t>비룡씨에이치씨</t>
  </si>
  <si>
    <t>비씨엔텍</t>
  </si>
  <si>
    <t>비에스디자인</t>
  </si>
  <si>
    <t>비엔비</t>
  </si>
  <si>
    <t>비엔지</t>
  </si>
  <si>
    <t>비엘공간</t>
  </si>
  <si>
    <t>비전한빛철물</t>
  </si>
  <si>
    <t>빛고을산후조리원</t>
  </si>
  <si>
    <t>빛고을여성병원</t>
  </si>
  <si>
    <t>산지공업사</t>
  </si>
  <si>
    <t>산청종합관리</t>
  </si>
  <si>
    <t>산청창호</t>
  </si>
  <si>
    <t>삼경개발</t>
  </si>
  <si>
    <t>삼경커튼월</t>
  </si>
  <si>
    <t>삼기부속상사</t>
  </si>
  <si>
    <t>삼남건업</t>
  </si>
  <si>
    <t>삼남창호</t>
  </si>
  <si>
    <t>삼다하우시스</t>
  </si>
  <si>
    <t>삼미금속</t>
  </si>
  <si>
    <t>삼미종합금속</t>
  </si>
  <si>
    <t>삼백종합철물</t>
  </si>
  <si>
    <t>삼보건축</t>
  </si>
  <si>
    <t>삼산알미늄공업</t>
  </si>
  <si>
    <t>삼선산업</t>
  </si>
  <si>
    <t>삼선알미늄</t>
  </si>
  <si>
    <t>삼선종합기업</t>
  </si>
  <si>
    <t>삼성공사</t>
  </si>
  <si>
    <t>삼성금속</t>
  </si>
  <si>
    <t>삼성부속</t>
  </si>
  <si>
    <t>삼성샷시부속-*</t>
  </si>
  <si>
    <t>삼성자동문</t>
  </si>
  <si>
    <t>삼성종합건설</t>
  </si>
  <si>
    <t>삼성창호-안동</t>
  </si>
  <si>
    <t>삼성테크-폐업</t>
  </si>
  <si>
    <t>삼성폴딩-폐업</t>
  </si>
  <si>
    <t>삼송금속창호유리</t>
  </si>
  <si>
    <t>삼송창호</t>
  </si>
  <si>
    <t>삼신창호</t>
  </si>
  <si>
    <t>삼양부속</t>
  </si>
  <si>
    <t>삼양페이퍼</t>
  </si>
  <si>
    <t>삼영</t>
  </si>
  <si>
    <t>삼영상사</t>
  </si>
  <si>
    <t>삼영이엔씨</t>
  </si>
  <si>
    <t>삼영코퍼레이션</t>
  </si>
  <si>
    <t>삼오산업-광주</t>
  </si>
  <si>
    <t>삼오산업-대구</t>
  </si>
  <si>
    <t>삼우건설</t>
  </si>
  <si>
    <t>삼우공업사</t>
  </si>
  <si>
    <t>삼우공영</t>
  </si>
  <si>
    <t>삼우산업</t>
  </si>
  <si>
    <t>삼우지엠티</t>
  </si>
  <si>
    <t>삼우창호개발</t>
  </si>
  <si>
    <t>삼원부속상사</t>
  </si>
  <si>
    <t>삼원빌딩</t>
  </si>
  <si>
    <t>삼원창호</t>
  </si>
  <si>
    <t>삼원특수건설</t>
  </si>
  <si>
    <t>삼육공업사</t>
  </si>
  <si>
    <t>삼은유리샷시</t>
  </si>
  <si>
    <t>삼익건업</t>
  </si>
  <si>
    <t>삼일건영</t>
  </si>
  <si>
    <t>삼일공영이엔지</t>
  </si>
  <si>
    <t>삼일산업</t>
  </si>
  <si>
    <t>삼일상사</t>
  </si>
  <si>
    <t>삼일창호</t>
  </si>
  <si>
    <t>삼전순약공</t>
  </si>
  <si>
    <t>삼정알텍크</t>
  </si>
  <si>
    <t>삼진</t>
  </si>
  <si>
    <t>S3B</t>
  </si>
  <si>
    <t>삼진건설산업</t>
  </si>
  <si>
    <t>삼진산업</t>
  </si>
  <si>
    <t>삼창이엔씨</t>
  </si>
  <si>
    <t>삼칠알미늄</t>
  </si>
  <si>
    <t>삼현이앤씨</t>
  </si>
  <si>
    <t>삼현이앤씨-송파</t>
  </si>
  <si>
    <t>삼협종합건설</t>
  </si>
  <si>
    <t>삼호건설</t>
  </si>
  <si>
    <t>삼호금속</t>
  </si>
  <si>
    <t>삼홍건업</t>
  </si>
  <si>
    <t>삼화건설-폐업</t>
  </si>
  <si>
    <t>삼화건업-폐업</t>
  </si>
  <si>
    <t>삼화도어테크</t>
  </si>
  <si>
    <t>D2B</t>
  </si>
  <si>
    <t>삼화철물</t>
  </si>
  <si>
    <t>삼환기업</t>
  </si>
  <si>
    <t>삼흥유리창호</t>
  </si>
  <si>
    <t>상록수</t>
  </si>
  <si>
    <t>상림</t>
  </si>
  <si>
    <t>상미종합상사</t>
  </si>
  <si>
    <t>상민에스디</t>
  </si>
  <si>
    <t>상산알미늄</t>
  </si>
  <si>
    <t>상우건설</t>
  </si>
  <si>
    <t>상원전기</t>
  </si>
  <si>
    <t>상진</t>
  </si>
  <si>
    <t>상훈금속-휴업</t>
  </si>
  <si>
    <t>새나라상사</t>
  </si>
  <si>
    <t>새늘이엔티</t>
  </si>
  <si>
    <t>새모든</t>
  </si>
  <si>
    <t>새샘산업</t>
  </si>
  <si>
    <t>새양금속</t>
  </si>
  <si>
    <t>새움초등학교</t>
  </si>
  <si>
    <t>새한건업</t>
  </si>
  <si>
    <t>새한월</t>
  </si>
  <si>
    <t>새한창호</t>
  </si>
  <si>
    <t>새한창호-남선</t>
  </si>
  <si>
    <t>샘물교회</t>
  </si>
  <si>
    <t>S4E</t>
  </si>
  <si>
    <t>생기</t>
  </si>
  <si>
    <t>생활유리창호</t>
  </si>
  <si>
    <t>샤시수리닷컴</t>
  </si>
  <si>
    <t>샤시앤수리</t>
  </si>
  <si>
    <t>샤인시스템</t>
  </si>
  <si>
    <t>샷시뱅크유리</t>
  </si>
  <si>
    <t>샹그리아비치호텔</t>
  </si>
  <si>
    <t>서경창호</t>
  </si>
  <si>
    <t>서광산업</t>
  </si>
  <si>
    <t>서남유리건업</t>
  </si>
  <si>
    <t>서면공업사</t>
  </si>
  <si>
    <t>서부여성회관</t>
  </si>
  <si>
    <t>서연창호-폐업</t>
  </si>
  <si>
    <t>서왕</t>
  </si>
  <si>
    <t>서우에이엔씨</t>
  </si>
  <si>
    <t>서울건업</t>
  </si>
  <si>
    <t>서울경금속-종료</t>
  </si>
  <si>
    <t>서울부속-제주</t>
  </si>
  <si>
    <t>서울상사</t>
  </si>
  <si>
    <t>서울여성병원</t>
  </si>
  <si>
    <t>서울종합기공</t>
  </si>
  <si>
    <t>서울종합상사</t>
  </si>
  <si>
    <t>서울창호</t>
  </si>
  <si>
    <t>서원개발</t>
  </si>
  <si>
    <t>서원홈테크</t>
  </si>
  <si>
    <t>서은</t>
  </si>
  <si>
    <t>서은상사</t>
  </si>
  <si>
    <t>서인커튼월</t>
  </si>
  <si>
    <t>서일금속산업</t>
  </si>
  <si>
    <t>서일상사</t>
  </si>
  <si>
    <t>서정금속인테리어</t>
  </si>
  <si>
    <t>서정의료재단</t>
  </si>
  <si>
    <t>서정철물상사</t>
  </si>
  <si>
    <t>서진기업사</t>
  </si>
  <si>
    <t>서진씨앤씨</t>
  </si>
  <si>
    <t>서진창호</t>
  </si>
  <si>
    <t>서해산업개발</t>
  </si>
  <si>
    <t>서해종합건재</t>
  </si>
  <si>
    <t>서해종합안전</t>
  </si>
  <si>
    <t>서현산업</t>
  </si>
  <si>
    <t>서희창호</t>
  </si>
  <si>
    <t>석영개발</t>
  </si>
  <si>
    <t>석주</t>
  </si>
  <si>
    <t>석창호</t>
  </si>
  <si>
    <t>선봉산업</t>
  </si>
  <si>
    <t>선샤인</t>
  </si>
  <si>
    <t>선암호수복지관</t>
  </si>
  <si>
    <t>선우기업</t>
  </si>
  <si>
    <t>선우산업</t>
  </si>
  <si>
    <t>선우시스</t>
  </si>
  <si>
    <t>선인스텐공업</t>
  </si>
  <si>
    <t>선일공구</t>
  </si>
  <si>
    <t>선일창호</t>
  </si>
  <si>
    <t>선진개발-김제</t>
  </si>
  <si>
    <t>선진건업</t>
  </si>
  <si>
    <t>선진상사</t>
  </si>
  <si>
    <t>선진종합개발</t>
  </si>
  <si>
    <t>선진창호</t>
  </si>
  <si>
    <t>선진커튼월-*</t>
  </si>
  <si>
    <t>선진하드웨어</t>
  </si>
  <si>
    <t>선흘아이</t>
  </si>
  <si>
    <t>설악창호</t>
  </si>
  <si>
    <t>섬진스텐</t>
  </si>
  <si>
    <t>성광창호디자인</t>
  </si>
  <si>
    <t>성남샷시부속</t>
  </si>
  <si>
    <t>성남유리샷시</t>
  </si>
  <si>
    <t>성남종합상사</t>
  </si>
  <si>
    <t>성도</t>
  </si>
  <si>
    <t>성림건재올마트</t>
  </si>
  <si>
    <t>성문이앤씨</t>
  </si>
  <si>
    <t>성민실업</t>
  </si>
  <si>
    <t>성빈건설</t>
  </si>
  <si>
    <t>성산건설</t>
  </si>
  <si>
    <t>성우창호</t>
  </si>
  <si>
    <t>성웅씨엔엠-*</t>
  </si>
  <si>
    <t>성원</t>
  </si>
  <si>
    <t>성원공업사</t>
  </si>
  <si>
    <t>성원금속-폐업</t>
  </si>
  <si>
    <t>성원엔지니어링</t>
  </si>
  <si>
    <t>성원이엔씨</t>
  </si>
  <si>
    <t>성원창호-폐업</t>
  </si>
  <si>
    <t>성일금속</t>
  </si>
  <si>
    <t>성일산업개발</t>
  </si>
  <si>
    <t>성일철물</t>
  </si>
  <si>
    <t>성주</t>
  </si>
  <si>
    <t>성주시스템</t>
  </si>
  <si>
    <t>성진개발</t>
  </si>
  <si>
    <t>성진건설</t>
  </si>
  <si>
    <t>성진금속</t>
  </si>
  <si>
    <t>성진기업사</t>
  </si>
  <si>
    <t>성진디엔씨</t>
  </si>
  <si>
    <t>성진부속</t>
  </si>
  <si>
    <t>성진윈도우</t>
  </si>
  <si>
    <t>성진창호공사</t>
  </si>
  <si>
    <t>성한기업</t>
  </si>
  <si>
    <t>성현샷시부속</t>
  </si>
  <si>
    <t>성화</t>
  </si>
  <si>
    <t>성화알엔알</t>
  </si>
  <si>
    <t>성화윈도우</t>
  </si>
  <si>
    <t>성화창호</t>
  </si>
  <si>
    <t>세계산업</t>
  </si>
  <si>
    <t>세계통상</t>
  </si>
  <si>
    <t>세광전기</t>
  </si>
  <si>
    <t>세기부속</t>
  </si>
  <si>
    <t>세기상사-광주</t>
  </si>
  <si>
    <t>세라코</t>
  </si>
  <si>
    <t>세린산업안전-*</t>
  </si>
  <si>
    <t>세림건설</t>
  </si>
  <si>
    <t>세명이엔엠</t>
  </si>
  <si>
    <t>세문산업</t>
  </si>
  <si>
    <t>세미산업</t>
  </si>
  <si>
    <t>세민창호</t>
  </si>
  <si>
    <t>세신상사</t>
  </si>
  <si>
    <t>세안에이앤에이</t>
  </si>
  <si>
    <t>세안피엠씨블루</t>
  </si>
  <si>
    <t>세영건축</t>
  </si>
  <si>
    <t>세영종합건설</t>
  </si>
  <si>
    <t>세욱실업</t>
  </si>
  <si>
    <t>세울산업</t>
  </si>
  <si>
    <t>세원개발</t>
  </si>
  <si>
    <t>세인트코리아</t>
  </si>
  <si>
    <t>세일건업</t>
  </si>
  <si>
    <t>세일산업</t>
  </si>
  <si>
    <t>세일프렉스</t>
  </si>
  <si>
    <t>세존기업</t>
  </si>
  <si>
    <t>세종상사-대전</t>
  </si>
  <si>
    <t>세종상회</t>
  </si>
  <si>
    <t>세종인터내-폐업</t>
  </si>
  <si>
    <t>세종철물</t>
  </si>
  <si>
    <t>세진건업-김포</t>
  </si>
  <si>
    <t>세진건업-전남</t>
  </si>
  <si>
    <t>세진창호-대구</t>
  </si>
  <si>
    <t>세진창호산업</t>
  </si>
  <si>
    <t>세진하우징</t>
  </si>
  <si>
    <t>세트업</t>
  </si>
  <si>
    <t>세한하드웨어</t>
  </si>
  <si>
    <t>세현유리제경</t>
  </si>
  <si>
    <t>세화내장건설</t>
  </si>
  <si>
    <t>세희이앤씨</t>
  </si>
  <si>
    <t>소보</t>
  </si>
  <si>
    <t>소보창호-종료</t>
  </si>
  <si>
    <t>소윤</t>
  </si>
  <si>
    <t>송강산업개발</t>
  </si>
  <si>
    <t>송도산업</t>
  </si>
  <si>
    <t>송백</t>
  </si>
  <si>
    <t>송암스페이스센터</t>
  </si>
  <si>
    <t>송운시스템</t>
  </si>
  <si>
    <t>송정공업사</t>
  </si>
  <si>
    <t>송정창호</t>
  </si>
  <si>
    <t>송현부속상사</t>
  </si>
  <si>
    <t>수범아이엔티</t>
  </si>
  <si>
    <t>수양건설</t>
  </si>
  <si>
    <t>수양티엔티</t>
  </si>
  <si>
    <t>수정건업사</t>
  </si>
  <si>
    <t>수호산업개발</t>
  </si>
  <si>
    <t>슈퍼키즈</t>
  </si>
  <si>
    <t>스타종합인테리어</t>
  </si>
  <si>
    <t>스토리모텔</t>
  </si>
  <si>
    <t>스틸웍스</t>
  </si>
  <si>
    <t>승민하드웨어</t>
  </si>
  <si>
    <t>승우이엠씨</t>
  </si>
  <si>
    <t>승일산업</t>
  </si>
  <si>
    <t>승진철물안전</t>
  </si>
  <si>
    <t>시대종합상사</t>
  </si>
  <si>
    <t>시스템창바로</t>
  </si>
  <si>
    <t>시온창호</t>
  </si>
  <si>
    <t>시은디자인</t>
  </si>
  <si>
    <t>시지산업</t>
  </si>
  <si>
    <t>시티창호</t>
  </si>
  <si>
    <t>시현창호</t>
  </si>
  <si>
    <t>신광샷시철물</t>
  </si>
  <si>
    <t>신국제유리</t>
  </si>
  <si>
    <t>신기건업</t>
  </si>
  <si>
    <t>신대흥유리창호</t>
  </si>
  <si>
    <t>신도</t>
  </si>
  <si>
    <t>신라철물상사</t>
  </si>
  <si>
    <t>신생</t>
  </si>
  <si>
    <t>신성</t>
  </si>
  <si>
    <t>신성건설</t>
  </si>
  <si>
    <t>신성건업</t>
  </si>
  <si>
    <t>신성기업-광주</t>
  </si>
  <si>
    <t>신성기업-나주</t>
  </si>
  <si>
    <t>신성기업사</t>
  </si>
  <si>
    <t>신성기업-천안</t>
  </si>
  <si>
    <t>신성리빙테크</t>
  </si>
  <si>
    <t>신성시스템창호</t>
  </si>
  <si>
    <t>신성창호건설</t>
  </si>
  <si>
    <t>신성하우징</t>
  </si>
  <si>
    <t>신세계부속</t>
  </si>
  <si>
    <t>신승윈텍</t>
  </si>
  <si>
    <t>신아성기업</t>
  </si>
  <si>
    <t>신양리젠복합창호</t>
  </si>
  <si>
    <t>신양알루미늄</t>
  </si>
  <si>
    <t>신양알미늄</t>
  </si>
  <si>
    <t>신양윈도우</t>
  </si>
  <si>
    <t>신양창호</t>
  </si>
  <si>
    <t>신양하이텍</t>
  </si>
  <si>
    <t>신영건설산업</t>
  </si>
  <si>
    <t>신영기업</t>
  </si>
  <si>
    <t>신영상사</t>
  </si>
  <si>
    <t>신영씨앤씨</t>
  </si>
  <si>
    <t>신영알미늄</t>
  </si>
  <si>
    <t>신오창호시스템</t>
  </si>
  <si>
    <t>신용건업</t>
  </si>
  <si>
    <t>신용창호</t>
  </si>
  <si>
    <t>신우금속</t>
  </si>
  <si>
    <t>신울종합건설</t>
  </si>
  <si>
    <t>신원종합목재</t>
  </si>
  <si>
    <t>신일건업</t>
  </si>
  <si>
    <t>신일상사-*</t>
  </si>
  <si>
    <t>신일종합상사</t>
  </si>
  <si>
    <t>신진툴</t>
  </si>
  <si>
    <t>신창</t>
  </si>
  <si>
    <t>신창산업</t>
  </si>
  <si>
    <t>신창씨앤피</t>
  </si>
  <si>
    <t>신태명</t>
  </si>
  <si>
    <t>신풍상사</t>
  </si>
  <si>
    <t>신한기업</t>
  </si>
  <si>
    <t>신한시스템</t>
  </si>
  <si>
    <t>신한에이씨티</t>
  </si>
  <si>
    <t>신한종합상사</t>
  </si>
  <si>
    <t>신형건철</t>
  </si>
  <si>
    <t>신형공영</t>
  </si>
  <si>
    <t>신호산업</t>
  </si>
  <si>
    <t>신호앤창</t>
  </si>
  <si>
    <t>신화건업</t>
  </si>
  <si>
    <t>신화상사-태안</t>
  </si>
  <si>
    <t>신화씽크</t>
  </si>
  <si>
    <t>신화에스티</t>
  </si>
  <si>
    <t>신화유리</t>
  </si>
  <si>
    <t>신화이엔티</t>
  </si>
  <si>
    <t>신화종합상사</t>
  </si>
  <si>
    <t>신화케미칼</t>
  </si>
  <si>
    <t>신화테크</t>
  </si>
  <si>
    <t>신흥건재</t>
  </si>
  <si>
    <t>신흥창호</t>
  </si>
  <si>
    <t>쌍용개발</t>
  </si>
  <si>
    <t>썬앤월</t>
  </si>
  <si>
    <t>썬앤케이건설</t>
  </si>
  <si>
    <t>썬프라자</t>
  </si>
  <si>
    <t>쏠라</t>
  </si>
  <si>
    <t>쏠라테크웨어</t>
  </si>
  <si>
    <t>쓰리지시스템</t>
  </si>
  <si>
    <t>씨에스레하우</t>
  </si>
  <si>
    <t>씨에스씨</t>
  </si>
  <si>
    <t>씨에스월시스템</t>
  </si>
  <si>
    <t>씨에스컨설팅</t>
  </si>
  <si>
    <t>씨에이치씨-폐업</t>
  </si>
  <si>
    <t>씨엔에스창호-폐업</t>
  </si>
  <si>
    <t>씨엔창호산업</t>
  </si>
  <si>
    <t>씨케이텍</t>
  </si>
  <si>
    <t>씨테크마린</t>
  </si>
  <si>
    <t>씽크뱅크</t>
  </si>
  <si>
    <t>아라더엠</t>
  </si>
  <si>
    <t>아람커뮤니케이션</t>
  </si>
  <si>
    <t>아름시스</t>
  </si>
  <si>
    <t>아름싱크타일</t>
  </si>
  <si>
    <t>아름지엘에스</t>
  </si>
  <si>
    <t>아모르관광호텔</t>
  </si>
  <si>
    <t>아사히</t>
  </si>
  <si>
    <t>아사히시스템</t>
  </si>
  <si>
    <t>아사히알텍코</t>
  </si>
  <si>
    <t>아산동양고속</t>
  </si>
  <si>
    <t>아산이엔지</t>
  </si>
  <si>
    <t>아성공업사</t>
  </si>
  <si>
    <t>아성기업</t>
  </si>
  <si>
    <t>아성동양강철-*</t>
  </si>
  <si>
    <t>아성알미늄</t>
  </si>
  <si>
    <t>아세아산업</t>
  </si>
  <si>
    <t>아세아창호(주)</t>
  </si>
  <si>
    <t>아신금속</t>
  </si>
  <si>
    <t>아신코퍼레이-폐업</t>
  </si>
  <si>
    <t>아영산업</t>
  </si>
  <si>
    <t>아영창호</t>
  </si>
  <si>
    <t>아이비금속</t>
  </si>
  <si>
    <t>아이비창호</t>
  </si>
  <si>
    <t>아이비커튼</t>
  </si>
  <si>
    <t>아이엘건설</t>
  </si>
  <si>
    <t>아이엠병원</t>
  </si>
  <si>
    <t>아이즈미</t>
  </si>
  <si>
    <t>아이테크</t>
  </si>
  <si>
    <t>아이튼우드</t>
  </si>
  <si>
    <t>아인창호</t>
  </si>
  <si>
    <t>아주건업</t>
  </si>
  <si>
    <t>아주대학교</t>
  </si>
  <si>
    <t>아진건설</t>
  </si>
  <si>
    <t>아진산업합자회사</t>
  </si>
  <si>
    <t>아키토리</t>
  </si>
  <si>
    <t>아킹스</t>
  </si>
  <si>
    <t>아트윈</t>
  </si>
  <si>
    <t>아현건업</t>
  </si>
  <si>
    <t>안산건업(주)</t>
  </si>
  <si>
    <t>안산건철</t>
  </si>
  <si>
    <t>안성철물</t>
  </si>
  <si>
    <t>안정창호</t>
  </si>
  <si>
    <t>알루만</t>
  </si>
  <si>
    <t>알루이엔씨</t>
  </si>
  <si>
    <t>알루존</t>
  </si>
  <si>
    <t>알루텍</t>
  </si>
  <si>
    <t>알루폼코리아</t>
  </si>
  <si>
    <t>알씨스</t>
  </si>
  <si>
    <t>알엠디호텔</t>
  </si>
  <si>
    <t>알엠종합건설</t>
  </si>
  <si>
    <t>알코</t>
  </si>
  <si>
    <t>알파종합상사</t>
  </si>
  <si>
    <t>알파큐</t>
  </si>
  <si>
    <t>애플짐광주태전점</t>
  </si>
  <si>
    <t>양구호텔</t>
  </si>
  <si>
    <t>양주통상</t>
  </si>
  <si>
    <t>양지빌딩관리회</t>
  </si>
  <si>
    <t>양지상사</t>
  </si>
  <si>
    <t>어퓨커뮤니케이션</t>
  </si>
  <si>
    <t>에디피아</t>
  </si>
  <si>
    <t>에스디산업-개인</t>
  </si>
  <si>
    <t>에스디산업-법인</t>
  </si>
  <si>
    <t>에스디테크</t>
  </si>
  <si>
    <t>D3A</t>
  </si>
  <si>
    <t>에스비주택건설</t>
  </si>
  <si>
    <t>에스시파트너스</t>
  </si>
  <si>
    <t>에스씨산업</t>
  </si>
  <si>
    <t>에스알산업</t>
  </si>
  <si>
    <t>에스앤아이</t>
  </si>
  <si>
    <t>에스앤에스글로벌</t>
  </si>
  <si>
    <t>에스엔건설</t>
  </si>
  <si>
    <t>에스엔씨</t>
  </si>
  <si>
    <t>에스엠</t>
  </si>
  <si>
    <t>에스엠글라스</t>
  </si>
  <si>
    <t>에스엠씨창호</t>
  </si>
  <si>
    <t>에스엠창호-폐업</t>
  </si>
  <si>
    <t>에스원토탈솔루션</t>
  </si>
  <si>
    <t>에스제이창호</t>
  </si>
  <si>
    <t>에스지씨이테크</t>
  </si>
  <si>
    <t>에스케이휴먼재단</t>
  </si>
  <si>
    <t>에스티에스개발</t>
  </si>
  <si>
    <t>에이블상사</t>
  </si>
  <si>
    <t>에이블시스템</t>
  </si>
  <si>
    <t>에이스창호-대구</t>
  </si>
  <si>
    <t>에이스창호-제주</t>
  </si>
  <si>
    <t>에이스코리아</t>
  </si>
  <si>
    <t>에이스테크</t>
  </si>
  <si>
    <t>에이에이치씨</t>
  </si>
  <si>
    <t>에이엘테크</t>
  </si>
  <si>
    <t>에이엘파사드</t>
  </si>
  <si>
    <t>에이치아이산업</t>
  </si>
  <si>
    <t>에이치아이테크</t>
  </si>
  <si>
    <t>에이치엔에스</t>
  </si>
  <si>
    <t>에이치지건설</t>
  </si>
  <si>
    <t>에이치투웍스</t>
  </si>
  <si>
    <t>에코공구</t>
  </si>
  <si>
    <t>에코메트로7단지</t>
  </si>
  <si>
    <t>에코프린스</t>
  </si>
  <si>
    <t>에프앤지</t>
  </si>
  <si>
    <t>엔디에스-경기</t>
  </si>
  <si>
    <t>엔디에스-대구</t>
  </si>
  <si>
    <t>엔디에스산업</t>
  </si>
  <si>
    <t>엔에스엔지니어링</t>
  </si>
  <si>
    <t>엔케이건축</t>
  </si>
  <si>
    <t>엔휀스타</t>
  </si>
  <si>
    <t>엘도우</t>
  </si>
  <si>
    <t>엘라인</t>
  </si>
  <si>
    <t>엘리트창호-폐업</t>
  </si>
  <si>
    <t>엘림타워</t>
  </si>
  <si>
    <t>엘씨</t>
  </si>
  <si>
    <t>엘앤에프</t>
  </si>
  <si>
    <t>엘제이씨</t>
  </si>
  <si>
    <t>엘케이산업-폐업</t>
  </si>
  <si>
    <t>엠비케이</t>
  </si>
  <si>
    <t>엠에스공조</t>
  </si>
  <si>
    <t>엠에스월드</t>
  </si>
  <si>
    <t>엠에스하드웨어-*</t>
  </si>
  <si>
    <t>엠에이치하우징</t>
  </si>
  <si>
    <t>엠제이종합상사</t>
  </si>
  <si>
    <t>엠제이컴퍼니</t>
  </si>
  <si>
    <t>엠케이</t>
  </si>
  <si>
    <t>엠티엠</t>
  </si>
  <si>
    <t>엠피코퍼레이션</t>
  </si>
  <si>
    <t>여명건축</t>
  </si>
  <si>
    <t>여명창호</t>
  </si>
  <si>
    <t>여산창호</t>
  </si>
  <si>
    <t>여성아이병원</t>
  </si>
  <si>
    <t>여성아이병원-포항</t>
  </si>
  <si>
    <t>여천전남병원</t>
  </si>
  <si>
    <t>역곡창호공사</t>
  </si>
  <si>
    <t>연성기업</t>
  </si>
  <si>
    <t>연세하임산부인과</t>
  </si>
  <si>
    <t>연승시스템</t>
  </si>
  <si>
    <t>연합건설-보령</t>
  </si>
  <si>
    <t>연합건설-천안</t>
  </si>
  <si>
    <t>연합공사</t>
  </si>
  <si>
    <t>연후건업</t>
  </si>
  <si>
    <t>열린시스템</t>
  </si>
  <si>
    <t>열린창</t>
  </si>
  <si>
    <t>열림기능성창호</t>
  </si>
  <si>
    <t>영광산업</t>
  </si>
  <si>
    <t>영광샷시부속</t>
  </si>
  <si>
    <t>영광하우징</t>
  </si>
  <si>
    <t>영남부속</t>
  </si>
  <si>
    <t>영남상회</t>
  </si>
  <si>
    <t>영남알미늄</t>
  </si>
  <si>
    <t>영남유리산업</t>
  </si>
  <si>
    <t>영남창호</t>
  </si>
  <si>
    <t>영남캐노픽스</t>
  </si>
  <si>
    <t>영동건설</t>
  </si>
  <si>
    <t>영동산업</t>
  </si>
  <si>
    <t>영등포구청</t>
  </si>
  <si>
    <t>영문건설</t>
  </si>
  <si>
    <t>영민금속</t>
  </si>
  <si>
    <t>영선알미늄</t>
  </si>
  <si>
    <t>영신</t>
  </si>
  <si>
    <t>영신종합상사</t>
  </si>
  <si>
    <t>영운기업</t>
  </si>
  <si>
    <t>영원엔지니어</t>
  </si>
  <si>
    <t>영은건업</t>
  </si>
  <si>
    <t>영인텍</t>
  </si>
  <si>
    <t>영주유리창호</t>
  </si>
  <si>
    <t>영진건설</t>
  </si>
  <si>
    <t>영진기업</t>
  </si>
  <si>
    <t>영진스틸텍</t>
  </si>
  <si>
    <t>영진시스템창호</t>
  </si>
  <si>
    <t>영창건업</t>
  </si>
  <si>
    <t>영테크</t>
  </si>
  <si>
    <t>영화건업</t>
  </si>
  <si>
    <t>영화샤시부속</t>
  </si>
  <si>
    <t>예광창호</t>
  </si>
  <si>
    <t>예나플러스</t>
  </si>
  <si>
    <t>예림샤시</t>
  </si>
  <si>
    <t>예림화학</t>
  </si>
  <si>
    <t>예선</t>
  </si>
  <si>
    <t>예스</t>
  </si>
  <si>
    <t>예울산업개발</t>
  </si>
  <si>
    <t>예원기업</t>
  </si>
  <si>
    <t>예은산업</t>
  </si>
  <si>
    <t>예인아트</t>
  </si>
  <si>
    <t>예인창호</t>
  </si>
  <si>
    <t>예일</t>
  </si>
  <si>
    <t>예진시스템창호</t>
  </si>
  <si>
    <t>예진창호-개인</t>
  </si>
  <si>
    <t>예진창호-대전</t>
  </si>
  <si>
    <t>오룡건설</t>
  </si>
  <si>
    <t>오성산업</t>
  </si>
  <si>
    <t>오성이엔씨토스템</t>
  </si>
  <si>
    <t>오성창호</t>
  </si>
  <si>
    <t>오케이건설</t>
  </si>
  <si>
    <t>오케이홈</t>
  </si>
  <si>
    <t>온월드트레이딩</t>
  </si>
  <si>
    <t>와우시스템창호</t>
  </si>
  <si>
    <t>와이디산업개발</t>
  </si>
  <si>
    <t>와이에이치금속</t>
  </si>
  <si>
    <t>와이제이이엔씨</t>
  </si>
  <si>
    <t>요건시스템</t>
  </si>
  <si>
    <t>용두상사</t>
  </si>
  <si>
    <t>용마건설</t>
  </si>
  <si>
    <t>용산창호</t>
  </si>
  <si>
    <t>용성상사</t>
  </si>
  <si>
    <t>용인스포츠클럽</t>
  </si>
  <si>
    <t>용인창호</t>
  </si>
  <si>
    <t>용진</t>
  </si>
  <si>
    <t>용진건업</t>
  </si>
  <si>
    <t>용현상사</t>
  </si>
  <si>
    <t>우경종합건설</t>
  </si>
  <si>
    <t>우공이산업</t>
  </si>
  <si>
    <t>우남개발</t>
  </si>
  <si>
    <t>우남퍼스트빌</t>
  </si>
  <si>
    <t>우대창호-폐업</t>
  </si>
  <si>
    <t>우리건설</t>
  </si>
  <si>
    <t>우리관리</t>
  </si>
  <si>
    <t>우리농장연구소</t>
  </si>
  <si>
    <t>우리산업</t>
  </si>
  <si>
    <t>우리시스템창호</t>
  </si>
  <si>
    <t>우리알미늄</t>
  </si>
  <si>
    <t>우리피앤에스</t>
  </si>
  <si>
    <t>우린테크-폐업</t>
  </si>
  <si>
    <t>우민산업개발</t>
  </si>
  <si>
    <t>우석시스템</t>
  </si>
  <si>
    <t>우성부속</t>
  </si>
  <si>
    <t>우성자동문</t>
  </si>
  <si>
    <t>우성창호</t>
  </si>
  <si>
    <t>우성창호산업</t>
  </si>
  <si>
    <t>우승알미늄</t>
  </si>
  <si>
    <t>우신건업</t>
  </si>
  <si>
    <t>우신윈시스템</t>
  </si>
  <si>
    <t>우영렉산금속</t>
  </si>
  <si>
    <t>우영이앤씨</t>
  </si>
  <si>
    <t>우영이엔지</t>
  </si>
  <si>
    <t>우영인테크</t>
  </si>
  <si>
    <t>우원테크</t>
  </si>
  <si>
    <t>우인산업</t>
  </si>
  <si>
    <t>우일기업</t>
  </si>
  <si>
    <t>우일창호</t>
  </si>
  <si>
    <t>우정기기</t>
  </si>
  <si>
    <t>우주피앤지</t>
  </si>
  <si>
    <t>우진</t>
  </si>
  <si>
    <t>우진기업</t>
  </si>
  <si>
    <t>우진메트로</t>
  </si>
  <si>
    <t>우진상사</t>
  </si>
  <si>
    <t>우진아이테크</t>
  </si>
  <si>
    <t>우진알미늄</t>
  </si>
  <si>
    <t>우진-울산</t>
  </si>
  <si>
    <t>우진창호개발</t>
  </si>
  <si>
    <t>우진창호산업</t>
  </si>
  <si>
    <t>울산시스템</t>
  </si>
  <si>
    <t>울산장애인체육관</t>
  </si>
  <si>
    <t>울타리창호</t>
  </si>
  <si>
    <t>워터웨이플러스</t>
  </si>
  <si>
    <t>원</t>
  </si>
  <si>
    <t>원광알미늄</t>
  </si>
  <si>
    <t>원남</t>
  </si>
  <si>
    <t>원석건설</t>
  </si>
  <si>
    <t>원일건업</t>
  </si>
  <si>
    <t>원일시스템창호</t>
  </si>
  <si>
    <t>원일엠로텍</t>
  </si>
  <si>
    <t>원진금속창호</t>
  </si>
  <si>
    <t>원진상사</t>
  </si>
  <si>
    <t>원진시스템-*</t>
  </si>
  <si>
    <t>원진알미늄</t>
  </si>
  <si>
    <t>원창샷시</t>
  </si>
  <si>
    <t>원창호</t>
  </si>
  <si>
    <t>원창호건설</t>
  </si>
  <si>
    <t>원커튼월</t>
  </si>
  <si>
    <t>월드금속</t>
  </si>
  <si>
    <t>월드상사</t>
  </si>
  <si>
    <t>월드창호</t>
  </si>
  <si>
    <t>월드창호-대구</t>
  </si>
  <si>
    <t>월드창호-전북</t>
  </si>
  <si>
    <t>월성카인테리어</t>
  </si>
  <si>
    <t>위드병원</t>
  </si>
  <si>
    <t>위드커튼월</t>
  </si>
  <si>
    <t>위호텔</t>
  </si>
  <si>
    <t>윈가람</t>
  </si>
  <si>
    <t>윈도어</t>
  </si>
  <si>
    <t>윈도우코리아</t>
  </si>
  <si>
    <t>윈도우테크</t>
  </si>
  <si>
    <t>윈스존</t>
  </si>
  <si>
    <t>윈스타트</t>
  </si>
  <si>
    <t>윈스틸</t>
  </si>
  <si>
    <t>윈즈</t>
  </si>
  <si>
    <t>윈체</t>
  </si>
  <si>
    <t>윈테크코리아</t>
  </si>
  <si>
    <t>윈파워</t>
  </si>
  <si>
    <t>윈플</t>
  </si>
  <si>
    <t>윈하우징</t>
  </si>
  <si>
    <t>유경건설</t>
  </si>
  <si>
    <t>유니가족펜션</t>
  </si>
  <si>
    <t>유니캠프</t>
  </si>
  <si>
    <t>유니콘미싱공업</t>
  </si>
  <si>
    <t>유니크시스템</t>
  </si>
  <si>
    <t>유명창호</t>
  </si>
  <si>
    <t>유성</t>
  </si>
  <si>
    <t>유성산업</t>
  </si>
  <si>
    <t>유성상사</t>
  </si>
  <si>
    <t>유성알미늄</t>
  </si>
  <si>
    <t>유성종합상사</t>
  </si>
  <si>
    <t>유성철물금속</t>
  </si>
  <si>
    <t>유승상사</t>
  </si>
  <si>
    <t>유신금속</t>
  </si>
  <si>
    <t>유신상사</t>
  </si>
  <si>
    <t>유원건설</t>
  </si>
  <si>
    <t>유은알미늄-폐업</t>
  </si>
  <si>
    <t>유일산업</t>
  </si>
  <si>
    <t>유일이엔씨</t>
  </si>
  <si>
    <t>유진디에스</t>
  </si>
  <si>
    <t>유진산업</t>
  </si>
  <si>
    <t>유진에스엔씨</t>
  </si>
  <si>
    <t>유진창호시스템</t>
  </si>
  <si>
    <t>유진프라임</t>
  </si>
  <si>
    <t>유투컴퍼니</t>
  </si>
  <si>
    <t>윤건축</t>
  </si>
  <si>
    <t>윤성기업</t>
  </si>
  <si>
    <t>율산개발</t>
  </si>
  <si>
    <t>융기</t>
  </si>
  <si>
    <t>은광산업</t>
  </si>
  <si>
    <t>은산알미늄</t>
  </si>
  <si>
    <t>은성금속산업-종료</t>
  </si>
  <si>
    <t>은성이앤씨</t>
  </si>
  <si>
    <t>은성창호건설</t>
  </si>
  <si>
    <t>은성테크닉스</t>
  </si>
  <si>
    <t>은성홀딩스</t>
  </si>
  <si>
    <t>은창건업</t>
  </si>
  <si>
    <t>은창기업</t>
  </si>
  <si>
    <t>은평뉴타운도서관</t>
  </si>
  <si>
    <t>은환산업</t>
  </si>
  <si>
    <t>을지하드웨어</t>
  </si>
  <si>
    <t>이건창호-2</t>
  </si>
  <si>
    <t>이노메이커</t>
  </si>
  <si>
    <t>이노텍</t>
  </si>
  <si>
    <t>이례</t>
  </si>
  <si>
    <t>이례아이스틸</t>
  </si>
  <si>
    <t>이룸창호산업</t>
  </si>
  <si>
    <t>이배</t>
  </si>
  <si>
    <t>이수창호</t>
  </si>
  <si>
    <t>이안창호</t>
  </si>
  <si>
    <t>이에스종합건설</t>
  </si>
  <si>
    <t>이에스창호</t>
  </si>
  <si>
    <t>이에스티(주)</t>
  </si>
  <si>
    <t>이에이치씨</t>
  </si>
  <si>
    <t>이엔엠산업</t>
  </si>
  <si>
    <t>이엔지시스템</t>
  </si>
  <si>
    <t>이오테크닉스</t>
  </si>
  <si>
    <t>이원창호</t>
  </si>
  <si>
    <t>이지데코</t>
  </si>
  <si>
    <t>이지테크</t>
  </si>
  <si>
    <t>이창공조</t>
  </si>
  <si>
    <t>이케이이앤지</t>
  </si>
  <si>
    <t>이편한세상신동탄</t>
  </si>
  <si>
    <t>이현산업</t>
  </si>
  <si>
    <t>이호건업</t>
  </si>
  <si>
    <t>익스월</t>
  </si>
  <si>
    <t>익진엔지니어링</t>
  </si>
  <si>
    <t>인덱스코리아</t>
  </si>
  <si>
    <t>인성건설</t>
  </si>
  <si>
    <t>인성샷시</t>
  </si>
  <si>
    <t>인성창호</t>
  </si>
  <si>
    <t>인스토리디자인</t>
  </si>
  <si>
    <t>인우산업</t>
  </si>
  <si>
    <t>인익스</t>
  </si>
  <si>
    <t>인인창호</t>
  </si>
  <si>
    <t>인주시스템</t>
  </si>
  <si>
    <t>인천샷시부속</t>
  </si>
  <si>
    <t>인천항공화물</t>
  </si>
  <si>
    <t>인코무역</t>
  </si>
  <si>
    <t>인터불고건설</t>
  </si>
  <si>
    <t>인트라디자인창호</t>
  </si>
  <si>
    <t>인트라상사</t>
  </si>
  <si>
    <t>D4A</t>
  </si>
  <si>
    <t>인트라테크</t>
  </si>
  <si>
    <t>인픽스</t>
  </si>
  <si>
    <t>일강이앤지</t>
  </si>
  <si>
    <t>일광</t>
  </si>
  <si>
    <t>일광건설</t>
  </si>
  <si>
    <t>일광창호</t>
  </si>
  <si>
    <t>일국기업</t>
  </si>
  <si>
    <t>일동제약</t>
  </si>
  <si>
    <t>일루쏘비성</t>
  </si>
  <si>
    <t>일산</t>
  </si>
  <si>
    <t>일상디자인</t>
  </si>
  <si>
    <t>일석</t>
  </si>
  <si>
    <t>일성공업사</t>
  </si>
  <si>
    <t>일성종합상사</t>
  </si>
  <si>
    <t>일성창호</t>
  </si>
  <si>
    <t>일승</t>
  </si>
  <si>
    <t>일신건축</t>
  </si>
  <si>
    <t>일신공영</t>
  </si>
  <si>
    <t>일신커튼월</t>
  </si>
  <si>
    <t>일신텔콤</t>
  </si>
  <si>
    <t>일윤금속</t>
  </si>
  <si>
    <t>일진공영창호</t>
  </si>
  <si>
    <t>일진윈테크</t>
  </si>
  <si>
    <t>일진유니스코</t>
  </si>
  <si>
    <t>일진하우징</t>
  </si>
  <si>
    <t>일호네트웍스</t>
  </si>
  <si>
    <t>일호창호</t>
  </si>
  <si>
    <t>자성산업</t>
  </si>
  <si>
    <t>자스민요양원</t>
  </si>
  <si>
    <t>자연창호-폐업</t>
  </si>
  <si>
    <t>잔다리마을1단지</t>
  </si>
  <si>
    <t>장송주식회사</t>
  </si>
  <si>
    <t>장원</t>
  </si>
  <si>
    <t>장원창호</t>
  </si>
  <si>
    <t>재령창호건설</t>
  </si>
  <si>
    <t>재성알미늄</t>
  </si>
  <si>
    <t>재승시스템창호</t>
  </si>
  <si>
    <t>재연</t>
  </si>
  <si>
    <t>재영건업</t>
  </si>
  <si>
    <t>재우이앤지</t>
  </si>
  <si>
    <t>전남창호-법인</t>
  </si>
  <si>
    <t>전북공업사</t>
  </si>
  <si>
    <t>전일공구볼트사</t>
  </si>
  <si>
    <t>전일상사</t>
  </si>
  <si>
    <t>전진기업</t>
  </si>
  <si>
    <t>전진기전</t>
  </si>
  <si>
    <t>전진상사</t>
  </si>
  <si>
    <t>점보산업</t>
  </si>
  <si>
    <t>점보알텍</t>
  </si>
  <si>
    <t>정담윈도우넷</t>
  </si>
  <si>
    <t>정도건설</t>
  </si>
  <si>
    <t>정도금속-*</t>
  </si>
  <si>
    <t>정민건설</t>
  </si>
  <si>
    <t>정상디자인</t>
  </si>
  <si>
    <t>정석</t>
  </si>
  <si>
    <t>정석에스텍</t>
  </si>
  <si>
    <t>정성기업</t>
  </si>
  <si>
    <t>정성종합상사</t>
  </si>
  <si>
    <t>정안샤시</t>
  </si>
  <si>
    <t>정안창호</t>
  </si>
  <si>
    <t>정암유치원</t>
  </si>
  <si>
    <t>정연철강</t>
  </si>
  <si>
    <t>정우건업</t>
  </si>
  <si>
    <t>정우공업</t>
  </si>
  <si>
    <t>정우부속</t>
  </si>
  <si>
    <t>정운산업</t>
  </si>
  <si>
    <t>정원부속</t>
  </si>
  <si>
    <t>정원산업</t>
  </si>
  <si>
    <t>정하커튼월</t>
  </si>
  <si>
    <t>정한건업</t>
  </si>
  <si>
    <t>정한창호</t>
  </si>
  <si>
    <t>정현</t>
  </si>
  <si>
    <t>정호상사</t>
  </si>
  <si>
    <t>제3스틸</t>
  </si>
  <si>
    <t>제드윈</t>
  </si>
  <si>
    <t>제스트</t>
  </si>
  <si>
    <t>S3A</t>
  </si>
  <si>
    <t>제우건업</t>
  </si>
  <si>
    <t>제원건업</t>
  </si>
  <si>
    <t>제이디파트너스</t>
  </si>
  <si>
    <t>제이비스틸</t>
  </si>
  <si>
    <t>제이앤티</t>
  </si>
  <si>
    <t>제이에스</t>
  </si>
  <si>
    <t>제이에스강건</t>
  </si>
  <si>
    <t>제이에스이엔지</t>
  </si>
  <si>
    <t>제이에스파사드</t>
  </si>
  <si>
    <t>제이에이텍1-폐업</t>
  </si>
  <si>
    <t>제이에이텍2-폐업</t>
  </si>
  <si>
    <t>제이엠상사</t>
  </si>
  <si>
    <t>제이제이산업</t>
  </si>
  <si>
    <t>제이케이-서울</t>
  </si>
  <si>
    <t>제이케이-휴업</t>
  </si>
  <si>
    <t>제이피에스</t>
  </si>
  <si>
    <t>제일산업</t>
  </si>
  <si>
    <t>제일설비</t>
  </si>
  <si>
    <t>제일시스템-폐업</t>
  </si>
  <si>
    <t>제일엔터프라이즈</t>
  </si>
  <si>
    <t>제일이엠씨</t>
  </si>
  <si>
    <t>제일창호</t>
  </si>
  <si>
    <t>제일창호건업</t>
  </si>
  <si>
    <t>제일창호-구미</t>
  </si>
  <si>
    <t>제일철물-성남</t>
  </si>
  <si>
    <t>제일철물-의정부</t>
  </si>
  <si>
    <t>제일테크-폐업</t>
  </si>
  <si>
    <t>제일하우징</t>
  </si>
  <si>
    <t>D3B</t>
  </si>
  <si>
    <t>제주기업</t>
  </si>
  <si>
    <t>제주스위첸아파트</t>
  </si>
  <si>
    <t>제현주식회사</t>
  </si>
  <si>
    <t>조광건업</t>
  </si>
  <si>
    <t>조광금속창호</t>
  </si>
  <si>
    <t>조양상사</t>
  </si>
  <si>
    <t>조원시스템</t>
  </si>
  <si>
    <t>조은건설산업</t>
  </si>
  <si>
    <t>조은금속</t>
  </si>
  <si>
    <t>조은다기능창호</t>
  </si>
  <si>
    <t>조은라온샷시</t>
  </si>
  <si>
    <t>조은시스템</t>
  </si>
  <si>
    <t>조은씨앤디</t>
  </si>
  <si>
    <t>조은테크</t>
  </si>
  <si>
    <t>조일에스티이</t>
  </si>
  <si>
    <t>조형건업</t>
  </si>
  <si>
    <t>종선에프에이</t>
  </si>
  <si>
    <t>종합창호</t>
  </si>
  <si>
    <t>좋은창호</t>
  </si>
  <si>
    <t>주도건설</t>
  </si>
  <si>
    <t>주복기업</t>
  </si>
  <si>
    <t>주성에이치앤디</t>
  </si>
  <si>
    <t>주식회사시공</t>
  </si>
  <si>
    <t>주안건설</t>
  </si>
  <si>
    <t>주연건업</t>
  </si>
  <si>
    <t>주연건업-법인</t>
  </si>
  <si>
    <t>주영산업</t>
  </si>
  <si>
    <t>주원스텐샷시부속</t>
  </si>
  <si>
    <t>주택건업</t>
  </si>
  <si>
    <t>주택관리공단</t>
  </si>
  <si>
    <t>준글래스</t>
  </si>
  <si>
    <t>준마산업</t>
  </si>
  <si>
    <t>준메탈-*</t>
  </si>
  <si>
    <t>준명와이앤에스</t>
  </si>
  <si>
    <t>준창호시스템</t>
  </si>
  <si>
    <t>중보</t>
  </si>
  <si>
    <t>중부산업</t>
  </si>
  <si>
    <t>중앙건설-대구</t>
  </si>
  <si>
    <t>중앙건설-전남</t>
  </si>
  <si>
    <t>중앙건업</t>
  </si>
  <si>
    <t>중앙기업</t>
  </si>
  <si>
    <t>중앙산업</t>
  </si>
  <si>
    <t>중앙알미늄-문경</t>
  </si>
  <si>
    <t>중앙알미늄-인천</t>
  </si>
  <si>
    <t>중앙알텍</t>
  </si>
  <si>
    <t>중앙창호시스템</t>
  </si>
  <si>
    <t>중앙툴스</t>
  </si>
  <si>
    <t>중앙하이텍</t>
  </si>
  <si>
    <t>중원엠엔지</t>
  </si>
  <si>
    <t>중인하우징</t>
  </si>
  <si>
    <t>중일</t>
  </si>
  <si>
    <t>중일건설</t>
  </si>
  <si>
    <t>증가교회</t>
  </si>
  <si>
    <t>지게니아</t>
  </si>
  <si>
    <t>지방고용노동청</t>
  </si>
  <si>
    <t>지비와이벧엘</t>
  </si>
  <si>
    <t>지석이엔지</t>
  </si>
  <si>
    <t>지선건업</t>
  </si>
  <si>
    <t>지성건축</t>
  </si>
  <si>
    <t>지안심리상담센터</t>
  </si>
  <si>
    <t>지앤비창호</t>
  </si>
  <si>
    <t>지에스드림</t>
  </si>
  <si>
    <t>지에스시스템창호</t>
  </si>
  <si>
    <t>지에이에이치</t>
  </si>
  <si>
    <t>지엔비호텔</t>
  </si>
  <si>
    <t>지엔씨건설</t>
  </si>
  <si>
    <t>지엘산업테크</t>
  </si>
  <si>
    <t>지엠에스</t>
  </si>
  <si>
    <t>지엠이엔지</t>
  </si>
  <si>
    <t>지영이앤씨</t>
  </si>
  <si>
    <t>지오드림</t>
  </si>
  <si>
    <t>지와이건축</t>
  </si>
  <si>
    <t>지원산업</t>
  </si>
  <si>
    <t>지원상사</t>
  </si>
  <si>
    <t>지원이앤에스</t>
  </si>
  <si>
    <t>지인건축</t>
  </si>
  <si>
    <t>지투산업-폐업</t>
  </si>
  <si>
    <t>지피토탈시스템</t>
  </si>
  <si>
    <t>진공업사</t>
  </si>
  <si>
    <t>진광</t>
  </si>
  <si>
    <t>진광창호개발</t>
  </si>
  <si>
    <t>진기기업</t>
  </si>
  <si>
    <t>진명건설</t>
  </si>
  <si>
    <t>진성기업</t>
  </si>
  <si>
    <t>진성-성주</t>
  </si>
  <si>
    <t>진성이엔씨</t>
  </si>
  <si>
    <t>진성이엔지</t>
  </si>
  <si>
    <t>진성-제주</t>
  </si>
  <si>
    <t>진성종합상사</t>
  </si>
  <si>
    <t>진성창호금속</t>
  </si>
  <si>
    <t>진에이텍</t>
  </si>
  <si>
    <t>진영산업</t>
  </si>
  <si>
    <t>진영상사</t>
  </si>
  <si>
    <t>진영판넬(주)</t>
  </si>
  <si>
    <t>진우상사-경기광주</t>
  </si>
  <si>
    <t>진우상사-천안</t>
  </si>
  <si>
    <t>진우시스템</t>
  </si>
  <si>
    <t>진우이엔씨</t>
  </si>
  <si>
    <t>진우창호</t>
  </si>
  <si>
    <t>진접금강펜테리움</t>
  </si>
  <si>
    <t>진정기업</t>
  </si>
  <si>
    <t>진주알미늄</t>
  </si>
  <si>
    <t>진토탈하우징</t>
  </si>
  <si>
    <t>진호판유리</t>
  </si>
  <si>
    <t>진흥창호</t>
  </si>
  <si>
    <t>착한기술연구소</t>
  </si>
  <si>
    <t>찬미산업개발</t>
  </si>
  <si>
    <t>찬우산업</t>
  </si>
  <si>
    <t>창건씨앤에프</t>
  </si>
  <si>
    <t>창경산업</t>
  </si>
  <si>
    <t>창경씨엠씨</t>
  </si>
  <si>
    <t>창과마루</t>
  </si>
  <si>
    <t>창과문</t>
  </si>
  <si>
    <t>창광알미늄</t>
  </si>
  <si>
    <t>창대상사</t>
  </si>
  <si>
    <t>창마루</t>
  </si>
  <si>
    <t>창명산업</t>
  </si>
  <si>
    <t>창문나라</t>
  </si>
  <si>
    <t>창문에안전</t>
  </si>
  <si>
    <t>창성이엔씨</t>
  </si>
  <si>
    <t>창영금속</t>
  </si>
  <si>
    <t>창우이엔지</t>
  </si>
  <si>
    <t>창원플랜</t>
  </si>
  <si>
    <t>창이야기-폐업</t>
  </si>
  <si>
    <t>창이엔지</t>
  </si>
  <si>
    <t>창일산업개발</t>
  </si>
  <si>
    <t>창작시스템</t>
  </si>
  <si>
    <t>창조상회</t>
  </si>
  <si>
    <t>창주씨제이</t>
  </si>
  <si>
    <t>창크레이딩-폐업</t>
  </si>
  <si>
    <t>창평건축사사무소</t>
  </si>
  <si>
    <t>창호랜드-법인</t>
  </si>
  <si>
    <t>창호월드</t>
  </si>
  <si>
    <t>창호유리마트</t>
  </si>
  <si>
    <t>창호이마트</t>
  </si>
  <si>
    <t>창호자재닷컴</t>
  </si>
  <si>
    <t>창희씨앤에스</t>
  </si>
  <si>
    <t>천광창호부속</t>
  </si>
  <si>
    <t>천년개발</t>
  </si>
  <si>
    <t>천마부속</t>
  </si>
  <si>
    <t>천성산업</t>
  </si>
  <si>
    <t>천수종합철물</t>
  </si>
  <si>
    <t>천안세무서</t>
  </si>
  <si>
    <t>천안종합상사</t>
  </si>
  <si>
    <t>천우금속</t>
  </si>
  <si>
    <t>천우스텐부속</t>
  </si>
  <si>
    <t>천일부속</t>
  </si>
  <si>
    <t>천하산업</t>
  </si>
  <si>
    <t>천하이엔씨</t>
  </si>
  <si>
    <t>천호</t>
  </si>
  <si>
    <t>천호기업</t>
  </si>
  <si>
    <t>철물건재하드웨어</t>
  </si>
  <si>
    <t>첨단한옥창호</t>
  </si>
  <si>
    <t>청광유리</t>
  </si>
  <si>
    <t>청담하우징</t>
  </si>
  <si>
    <t>청마창호</t>
  </si>
  <si>
    <t>청보산업개발</t>
  </si>
  <si>
    <t>청송중앙알미늄</t>
  </si>
  <si>
    <t>청송창호</t>
  </si>
  <si>
    <t>청수산업</t>
  </si>
  <si>
    <t>청암하우징</t>
  </si>
  <si>
    <t>청인</t>
  </si>
  <si>
    <t>청인창호</t>
  </si>
  <si>
    <t>청풍건설</t>
  </si>
  <si>
    <t>청풍건축공사</t>
  </si>
  <si>
    <t>청해건설</t>
  </si>
  <si>
    <t>청해산업</t>
  </si>
  <si>
    <t>충주종합상사</t>
  </si>
  <si>
    <t>충청건설산업</t>
  </si>
  <si>
    <t>칠백시스템</t>
  </si>
  <si>
    <t>칠성부속</t>
  </si>
  <si>
    <t>칠성알미늄상사</t>
  </si>
  <si>
    <t>카리스건설</t>
  </si>
  <si>
    <t>카츠코리아</t>
  </si>
  <si>
    <t>칸건설</t>
  </si>
  <si>
    <t>케이글라스</t>
  </si>
  <si>
    <t>케이비와이창호</t>
  </si>
  <si>
    <t>케이씨산업</t>
  </si>
  <si>
    <t>케이씨씨</t>
  </si>
  <si>
    <t>D1E</t>
  </si>
  <si>
    <t>케이씨씨-대전</t>
  </si>
  <si>
    <t>케이씨엠개발</t>
  </si>
  <si>
    <t>케이에스메이트</t>
  </si>
  <si>
    <t>케이에이치디자인</t>
  </si>
  <si>
    <t>케이엔제이</t>
  </si>
  <si>
    <t>케이엘시스템창호</t>
  </si>
  <si>
    <t>케이엘쏠라텍</t>
  </si>
  <si>
    <t>케이엠금속</t>
  </si>
  <si>
    <t>케이엠텍</t>
  </si>
  <si>
    <t>케이와이씨창호</t>
  </si>
  <si>
    <t>케이이엔지</t>
  </si>
  <si>
    <t>케이피티유</t>
  </si>
  <si>
    <t>켄텍</t>
  </si>
  <si>
    <t>코끼리상사</t>
  </si>
  <si>
    <t>코라스산업</t>
  </si>
  <si>
    <t>코레쉬트레이딩</t>
  </si>
  <si>
    <t>코리아빌딩-폐업</t>
  </si>
  <si>
    <t>코리아이플랫폼</t>
  </si>
  <si>
    <t>코엔스</t>
  </si>
  <si>
    <t>퀴앤비</t>
  </si>
  <si>
    <t>퀸즈코리아</t>
  </si>
  <si>
    <t>큐브월</t>
  </si>
  <si>
    <t>큐브텍</t>
  </si>
  <si>
    <t>킹스데일</t>
  </si>
  <si>
    <t>탄방엠블병원</t>
  </si>
  <si>
    <t>탐라스테이</t>
  </si>
  <si>
    <t>탑원산업</t>
  </si>
  <si>
    <t>태건</t>
  </si>
  <si>
    <t>태경기업</t>
  </si>
  <si>
    <t>태경산업</t>
  </si>
  <si>
    <t>태경창호</t>
  </si>
  <si>
    <t>태광건업</t>
  </si>
  <si>
    <t>태광건업-법인</t>
  </si>
  <si>
    <t>태광기업사</t>
  </si>
  <si>
    <t>태광시스템</t>
  </si>
  <si>
    <t>태광창호-폐업</t>
  </si>
  <si>
    <t>태림지이씨</t>
  </si>
  <si>
    <t>태민종합건설</t>
  </si>
  <si>
    <t>태성</t>
  </si>
  <si>
    <t>태성건설</t>
  </si>
  <si>
    <t>태성문백화점</t>
  </si>
  <si>
    <t>태성상사</t>
  </si>
  <si>
    <t>태성알미늄-상동</t>
  </si>
  <si>
    <t>태성알미늄-이현</t>
  </si>
  <si>
    <t>태성이앤씨</t>
  </si>
  <si>
    <t>태성이엔지</t>
  </si>
  <si>
    <t>태성창호</t>
  </si>
  <si>
    <t>태성창호-시흥</t>
  </si>
  <si>
    <t>태안비치</t>
  </si>
  <si>
    <t>태양금속</t>
  </si>
  <si>
    <t>태양산업</t>
  </si>
  <si>
    <t>태양알미늄</t>
  </si>
  <si>
    <t>태양종합상사</t>
  </si>
  <si>
    <t>태양창호</t>
  </si>
  <si>
    <t>태영디에스</t>
  </si>
  <si>
    <t>태영상사</t>
  </si>
  <si>
    <t>태영알미늄</t>
  </si>
  <si>
    <t>태영엔티</t>
  </si>
  <si>
    <t>태영엔티자재천사</t>
  </si>
  <si>
    <t>태영유리</t>
  </si>
  <si>
    <t>태영창호-대구</t>
  </si>
  <si>
    <t>태영창호산업</t>
  </si>
  <si>
    <t>태오기업</t>
  </si>
  <si>
    <t>태왕아너스</t>
  </si>
  <si>
    <t>태왕이앤씨</t>
  </si>
  <si>
    <t>태원산업</t>
  </si>
  <si>
    <t>태원산업건설</t>
  </si>
  <si>
    <t>태인실업</t>
  </si>
  <si>
    <t>태정</t>
  </si>
  <si>
    <t>태진알미늄</t>
  </si>
  <si>
    <t>태평금속</t>
  </si>
  <si>
    <t>태하시스템창호</t>
  </si>
  <si>
    <t>태혁산업</t>
  </si>
  <si>
    <t>태현상사</t>
  </si>
  <si>
    <t>태현윈도우</t>
  </si>
  <si>
    <t>태현창호</t>
  </si>
  <si>
    <t>태형</t>
  </si>
  <si>
    <t>테크날시스템</t>
  </si>
  <si>
    <t>테크윈</t>
  </si>
  <si>
    <t>통일하우시스</t>
  </si>
  <si>
    <t>트리플디자인</t>
  </si>
  <si>
    <t>티솔루션</t>
  </si>
  <si>
    <t>티에스알미늄</t>
  </si>
  <si>
    <t>티에스엠</t>
  </si>
  <si>
    <t>티엠에이</t>
  </si>
  <si>
    <t>티제이테크</t>
  </si>
  <si>
    <t>티케이알</t>
  </si>
  <si>
    <t>파르코오피스텔</t>
  </si>
  <si>
    <t>파인개발</t>
  </si>
  <si>
    <t>팔공건업</t>
  </si>
  <si>
    <t>팔공부속</t>
  </si>
  <si>
    <t>팔팔산업</t>
  </si>
  <si>
    <t>퍼지시스템원</t>
  </si>
  <si>
    <t>페트라유통</t>
  </si>
  <si>
    <t>평동창호</t>
  </si>
  <si>
    <t>평성건업</t>
  </si>
  <si>
    <t>평장산업개발</t>
  </si>
  <si>
    <t>평창종합상사</t>
  </si>
  <si>
    <t>평화건업(주)</t>
  </si>
  <si>
    <t>포미타운어린이집</t>
  </si>
  <si>
    <t>포항건강랜드</t>
  </si>
  <si>
    <t>푸른공업사</t>
  </si>
  <si>
    <t>푸른나라</t>
  </si>
  <si>
    <t>풍산하우징</t>
  </si>
  <si>
    <t>풍하상사</t>
  </si>
  <si>
    <t>퓨처하우징</t>
  </si>
  <si>
    <t>프리미엄디자인</t>
  </si>
  <si>
    <t>플로라윈도우-*</t>
  </si>
  <si>
    <t>피엔에스알미늄</t>
  </si>
  <si>
    <t>필로브</t>
  </si>
  <si>
    <t>하나건업</t>
  </si>
  <si>
    <t>하나교회</t>
  </si>
  <si>
    <t>하나기업</t>
  </si>
  <si>
    <t>하나님의교회</t>
  </si>
  <si>
    <t>하나로가구연합</t>
  </si>
  <si>
    <t>하나로샤시</t>
  </si>
  <si>
    <t>하나로시스템</t>
  </si>
  <si>
    <t>하나시스템</t>
  </si>
  <si>
    <t>하나유리창호</t>
  </si>
  <si>
    <t>하나유통</t>
  </si>
  <si>
    <t>하나창호-경산</t>
  </si>
  <si>
    <t>하나창호-칠곡</t>
  </si>
  <si>
    <t>하나창호-화성</t>
  </si>
  <si>
    <t>하나테크</t>
  </si>
  <si>
    <t>하나테크-천안</t>
  </si>
  <si>
    <t>하노이의아침</t>
  </si>
  <si>
    <t>하늘창호</t>
  </si>
  <si>
    <t>하람금속</t>
  </si>
  <si>
    <t>하루창호</t>
  </si>
  <si>
    <t>하민건축</t>
  </si>
  <si>
    <t>하얀창산업</t>
  </si>
  <si>
    <t>하운드호텔</t>
  </si>
  <si>
    <t>하원</t>
  </si>
  <si>
    <t>하은기업</t>
  </si>
  <si>
    <t>하이원시스템-폐업</t>
  </si>
  <si>
    <t>하이진</t>
  </si>
  <si>
    <t>하이코리아</t>
  </si>
  <si>
    <t>하이텍더블유앤디</t>
  </si>
  <si>
    <t>하이퍼윈도우</t>
  </si>
  <si>
    <t>학산기업</t>
  </si>
  <si>
    <t>한강창호유리</t>
  </si>
  <si>
    <t>한건</t>
  </si>
  <si>
    <t>한결금속</t>
  </si>
  <si>
    <t>한국공사</t>
  </si>
  <si>
    <t>한국도시개발</t>
  </si>
  <si>
    <t>한국도시개발산업</t>
  </si>
  <si>
    <t>한국메쉬</t>
  </si>
  <si>
    <t>한국보수물</t>
  </si>
  <si>
    <t>한국상공</t>
  </si>
  <si>
    <t>한국생산기술</t>
  </si>
  <si>
    <t>한국알미늄공사</t>
  </si>
  <si>
    <t>한국울트라산업-*</t>
  </si>
  <si>
    <t>한국유리하이샤시</t>
  </si>
  <si>
    <t>한국창호산업</t>
  </si>
  <si>
    <t>한국철도공사</t>
  </si>
  <si>
    <t>한국히로마도</t>
  </si>
  <si>
    <t>한길</t>
  </si>
  <si>
    <t>한길금속산업</t>
  </si>
  <si>
    <t>한길상사</t>
  </si>
  <si>
    <t>한길씨앤디</t>
  </si>
  <si>
    <t>한길케이씨엠</t>
  </si>
  <si>
    <t>한길하이샤시</t>
  </si>
  <si>
    <t>한남창호</t>
  </si>
  <si>
    <t>한동창호</t>
  </si>
  <si>
    <t>한라볼트</t>
  </si>
  <si>
    <t>한라엔테크-폐업</t>
  </si>
  <si>
    <t>한라종합공업</t>
  </si>
  <si>
    <t>한림건업</t>
  </si>
  <si>
    <t>한마금속산업</t>
  </si>
  <si>
    <t>한맥이엔씨</t>
  </si>
  <si>
    <t>한미외장</t>
  </si>
  <si>
    <t>한민금속-폐업</t>
  </si>
  <si>
    <t>한반도개발</t>
  </si>
  <si>
    <t>한백금속-남원</t>
  </si>
  <si>
    <t>한백금속-시흥</t>
  </si>
  <si>
    <t>한백산업</t>
  </si>
  <si>
    <t>한백커튼월</t>
  </si>
  <si>
    <t>한별산업개발-폐업</t>
  </si>
  <si>
    <t>한빛글로벌</t>
  </si>
  <si>
    <t>한빛창호-경산</t>
  </si>
  <si>
    <t>한빛창호-인천</t>
  </si>
  <si>
    <t>한샘건설</t>
  </si>
  <si>
    <t>한성공구샷시</t>
  </si>
  <si>
    <t>한성공업사</t>
  </si>
  <si>
    <t>한성산업</t>
  </si>
  <si>
    <t>한성상사</t>
  </si>
  <si>
    <t>한성시스템창호</t>
  </si>
  <si>
    <t>한성창호-검단</t>
  </si>
  <si>
    <t>한소망교회</t>
  </si>
  <si>
    <t>한솔건업</t>
  </si>
  <si>
    <t>한스</t>
  </si>
  <si>
    <t>한승-폐업</t>
  </si>
  <si>
    <t>한신부속-대전</t>
  </si>
  <si>
    <t>한신산업</t>
  </si>
  <si>
    <t>한양건업</t>
  </si>
  <si>
    <t>한양공영</t>
  </si>
  <si>
    <t>한양샷시</t>
  </si>
  <si>
    <t>한양창호</t>
  </si>
  <si>
    <t>한양홈샤시</t>
  </si>
  <si>
    <t>한영한마음아동</t>
  </si>
  <si>
    <t>한울산업</t>
  </si>
  <si>
    <t>한울시스템-폐업</t>
  </si>
  <si>
    <t>한울씨엔피-폐업</t>
  </si>
  <si>
    <t>한웅건철</t>
  </si>
  <si>
    <t>한일기업</t>
  </si>
  <si>
    <t>한일써너스</t>
  </si>
  <si>
    <t>한일유리집</t>
  </si>
  <si>
    <t>한일이앤지</t>
  </si>
  <si>
    <t>한일커튼월</t>
  </si>
  <si>
    <t>한중기업</t>
  </si>
  <si>
    <t>한진건업</t>
  </si>
  <si>
    <t>한진기업</t>
  </si>
  <si>
    <t>한진알미늄공업사</t>
  </si>
  <si>
    <t>한진종합상사(주)</t>
  </si>
  <si>
    <t>한진종합상사-서울</t>
  </si>
  <si>
    <t>한진창호</t>
  </si>
  <si>
    <t>한탑</t>
  </si>
  <si>
    <t>한화꿈에그린</t>
  </si>
  <si>
    <t>한화샤시산업</t>
  </si>
  <si>
    <t>한화엘앤씨</t>
  </si>
  <si>
    <t>한화인테리어</t>
  </si>
  <si>
    <t>한화창호</t>
  </si>
  <si>
    <t>해광금속</t>
  </si>
  <si>
    <t>해광금속-대구</t>
  </si>
  <si>
    <t>해남창호</t>
  </si>
  <si>
    <t>해동산업</t>
  </si>
  <si>
    <t>해성창호</t>
  </si>
  <si>
    <t>해송산업개발</t>
  </si>
  <si>
    <t>해인창호</t>
  </si>
  <si>
    <t>해준이앤지</t>
  </si>
  <si>
    <t>해창씨앤씨</t>
  </si>
  <si>
    <t>햇살바람호수</t>
  </si>
  <si>
    <t>햇살홈케어</t>
  </si>
  <si>
    <t>행성화학</t>
  </si>
  <si>
    <t>행운금속</t>
  </si>
  <si>
    <t>헤리움</t>
  </si>
  <si>
    <t>헬로우아이디어</t>
  </si>
  <si>
    <t>헬로퍼피</t>
  </si>
  <si>
    <t>헬파티엘에스</t>
  </si>
  <si>
    <t>혁신</t>
  </si>
  <si>
    <t>혁신산업-폐업</t>
  </si>
  <si>
    <t>현경창호</t>
  </si>
  <si>
    <t>현대건업</t>
  </si>
  <si>
    <t>현대건업사</t>
  </si>
  <si>
    <t>현대공업사</t>
  </si>
  <si>
    <t>현대부속-신정</t>
  </si>
  <si>
    <t>현대상사-안산</t>
  </si>
  <si>
    <t>현대상사-청원</t>
  </si>
  <si>
    <t>현대스마트</t>
  </si>
  <si>
    <t>현대스텐-경기</t>
  </si>
  <si>
    <t>현대스텐-대구</t>
  </si>
  <si>
    <t>현대스텐샷시</t>
  </si>
  <si>
    <t>현대알루미늄</t>
  </si>
  <si>
    <t>현대에스엔지</t>
  </si>
  <si>
    <t>현대이피</t>
  </si>
  <si>
    <t>현대자동문</t>
  </si>
  <si>
    <t>현대종합상사</t>
  </si>
  <si>
    <t>현대종합철물</t>
  </si>
  <si>
    <t>현대창호</t>
  </si>
  <si>
    <t>현대토탈시스템</t>
  </si>
  <si>
    <t>현대트랜시스</t>
  </si>
  <si>
    <t>현대플러스</t>
  </si>
  <si>
    <t>현도산업개발</t>
  </si>
  <si>
    <t>현민창호</t>
  </si>
  <si>
    <t>현성산업</t>
  </si>
  <si>
    <t>현성창호건설</t>
  </si>
  <si>
    <t>현웅건설</t>
  </si>
  <si>
    <t>현이엔지</t>
  </si>
  <si>
    <t>현일</t>
  </si>
  <si>
    <t>현전사</t>
  </si>
  <si>
    <t>현진기업</t>
  </si>
  <si>
    <t>협동건업</t>
  </si>
  <si>
    <t>협진시스템창호</t>
  </si>
  <si>
    <t>형우건업</t>
  </si>
  <si>
    <t>형제건업</t>
  </si>
  <si>
    <t>형제건업-안동</t>
  </si>
  <si>
    <t>형제부속</t>
  </si>
  <si>
    <t>형제샷시</t>
  </si>
  <si>
    <t>형제알미늄</t>
  </si>
  <si>
    <t>형제창호</t>
  </si>
  <si>
    <t>혜성이엔지-*</t>
  </si>
  <si>
    <t>혜성종합관리</t>
  </si>
  <si>
    <t>혜성창호</t>
  </si>
  <si>
    <t>혜인창호-포항</t>
  </si>
  <si>
    <t>호남강건</t>
  </si>
  <si>
    <t>호남금속</t>
  </si>
  <si>
    <t>호남창호-광주</t>
  </si>
  <si>
    <t>호남창호-제주</t>
  </si>
  <si>
    <t>호산종합건설</t>
  </si>
  <si>
    <t>호성건업</t>
  </si>
  <si>
    <t>호암산업</t>
  </si>
  <si>
    <t>호양금속창호</t>
  </si>
  <si>
    <t>호텔더원</t>
  </si>
  <si>
    <t>홀인원골프존</t>
  </si>
  <si>
    <t>홈공사</t>
  </si>
  <si>
    <t>홈샤시산업</t>
  </si>
  <si>
    <t>홍광창호</t>
  </si>
  <si>
    <t>홍성이엔씨</t>
  </si>
  <si>
    <t>홍원상사</t>
  </si>
  <si>
    <t>홍익디자인</t>
  </si>
  <si>
    <t>홍주이엔씨-*</t>
  </si>
  <si>
    <t>홍해개발</t>
  </si>
  <si>
    <t>화림상사</t>
  </si>
  <si>
    <t>화산기업-폐업</t>
  </si>
  <si>
    <t>화성강건</t>
  </si>
  <si>
    <t>화성금속</t>
  </si>
  <si>
    <t>화성테크윈</t>
  </si>
  <si>
    <t>화승건업</t>
  </si>
  <si>
    <t>화이트금속</t>
  </si>
  <si>
    <t>화인주택개발</t>
  </si>
  <si>
    <t>화진</t>
  </si>
  <si>
    <t>화진금속창호</t>
  </si>
  <si>
    <t>황제종합수리</t>
  </si>
  <si>
    <t>효성건업</t>
  </si>
  <si>
    <t>효성금속</t>
  </si>
  <si>
    <t>효성상사-신림</t>
  </si>
  <si>
    <t>효성알미늄</t>
  </si>
  <si>
    <t>효성정밀</t>
  </si>
  <si>
    <t>효승건설</t>
  </si>
  <si>
    <t>효시스템</t>
  </si>
  <si>
    <t>휴림</t>
  </si>
  <si>
    <t>휴먼인테리어</t>
  </si>
  <si>
    <t>휴미템</t>
  </si>
  <si>
    <t>흥화</t>
  </si>
  <si>
    <t>희성창호</t>
  </si>
  <si>
    <t>희승이엔지</t>
  </si>
  <si>
    <t>힘찬건설</t>
  </si>
  <si>
    <t>가원</t>
  </si>
  <si>
    <t>제주 제주시 도련남5길 62-28(도련일동)</t>
  </si>
  <si>
    <t>064-721-7157</t>
  </si>
  <si>
    <t>금하건업</t>
  </si>
  <si>
    <t>경기 김포시 감정동 489-14</t>
  </si>
  <si>
    <t>031-982-3213</t>
  </si>
  <si>
    <t>다금산업-폐업</t>
  </si>
  <si>
    <t>대성금속</t>
  </si>
  <si>
    <t>경기 남양주시 덕송2로 70-7, 609호(별내동, 스타프라자)</t>
  </si>
  <si>
    <t>031-527-7806</t>
  </si>
  <si>
    <t>대원기업-종료</t>
  </si>
  <si>
    <t>동해공조</t>
  </si>
  <si>
    <t>서울 금천구 시흥대로 97 (시흥동, 시흥산업용재유통센터 8동 122호)</t>
  </si>
  <si>
    <t>02-837-4703</t>
  </si>
  <si>
    <t>심도</t>
  </si>
  <si>
    <t>광주광역시 북구 운신남길 226(운암동)</t>
  </si>
  <si>
    <t>010-4601-0772</t>
  </si>
  <si>
    <t>아이빌공인중개사</t>
  </si>
  <si>
    <t>서울 동대문구 왕산로 52, 101동 101호(용두동, 신설동역대우아이빌)</t>
  </si>
  <si>
    <t>010-5386-7724</t>
  </si>
  <si>
    <t>에스투아이이앤지</t>
  </si>
  <si>
    <t>부산 해운대구 좌동순환로15번길 15-1, 2층(좌동)</t>
  </si>
  <si>
    <t>예진종합건설</t>
  </si>
  <si>
    <t>경기 남양주시 별내면 청학로 78, 2층 203호(청학스파빌)</t>
  </si>
  <si>
    <t>02-446-6035</t>
  </si>
  <si>
    <t>제이에스메탈</t>
  </si>
  <si>
    <t>경기 파주시 광탄면 소라울1길 201, 207</t>
  </si>
  <si>
    <t>031-954-2620</t>
  </si>
  <si>
    <t>하나알미늄상사</t>
  </si>
  <si>
    <t>대구 수성구 상동 46-1</t>
  </si>
  <si>
    <t>한남건축</t>
  </si>
  <si>
    <t>경북 경산시 용성면 용대로 203</t>
  </si>
  <si>
    <t>010-3544-1839</t>
  </si>
  <si>
    <t>한빛건설</t>
  </si>
  <si>
    <t>전남 장흥군 장흥읍 산단1로 53-40</t>
  </si>
  <si>
    <t>061-864-0485</t>
  </si>
  <si>
    <t>홍앤박디자인</t>
  </si>
  <si>
    <t>경기 오산시 수청로106번길 18-1, 1층 103호(금암동)</t>
  </si>
  <si>
    <t>031-374-7325</t>
  </si>
  <si>
    <t>구립요양원-폐업</t>
  </si>
  <si>
    <t>서울 용산구 독서당로 103(한남동)</t>
  </si>
  <si>
    <t>경기 이천시 부발읍 무촌로18번길 83</t>
  </si>
  <si>
    <t>네오디오에스</t>
  </si>
  <si>
    <t>서울 강남구 논현로124길 20, 1층(논현동)</t>
  </si>
  <si>
    <t>02-515-6851</t>
  </si>
  <si>
    <t>대도기업</t>
  </si>
  <si>
    <t>경기 시흥시 비둘기공원4길 13, 402호(대야동, 대야투유호엔플러스빌골드)</t>
  </si>
  <si>
    <t>031-311-3301</t>
  </si>
  <si>
    <t>명성건업</t>
  </si>
  <si>
    <t>충남 논산시 대림길7, 101동 1107호(부창동, 대림아파트)</t>
  </si>
  <si>
    <t>성원창호-고잔</t>
  </si>
  <si>
    <t>성원창호-수산</t>
  </si>
  <si>
    <t>인천 남동구 구수골로 42 (수산동)</t>
  </si>
  <si>
    <t>032-422-1474</t>
  </si>
  <si>
    <t>에스티앤지</t>
  </si>
  <si>
    <t>경기 수원시 팔달구 권광로 174 1309 (인계동, 수원인계자이오피스텔)</t>
  </si>
  <si>
    <t>031-235-1154</t>
  </si>
  <si>
    <t>영진사</t>
  </si>
  <si>
    <t>경남 창원시 마산합포구 진북면 지산5길 8</t>
  </si>
  <si>
    <t>055-271-7500</t>
  </si>
  <si>
    <t>오페라하우스</t>
  </si>
  <si>
    <t>서울 동대문구 약령중앙로 85-2(제기동)</t>
  </si>
  <si>
    <t>010-4656-3310</t>
  </si>
  <si>
    <t>온도호텔</t>
  </si>
  <si>
    <t>경남 진주시 상대동 197-7 1~7층</t>
  </si>
  <si>
    <t>위원</t>
  </si>
  <si>
    <t>경기도 김포시 김포한강11로 322, 더파크뷰 테라스 오피스텔 1동 232호(운양동)</t>
  </si>
  <si>
    <t>010-2982-7981</t>
  </si>
  <si>
    <t>조선이엔지</t>
  </si>
  <si>
    <t>경기 하남시 초일로 178, 3층(초일동, 한영빌딩)</t>
  </si>
  <si>
    <t>031-795-1019</t>
  </si>
  <si>
    <t>주찬기업</t>
  </si>
  <si>
    <t>경기 시흥시 서해안로1332번길 68-8(방산동)</t>
  </si>
  <si>
    <t>지엠</t>
  </si>
  <si>
    <t>경기 성남시 분당구 장미로 42, 8층 813호(야탑동, 야탑리더스)</t>
  </si>
  <si>
    <t>031-8017-1068</t>
  </si>
  <si>
    <t>서울 서대문구 경기대로9길 92, 2층(북아현동)</t>
  </si>
  <si>
    <t>한동대학교기숙사</t>
  </si>
  <si>
    <t>경북 포항시 북구 흥해읍 한동로 558</t>
  </si>
  <si>
    <t>한솔이엔지</t>
  </si>
  <si>
    <t>광주 북구 저불로73번길 22-11(용봉동)</t>
  </si>
  <si>
    <t>현대홈타운</t>
  </si>
  <si>
    <t>경기도 용인시 기흥구 마북로 124-9(마북동)</t>
  </si>
  <si>
    <t>031-284-6879</t>
  </si>
  <si>
    <t>흰</t>
  </si>
  <si>
    <t>서울 종로구 계동길 64, 2층 (계동)</t>
  </si>
  <si>
    <t>경기풍력닥트</t>
  </si>
  <si>
    <t>경기 용인시 처인구 중부대로 1709, 1층 103, 104호(마평동)</t>
  </si>
  <si>
    <t>031-322-7890</t>
  </si>
  <si>
    <t>꿈꾸는건축사</t>
  </si>
  <si>
    <t>전북 정읍시 충정로 220 (장명동)</t>
  </si>
  <si>
    <t>063-536-6060</t>
  </si>
  <si>
    <t>남선창호산업-목포</t>
  </si>
  <si>
    <t>남양주축협한우명가</t>
  </si>
  <si>
    <t>경기 남양주시 화도읍 창현로 47-1, 2층(2층)</t>
  </si>
  <si>
    <t>031-560-4812</t>
  </si>
  <si>
    <t>남일철물</t>
  </si>
  <si>
    <t>서울 서초구 방배천로6길 39-2(방배동)</t>
  </si>
  <si>
    <t>02-547-2330</t>
  </si>
  <si>
    <t>네이쳐이앤씨</t>
  </si>
  <si>
    <t>서울 강북구 도봉로 328, 1305호(번동, 가든타워오피스텔)</t>
  </si>
  <si>
    <t>02-3288-0114</t>
  </si>
  <si>
    <t>다빈치시스템창호</t>
  </si>
  <si>
    <t>인천 남동구 은청로 16-17, 5층 509호(고잔동, 승민빌딩)</t>
  </si>
  <si>
    <t>대구유리창호</t>
  </si>
  <si>
    <t>대구 동구 신기동 155-16</t>
  </si>
  <si>
    <t>010-7114-3303</t>
  </si>
  <si>
    <t>더온산업</t>
  </si>
  <si>
    <t>광주 광산구 무진대로 272-9, 407호 (우산동)</t>
  </si>
  <si>
    <t>062-385-3465</t>
  </si>
  <si>
    <t>동서</t>
  </si>
  <si>
    <t>경기 시흥시 신현로 463-1 (방산동)</t>
  </si>
  <si>
    <t>031-313-2200</t>
  </si>
  <si>
    <t>딜라이트호텔</t>
  </si>
  <si>
    <t>서울 송파구 오금로11길 21-9 (방이동)</t>
  </si>
  <si>
    <t>명성스텐샷시</t>
  </si>
  <si>
    <t>전남 광양시 광양읍 서평6길 1</t>
  </si>
  <si>
    <t>미강산업개발</t>
  </si>
  <si>
    <t>전북 완주군 봉동읍 봉동중앙로 73</t>
  </si>
  <si>
    <t>063-261-6444</t>
  </si>
  <si>
    <t>055-745-2304</t>
  </si>
  <si>
    <t>세영산업개발</t>
  </si>
  <si>
    <t>062-955-6719</t>
  </si>
  <si>
    <t>숲엔지니어링</t>
  </si>
  <si>
    <t>서울 강서구 공항대로 212, 4층 408,409호(마곡동, 문영 퀸즈파크11차)</t>
  </si>
  <si>
    <t>070-8800-1717</t>
  </si>
  <si>
    <t>신우종합상사</t>
  </si>
  <si>
    <t>경기 고양시 일산동구 진밭로 109, 바동 2호(성석동)</t>
  </si>
  <si>
    <t>031-907-8040</t>
  </si>
  <si>
    <t>아무르섬</t>
  </si>
  <si>
    <t>서울 마포구 동교로 26, 3층 우측(합정동, 상연빌딩)</t>
  </si>
  <si>
    <t>열린산업</t>
  </si>
  <si>
    <t>전북 군산시 구암3, 1로 354(구암동)</t>
  </si>
  <si>
    <t>010-5668-1357</t>
  </si>
  <si>
    <t>유한태영산업</t>
  </si>
  <si>
    <t>경기도 용인시 기흥구 서천서로20번길 4-1(서천동,1층)</t>
  </si>
  <si>
    <t>031-273-7373</t>
  </si>
  <si>
    <t>제이에이치금속</t>
  </si>
  <si>
    <t>하나건설</t>
  </si>
  <si>
    <t>전남 보성군 벌교읍 남하로 11-20</t>
  </si>
  <si>
    <t>061-462-7771</t>
  </si>
  <si>
    <t>가원건설</t>
  </si>
  <si>
    <t>광주 광산구 사암로 72-15, 1층 일부(신촌동)</t>
  </si>
  <si>
    <t>062-971-7989</t>
  </si>
  <si>
    <t>경문창호</t>
  </si>
  <si>
    <t>전북 익산시 목천로 56-35(목천동)</t>
  </si>
  <si>
    <t>경북방역공사</t>
  </si>
  <si>
    <t>경북 영천시 충효로 148(야사동)</t>
  </si>
  <si>
    <t>054-331-5200</t>
  </si>
  <si>
    <t>그린환경개발</t>
  </si>
  <si>
    <t>충북 충주시 연원11길 9 (연수동)</t>
  </si>
  <si>
    <t>금성노인요양원</t>
  </si>
  <si>
    <t>전남 담양군 금성면 석현길 23</t>
  </si>
  <si>
    <t>061-381-7901</t>
  </si>
  <si>
    <t>다올</t>
  </si>
  <si>
    <t>제주 서귀포시 색달중앙로 38 (색달동)</t>
  </si>
  <si>
    <t>대신창호</t>
  </si>
  <si>
    <t>충북 청주시 서원구 궁뜰로62번길 15(장성동)</t>
  </si>
  <si>
    <t>070-7784-9964</t>
  </si>
  <si>
    <t>대진공사</t>
  </si>
  <si>
    <t>경기 부천시 부천로122번길 30 (원미동)</t>
  </si>
  <si>
    <t>032-203-1949</t>
  </si>
  <si>
    <t>동희시스템</t>
  </si>
  <si>
    <t>대구 달성군 옥포읍 반송길 57</t>
  </si>
  <si>
    <t>메이원호텔</t>
  </si>
  <si>
    <t>서울 중구 명동10길 35-12(명동2가)</t>
  </si>
  <si>
    <t>멘토즈스터디카페</t>
  </si>
  <si>
    <t>서울 노원구 초안산로5길 12, 408, 409호(월계동, 월계프라자)</t>
  </si>
  <si>
    <t>010-3671-4885</t>
  </si>
  <si>
    <t>부광창호</t>
  </si>
  <si>
    <t>대구 달성군 화원읍 비슬로487길 6</t>
  </si>
  <si>
    <t>비앤비건설</t>
  </si>
  <si>
    <t>제주 제주시 광평중길 73(노형동)</t>
  </si>
  <si>
    <t>064-756-8040</t>
  </si>
  <si>
    <t>비피건설</t>
  </si>
  <si>
    <t>울산 북구 당수골26길 18(호계동)</t>
  </si>
  <si>
    <t>052-292-1006</t>
  </si>
  <si>
    <t>선기</t>
  </si>
  <si>
    <t>경기 광명시 목감로 182, 603호(광명동, 하림골든뷰)</t>
  </si>
  <si>
    <t>010-6576-1530</t>
  </si>
  <si>
    <t>010-6661-3691</t>
  </si>
  <si>
    <t>에이스금속</t>
  </si>
  <si>
    <t>에이치앤에이치</t>
  </si>
  <si>
    <t>서울 송파구 올림픽로43길 34, 106동 602호(풍납동, 잠실 올림픽공원 아이파크)</t>
  </si>
  <si>
    <t>02-929-9631</t>
  </si>
  <si>
    <t>에이치에비뉴호텔</t>
  </si>
  <si>
    <t>서울 성북구 동소문로 130(동선동1가)</t>
  </si>
  <si>
    <t>엠앤에이테크</t>
  </si>
  <si>
    <t>경기도 시흥시 목감둘레로 253-12, 210호(조남동)</t>
  </si>
  <si>
    <t>031-364-8336</t>
  </si>
  <si>
    <t>연세하임조리원</t>
  </si>
  <si>
    <t>충남 천안시 동남구 수곡2길 17-17, 4,5층(신방동)</t>
  </si>
  <si>
    <t>유림산업</t>
  </si>
  <si>
    <t>경북 포항시 북구 양덕로44번길 58(양덕동)</t>
  </si>
  <si>
    <t>054-255-0218</t>
  </si>
  <si>
    <t>유일라이트메탈-폐업</t>
  </si>
  <si>
    <t>유정철물</t>
  </si>
  <si>
    <t>경북 포항시 남구 중앙로77번길 3, 1층(해도동)</t>
  </si>
  <si>
    <t>이도이엔지</t>
  </si>
  <si>
    <t>광주 북구 문산로74번길 77(문흥동)</t>
  </si>
  <si>
    <t>062-513-7300</t>
  </si>
  <si>
    <t>지스코</t>
  </si>
  <si>
    <t>광주 광산구 임곡로 711-24(안청동)</t>
  </si>
  <si>
    <t>청운노인복지센터</t>
  </si>
  <si>
    <t>서울 동작구 국사봉1길 145(상도동, 디동)</t>
  </si>
  <si>
    <t>02-823-3833</t>
  </si>
  <si>
    <t>칸종합건설</t>
  </si>
  <si>
    <t>울산 남구 중앙로167번길 12, 802호(신정동)</t>
  </si>
  <si>
    <t>052-267-5871</t>
  </si>
  <si>
    <t>케이씨씨-본사</t>
  </si>
  <si>
    <t>서울 서초구 사평대로 344 (서초동)</t>
  </si>
  <si>
    <t>02-3479-3516</t>
  </si>
  <si>
    <t>케이엘산업</t>
  </si>
  <si>
    <t>울산 울주군 언양읍 반천산업로 13(금강창호기공)</t>
  </si>
  <si>
    <t>크리에이티브공존</t>
  </si>
  <si>
    <t>서울 광진구 천호대로 629, 3층(중곡동, 대영빌딩)</t>
  </si>
  <si>
    <t>070-4888-6211</t>
  </si>
  <si>
    <t>헤이</t>
  </si>
  <si>
    <t>광주 동구 서석로7번길 6-34(불로동)</t>
  </si>
  <si>
    <t>062-227-9002</t>
  </si>
  <si>
    <t>가인건축디자인</t>
  </si>
  <si>
    <t>대구 달성군 옥포면 비슬로431길 14</t>
  </si>
  <si>
    <t>강일리버파크</t>
  </si>
  <si>
    <t>서울 강동구 고덕로 97길 29(강일동)</t>
  </si>
  <si>
    <t>010-9481-3252</t>
  </si>
  <si>
    <t>대구 달성군 옥포읍 금계길 115</t>
  </si>
  <si>
    <t>제주도 서귀포시 중산간동로 7894번길 26(동홍동)</t>
  </si>
  <si>
    <t>대구 동구 입석로 83-28(검사동)</t>
  </si>
  <si>
    <t>전북 전주시 덕진구 동부대로 870</t>
  </si>
  <si>
    <t>대한기업-울산</t>
  </si>
  <si>
    <t>대한기업-진주</t>
  </si>
  <si>
    <t>경남 진주시 이반성면 진마대로2498번길 9-19</t>
  </si>
  <si>
    <t>055-743-9977</t>
  </si>
  <si>
    <t>서울 양천구 목동로 203(신정동)</t>
  </si>
  <si>
    <t>010-5711-0369</t>
  </si>
  <si>
    <t>삼부르네상스관리단</t>
  </si>
  <si>
    <t>충남 천안시 동남구 만남로 72(신부동, 삼부르네상스사무실)</t>
  </si>
  <si>
    <t>041-568-7611</t>
  </si>
  <si>
    <t>성보건설</t>
  </si>
  <si>
    <t>전남 순천시 대석3길 16-1, 2층(연향동)</t>
  </si>
  <si>
    <t>061-725-8836</t>
  </si>
  <si>
    <t>세안피엠씨강정</t>
  </si>
  <si>
    <t>제주 서귀포시 김정문화로27번길 9-7, 210호 (강정동, 제주웨스턴그레이스호텔)(강정동)</t>
  </si>
  <si>
    <t>대구 달성군 옥포읍 교항4길 46-1</t>
  </si>
  <si>
    <t>에스케이드림</t>
  </si>
  <si>
    <t>경기 부천시 소삼로 46, A동 13층 1304호(소사본동, 드림타워)</t>
  </si>
  <si>
    <t>010-7166-4361</t>
  </si>
  <si>
    <t>우성시스템창호-폐업D4D</t>
  </si>
  <si>
    <t>원일오토</t>
  </si>
  <si>
    <t>서울 금천구 시흥대로 97, 31동 241호(시흥동, 시흥유통상가)</t>
  </si>
  <si>
    <t>02-805-6535</t>
  </si>
  <si>
    <t>필로브이엔씨</t>
  </si>
  <si>
    <t>대구 북구 연암로 100-1(산격동)</t>
  </si>
  <si>
    <t>1668-3432</t>
  </si>
  <si>
    <t>한국시스템창-폐업</t>
  </si>
  <si>
    <t>현대창호산업</t>
  </si>
  <si>
    <t>전북 전주시 완산구 석산마을길 26(삼천동3가)</t>
  </si>
  <si>
    <t>063-228-2597</t>
  </si>
  <si>
    <t>호유종합건설-휴업</t>
  </si>
  <si>
    <t>효성창호공사</t>
  </si>
  <si>
    <t>충남 논산시 광석면 갈산4길 19</t>
  </si>
  <si>
    <t>010-5425-0970</t>
  </si>
  <si>
    <t>22.02.10 변경</t>
    <phoneticPr fontId="28" type="noConversion"/>
  </si>
  <si>
    <t>대구 달서구 월암동 914-5, 삼성유화 내</t>
  </si>
  <si>
    <t>남원세무서</t>
  </si>
  <si>
    <t>전북 남원시 동림로 91-1(향교동)</t>
  </si>
  <si>
    <t>경기 부천시 석천로 322-3, 1층(약대동)</t>
  </si>
  <si>
    <t>대창하우징</t>
  </si>
  <si>
    <t>경북 포항시 북구 청하면 미남리 793-1</t>
  </si>
  <si>
    <t>054-244-0377</t>
  </si>
  <si>
    <t>더비경프라이빗</t>
  </si>
  <si>
    <t>경북 예천군 풍양면 덕암로 1123-33</t>
  </si>
  <si>
    <t>동현창호금속</t>
  </si>
  <si>
    <t>인천 남동구 문화서로23번길 63, 1층 5호(구월동)</t>
  </si>
  <si>
    <t>010-4179-1858</t>
  </si>
  <si>
    <t>충북 제천시 탑안로16길 21(고암동)</t>
  </si>
  <si>
    <t>신라에이치엠</t>
  </si>
  <si>
    <t>엠에스창호</t>
  </si>
  <si>
    <t>울산 남구 문수로314번길 11 101-1701(옥동, 옥동서광아파트)</t>
  </si>
  <si>
    <t>010-6589-8000</t>
  </si>
  <si>
    <t>경기 용인시 수지구 죽전로 267, 902동 1604호(죽전동, 내대지마을건영캐스빌)</t>
  </si>
  <si>
    <t>지디알고척골프</t>
  </si>
  <si>
    <t>서울 구로구 경인로 387, 801,802,803호(고척동, 스카이타워)</t>
  </si>
  <si>
    <t>02-2611-4547</t>
  </si>
  <si>
    <t>지비샤시</t>
  </si>
  <si>
    <t>경기 하남시 산곡동로106번길 12(하산곡동)</t>
  </si>
  <si>
    <t>031-795-3105</t>
  </si>
  <si>
    <t>지오인테리어</t>
  </si>
  <si>
    <t>제주 제주시 서사로18길 27-1(삼도일동)</t>
  </si>
  <si>
    <t>010-5721-8888</t>
  </si>
  <si>
    <t>토가건축사사무소</t>
  </si>
  <si>
    <t>서울 양천구 오목로38길 23-13, 101호(신정동)</t>
  </si>
  <si>
    <t>010-8591-7081</t>
  </si>
  <si>
    <t>플러스</t>
  </si>
  <si>
    <t>전북 전주시 완산구 난전들로 139-9, 1층 101호(평화동3가)</t>
  </si>
  <si>
    <t>경북 영천시 대창면 장곡길 5</t>
  </si>
  <si>
    <t>대구 서구 와룡로99길 10(이현동)</t>
  </si>
  <si>
    <t>그린나래</t>
  </si>
  <si>
    <t>강원 춘천시 동산면 조양리 산 199</t>
  </si>
  <si>
    <t>글로엠씨</t>
  </si>
  <si>
    <t>경남 창원시 성산구 중앙대로 69, 지하1층(중앙동)</t>
  </si>
  <si>
    <t>도천</t>
  </si>
  <si>
    <t>동양종합상사-서울</t>
  </si>
  <si>
    <t>동양종합상사-인천</t>
  </si>
  <si>
    <t>물댄동산</t>
  </si>
  <si>
    <t>전남 여수시 충무로 54(충무동)</t>
  </si>
  <si>
    <t>발리농원</t>
  </si>
  <si>
    <t>울산 울주군 온양읍 발리 87</t>
  </si>
  <si>
    <t>봉성유리</t>
  </si>
  <si>
    <t>대구 북구 노원로 159(노원동3가)</t>
  </si>
  <si>
    <t>053-341-0100</t>
  </si>
  <si>
    <t>브룩스</t>
  </si>
  <si>
    <t>경남 통영시 통영해안로 407(정량동)</t>
  </si>
  <si>
    <t>세림이앤지</t>
  </si>
  <si>
    <t>서울 서대문구 북아현로 61, 3층(북아현동)</t>
  </si>
  <si>
    <t>세종인터내셔널</t>
  </si>
  <si>
    <t>경기 안양시 만안구 안양로532번길 16, 상가동 지하1층 105호(석수동, 현대아파트 상가동)</t>
  </si>
  <si>
    <t>031-471-6198</t>
  </si>
  <si>
    <t>신창조기업</t>
  </si>
  <si>
    <t>경기 하남시 항동 455-8</t>
  </si>
  <si>
    <t>아르떼뮤직</t>
  </si>
  <si>
    <t>서울 서초구 반포대로7길 13, 301호(서초동)</t>
  </si>
  <si>
    <t>010-9179-1352</t>
  </si>
  <si>
    <t>에즈테크</t>
  </si>
  <si>
    <t>인천광역시 부평구 원적로471번길 10, 2층(부평동)</t>
  </si>
  <si>
    <t>010-2922-3346</t>
  </si>
  <si>
    <t>우리들요양병원</t>
  </si>
  <si>
    <t>경기 동두천시 삼육사로 747(상패동)</t>
  </si>
  <si>
    <t>031-861-5733</t>
  </si>
  <si>
    <t>경기 남양주시 순화궁로 576-3(별내동)</t>
  </si>
  <si>
    <t>진흥기업</t>
  </si>
  <si>
    <t>인천 연수구 컨벤시아대로 69(송도동, 송도밀레니엄 807호)</t>
  </si>
  <si>
    <t>전북 전주시 덕진구 원산정길 98, 1층(산정동)</t>
  </si>
  <si>
    <t>청도기업</t>
  </si>
  <si>
    <t>대구 동구 팔공로23길 25-2 (불로동)</t>
  </si>
  <si>
    <t>청운건업</t>
  </si>
  <si>
    <t>경북 포항시 북구 송라면 봉화길57번길 1</t>
  </si>
  <si>
    <t>경북 경산시 옥실길 179(옥곡동)</t>
  </si>
  <si>
    <t>코렌아트</t>
  </si>
  <si>
    <t>충북 청주시 청원구 외남로 149(외평동)</t>
  </si>
  <si>
    <t>1566-5015</t>
  </si>
  <si>
    <t>태인테크</t>
  </si>
  <si>
    <t>서울 구로구 구로중앙로 198, 28동 110호(구로동, D블럭)</t>
  </si>
  <si>
    <t>02-2679-6770</t>
  </si>
  <si>
    <t>화산알텍-폐업</t>
  </si>
  <si>
    <t>강일푸르내</t>
  </si>
  <si>
    <t>서울 강동구 상일로12길 95(강일동, 관리사무실)</t>
  </si>
  <si>
    <t>02-428-0996</t>
  </si>
  <si>
    <t>금강건재산업</t>
  </si>
  <si>
    <t>세종 조치원읍 새내로 66, 1층 4,5호</t>
  </si>
  <si>
    <t>044-865-8668</t>
  </si>
  <si>
    <t>누리공사</t>
  </si>
  <si>
    <t>경기 고양시 덕양구 해포길 38-13(현천동)</t>
  </si>
  <si>
    <t>02-3159-1677</t>
  </si>
  <si>
    <t>동신스텐철물상사</t>
  </si>
  <si>
    <t>경남 진주시 상평동 203-20</t>
  </si>
  <si>
    <t>055-753-0840</t>
  </si>
  <si>
    <t>드림상사-폐업</t>
  </si>
  <si>
    <t>명보산업</t>
  </si>
  <si>
    <t>광주 북구 중가로3번길 25, 201호(임동, 국제미소래)</t>
  </si>
  <si>
    <t>062-526-1125</t>
  </si>
  <si>
    <t>서울 종로구 종로31길 23, 105호(인의동, 대성빌딩)</t>
  </si>
  <si>
    <t>부강건축</t>
  </si>
  <si>
    <t>경북 경주시 양남면 망정길 11-60</t>
  </si>
  <si>
    <t>054-743-1006</t>
  </si>
  <si>
    <t>브라운도트호텔</t>
  </si>
  <si>
    <t>부산 해운대구 송정광어골로 30(송정동)</t>
  </si>
  <si>
    <t>삼육어학원</t>
  </si>
  <si>
    <t>경기도 용인시 기흥구 동백죽전대로527번길 67(중동,롯데캐슬애코아파트2단지 근린상가 201호, 301호)</t>
  </si>
  <si>
    <t>010-9117-8134</t>
  </si>
  <si>
    <t>삼평종합상사</t>
  </si>
  <si>
    <t>제주 서귀포시 문부로 9 (동홍동)</t>
  </si>
  <si>
    <t>064-733-1113</t>
  </si>
  <si>
    <t>수연창호</t>
  </si>
  <si>
    <t>대구 달성군 다사읍 서재로12길 15</t>
  </si>
  <si>
    <t>053-559-0020</t>
  </si>
  <si>
    <t>스탭리더스</t>
  </si>
  <si>
    <t>제주 서귀포시 태평로 347(서귀동)</t>
  </si>
  <si>
    <t>신성창호</t>
  </si>
  <si>
    <t>충남 천안시 서북구 성거읍 소우리 205-66</t>
  </si>
  <si>
    <t>대구 동구 옻골로8길 17-1(부동)</t>
  </si>
  <si>
    <t>예광</t>
  </si>
  <si>
    <t>강원 춘천시 옥산포길 17-7, 1층(사농동)</t>
  </si>
  <si>
    <t>033-241-0830</t>
  </si>
  <si>
    <t>위영</t>
  </si>
  <si>
    <t>인천 서구 금호로 29, 1층일부(오류동)</t>
  </si>
  <si>
    <t>032-565-3454</t>
  </si>
  <si>
    <t>장수건업</t>
  </si>
  <si>
    <t>경기 김포시 월곶면 군하로 230-4</t>
  </si>
  <si>
    <t>장수이앤지</t>
  </si>
  <si>
    <t>대구 달성군 논공읍 금강로10길 38</t>
  </si>
  <si>
    <t>053-611-3459</t>
  </si>
  <si>
    <t>전병준</t>
  </si>
  <si>
    <t>서울 금천구 범안로 1130, 2층 201호(가산동, 디지털엠파이어빌딩)</t>
  </si>
  <si>
    <t>070-4659-3394</t>
  </si>
  <si>
    <t>젬아이디</t>
  </si>
  <si>
    <t>서울 도봉구 방학로5길 9-32, 301호(방학동, 성우테크노빌)</t>
  </si>
  <si>
    <t>010-5311-9771</t>
  </si>
  <si>
    <t>지에이치건설산업</t>
  </si>
  <si>
    <t>칼리버스</t>
  </si>
  <si>
    <t>서울 강남구 선릉로146길 27-7(청담동)</t>
  </si>
  <si>
    <t>02-514-5007</t>
  </si>
  <si>
    <t>태성금속</t>
  </si>
  <si>
    <t>충남 계룡시 두마면 팥거리로 43-22</t>
  </si>
  <si>
    <t>010-8415-8415</t>
  </si>
  <si>
    <t>한라종합기계공구</t>
  </si>
  <si>
    <t>충남 논산시 연산면 연산1길 5-3</t>
  </si>
  <si>
    <t>041-732-0942</t>
  </si>
  <si>
    <t>함안유리</t>
  </si>
  <si>
    <t>경남 창원시 마산합포구 합포서13길 28(상남동)</t>
  </si>
  <si>
    <t>국가대표건물관리</t>
  </si>
  <si>
    <t>충북 청주시 흥덕구 송화로150번길 25-6, 401호(송정동)</t>
  </si>
  <si>
    <t>010-5576-0153</t>
  </si>
  <si>
    <t>그린시스템창호</t>
  </si>
  <si>
    <t>인천 서구 중봉대로 610, 401호(청라동, 마루힐프라자)</t>
  </si>
  <si>
    <t>070-8239-4652</t>
  </si>
  <si>
    <t>라산건업</t>
  </si>
  <si>
    <t>제주 제주시 애월읍 유수암로1길 1, 1층</t>
  </si>
  <si>
    <t>064-799-4567</t>
  </si>
  <si>
    <t>범물노인복지관</t>
  </si>
  <si>
    <t>대구 수성구 범안로 99 (범물동)</t>
  </si>
  <si>
    <t>053-767-1288</t>
  </si>
  <si>
    <t>보공건설</t>
  </si>
  <si>
    <t>대전 동구 용대길 18(판암동)</t>
  </si>
  <si>
    <t>010-9692-2528</t>
  </si>
  <si>
    <t>삼성미즈병원</t>
  </si>
  <si>
    <t>충남 아산 배방읍 희망로46번길 16, 지하1~4층,지상2~6층,10층</t>
  </si>
  <si>
    <t>수원지방법원</t>
  </si>
  <si>
    <t>경기 여주시 현암로 21-12(현암동)</t>
  </si>
  <si>
    <t>031-880-7519</t>
  </si>
  <si>
    <t>에스앤제이</t>
  </si>
  <si>
    <t>전북 전주시 덕진구 견휜로 215(인후동1가)</t>
  </si>
  <si>
    <t>010-5801-0380</t>
  </si>
  <si>
    <t>에스에이치창호</t>
  </si>
  <si>
    <t>경남 합천군 대양면 대야로 615</t>
  </si>
  <si>
    <t>055-932-8800</t>
  </si>
  <si>
    <t>에스지에스</t>
  </si>
  <si>
    <t>070-4274-3303</t>
  </si>
  <si>
    <t>에이치세븐건설</t>
  </si>
  <si>
    <t>경기 하남시 미사강변중앙로 210, 1002호(망월동, 메디피아타워)</t>
  </si>
  <si>
    <t>070-8861-7337</t>
  </si>
  <si>
    <t>우림산업</t>
  </si>
  <si>
    <t>광주 광산구 수등로94번길 31 104-1002 (신가동, 대성베르힐)</t>
  </si>
  <si>
    <t>010-4522-4777</t>
  </si>
  <si>
    <t>우진창호-강원</t>
  </si>
  <si>
    <t>우진창호-광주</t>
  </si>
  <si>
    <t>광주 북구 하남대로 483(동림동)</t>
  </si>
  <si>
    <t>062-512-2436</t>
  </si>
  <si>
    <t>우진창호-전북</t>
  </si>
  <si>
    <t>유림공업사</t>
  </si>
  <si>
    <t>부산 기장군 기장읍 차성남로96번길 80</t>
  </si>
  <si>
    <t>이에스인테리어</t>
  </si>
  <si>
    <t>경기 의정부시 신촌로39번길 9, 1층(가능동)</t>
  </si>
  <si>
    <t>010-8673-0451</t>
  </si>
  <si>
    <t>자안디자인</t>
  </si>
  <si>
    <t>서울 송파구 백제고분로 426, 303호(송파동, 백상빌딩)</t>
  </si>
  <si>
    <t>02-579-0473</t>
  </si>
  <si>
    <t>장우산업</t>
  </si>
  <si>
    <t>경기 광명시 광남로 138(옥길동)</t>
  </si>
  <si>
    <t>02-2682-6333</t>
  </si>
  <si>
    <t>지한산업개발</t>
  </si>
  <si>
    <t>광주 서구 마륵벽진길 45 (마륵동)</t>
  </si>
  <si>
    <t>062-373-6873</t>
  </si>
  <si>
    <t>창성건공</t>
  </si>
  <si>
    <t>경기 구리시 체육관로 40, 301동 1505호(수택동)</t>
  </si>
  <si>
    <t>031-510-6037</t>
  </si>
  <si>
    <t>부산 금정구 중앙대로 1706(부곡동)</t>
  </si>
  <si>
    <t>호텔롯데엘세븐</t>
  </si>
  <si>
    <t>서울 강남구 테헤란로 415(삼성동)</t>
  </si>
  <si>
    <t>02-2011-1018</t>
  </si>
  <si>
    <t>****** 2022.07.01 Version ******</t>
    <phoneticPr fontId="1" type="noConversion"/>
  </si>
  <si>
    <t>경북 경주시 용강동 1331-1</t>
  </si>
  <si>
    <t>건우</t>
  </si>
  <si>
    <t>경기 양주시 만송로 387 (만송동)</t>
  </si>
  <si>
    <t>건창시스템</t>
  </si>
  <si>
    <t>경기 안산시 상록구 오리물길 26-15, (양상동) 202호(양상동)</t>
  </si>
  <si>
    <t>031-475-7055</t>
  </si>
  <si>
    <t>공간디자인담</t>
  </si>
  <si>
    <t>서울 광진구 자양로 75, 5층(자양동, 삼원빌딩)</t>
  </si>
  <si>
    <t>02-6925-6523</t>
  </si>
  <si>
    <t>국영유리공업사</t>
  </si>
  <si>
    <t>강원 원주시 오리현길 203 (행구동)</t>
  </si>
  <si>
    <t>033-745-3994</t>
  </si>
  <si>
    <t>대일샷시</t>
  </si>
  <si>
    <t>충남 아산시 곡교천로27번길 24-3, 1층(실옥동)</t>
  </si>
  <si>
    <t>010-5403-4583</t>
  </si>
  <si>
    <t>동신대학한방병원</t>
  </si>
  <si>
    <t>전남 나주시 교육길 14(빛가람동)</t>
  </si>
  <si>
    <t>061-338-7808</t>
  </si>
  <si>
    <t>서울 서초구 방배천로24길 41, 1층 (방배동)</t>
  </si>
  <si>
    <t>동원부속-폐업</t>
  </si>
  <si>
    <t>미성티아이디</t>
  </si>
  <si>
    <t>인천 남동구 은봉로 58, 307호 (논현동)</t>
  </si>
  <si>
    <t>032-834-2486</t>
  </si>
  <si>
    <t>미와창</t>
  </si>
  <si>
    <t>경북 경주시 백률로 18, 2층 동편 (동천동)</t>
  </si>
  <si>
    <t>054-777-2637</t>
  </si>
  <si>
    <t>민영창호</t>
  </si>
  <si>
    <t>경기 화성시 남양읍 주석로80번길 84-2</t>
  </si>
  <si>
    <t>010-7153-8447</t>
  </si>
  <si>
    <t>엔케이</t>
  </si>
  <si>
    <t>경기 용인시 처인구 원삼면 원양로 249, 1,2호</t>
  </si>
  <si>
    <t>054-443-6087</t>
  </si>
  <si>
    <t>서울 서초구 언남길 39(양재동, 삼승빌딩 2층)</t>
  </si>
  <si>
    <t>이송건설</t>
  </si>
  <si>
    <t>충북 청주시 상당구 원봉로 21, 101동 104호(용암동,소라아파트)</t>
  </si>
  <si>
    <t>인성샤시-개인</t>
  </si>
  <si>
    <t>경기 양주시 은현면 화합로1080번길 201</t>
  </si>
  <si>
    <t>031-542-2974</t>
  </si>
  <si>
    <t>인성샤시-법인</t>
  </si>
  <si>
    <t>경기 포천시 소흘읍 송우리 577-7</t>
  </si>
  <si>
    <t>정우이엔지</t>
  </si>
  <si>
    <t>경기 하남시 초일로 401-23, 1층(초일동)</t>
  </si>
  <si>
    <t>031-791-7484</t>
  </si>
  <si>
    <t>제일기업</t>
  </si>
  <si>
    <t>경기 용인시 기흥구 이현로29번길 46-4, 101호(보정동)</t>
  </si>
  <si>
    <t>조움건축디자인</t>
  </si>
  <si>
    <t>대구 달서구 월배로68길 100(송현동)</t>
  </si>
  <si>
    <t>인천 남동구 경인로 545, 3층(간석동)</t>
  </si>
  <si>
    <t>032-423-0924</t>
  </si>
  <si>
    <t>태경스텐상사</t>
  </si>
  <si>
    <t>경북 구미시 칠성로 62(원평동)</t>
  </si>
  <si>
    <t>퍼플인테리어</t>
  </si>
  <si>
    <t>경기 고양시 일산서구 탄중로 111, 제2-B동 지1층 104호(덕이동, 양우로데오메인타운)</t>
  </si>
  <si>
    <t>031-912-0311</t>
  </si>
  <si>
    <t>한국건설자재</t>
  </si>
  <si>
    <t>제주 제주시 오광로 111-1(이호이동)</t>
  </si>
  <si>
    <t>064-743-1200</t>
  </si>
  <si>
    <t>경기 남양주시 송산로 148(별내동)</t>
  </si>
  <si>
    <t>해피하우스</t>
  </si>
  <si>
    <t>인천 계양구 계양문화로 54, 7층(계산동, 7층)</t>
  </si>
  <si>
    <t>032-545-6501</t>
  </si>
  <si>
    <t>호텔포스</t>
  </si>
  <si>
    <t>울산 울주군 삼남면 도호1길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</si>
</sst>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0_);[Red]\(0\)"/>
    <numFmt numFmtId="178" formatCode="[DBNum4][$-412]General&quot;원&quot;&quot;정&quot;\ \("/>
    <numFmt numFmtId="179" formatCode="yyyy/mm/dd\ \(aaa\)"/>
    <numFmt numFmtId="180" formatCode="_-&quot;₩&quot;* #,##0_-;\-&quot;₩&quot;* #,##0_-;_-&quot;₩&quot;* &quot;-&quot;_-;_-@_-\ &quot;)&quot;"/>
    <numFmt numFmtId="181" formatCode="#,##0_ "/>
    <numFmt numFmtId="182" formatCode="@&quot; 이상 UP&quot;"/>
    <numFmt numFmtId="183" formatCode="0.0%"/>
    <numFmt numFmtId="184" formatCode="_-* #,##0_-;\-* #,##0_-;_-* &quot;-&quot;_-;_-@"/>
  </numFmts>
  <fonts count="87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8"/>
      <color indexed="81"/>
      <name val="돋움"/>
      <family val="3"/>
      <charset val="129"/>
    </font>
    <font>
      <b/>
      <sz val="9"/>
      <color indexed="8"/>
      <name val="굴림체"/>
      <family val="3"/>
      <charset val="129"/>
    </font>
    <font>
      <sz val="9"/>
      <color indexed="12"/>
      <name val="굴림체"/>
      <family val="3"/>
      <charset val="129"/>
    </font>
    <font>
      <b/>
      <sz val="11"/>
      <color indexed="12"/>
      <name val="굴림체"/>
      <family val="3"/>
      <charset val="129"/>
    </font>
    <font>
      <b/>
      <sz val="9"/>
      <color indexed="12"/>
      <name val="굴림체"/>
      <family val="3"/>
      <charset val="129"/>
    </font>
    <font>
      <b/>
      <sz val="11"/>
      <color indexed="10"/>
      <name val="굴림체"/>
      <family val="3"/>
      <charset val="129"/>
    </font>
    <font>
      <sz val="8"/>
      <name val="맑은 고딕"/>
      <family val="3"/>
      <charset val="129"/>
    </font>
    <font>
      <sz val="11"/>
      <name val="굴림체"/>
      <family val="3"/>
      <charset val="129"/>
    </font>
    <font>
      <sz val="8"/>
      <name val="맑은 고딕"/>
      <family val="3"/>
      <charset val="129"/>
    </font>
    <font>
      <sz val="10"/>
      <color indexed="8"/>
      <name val="굴림체"/>
      <family val="3"/>
      <charset val="129"/>
    </font>
    <font>
      <b/>
      <sz val="10"/>
      <color indexed="8"/>
      <name val="굴림체"/>
      <family val="3"/>
      <charset val="129"/>
    </font>
    <font>
      <b/>
      <sz val="10"/>
      <color indexed="10"/>
      <name val="굴림체"/>
      <family val="3"/>
      <charset val="129"/>
    </font>
    <font>
      <b/>
      <sz val="11"/>
      <name val="굴림체"/>
      <family val="3"/>
      <charset val="129"/>
    </font>
    <font>
      <sz val="11"/>
      <name val="돋움"/>
      <family val="3"/>
      <charset val="129"/>
    </font>
    <font>
      <b/>
      <sz val="25"/>
      <name val="굴림체"/>
      <family val="3"/>
      <charset val="129"/>
    </font>
    <font>
      <sz val="8"/>
      <name val="맑은 고딕"/>
      <family val="3"/>
      <charset val="129"/>
    </font>
    <font>
      <sz val="19"/>
      <name val="굴림체"/>
      <family val="3"/>
      <charset val="129"/>
    </font>
    <font>
      <sz val="9"/>
      <name val="굴림체"/>
      <family val="3"/>
      <charset val="129"/>
    </font>
    <font>
      <sz val="8"/>
      <name val="돋움"/>
      <family val="3"/>
      <charset val="129"/>
    </font>
    <font>
      <sz val="10"/>
      <name val="굴림체"/>
      <family val="3"/>
      <charset val="129"/>
    </font>
    <font>
      <b/>
      <sz val="10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10.5"/>
      <name val="굴림체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10"/>
      <color theme="1"/>
      <name val="굴림체"/>
      <family val="3"/>
      <charset val="129"/>
    </font>
    <font>
      <b/>
      <sz val="10"/>
      <color theme="1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12"/>
      <color theme="1"/>
      <name val="굴림체"/>
      <family val="3"/>
      <charset val="129"/>
    </font>
    <font>
      <b/>
      <sz val="10"/>
      <color rgb="FF0000FF"/>
      <name val="굴림체"/>
      <family val="3"/>
      <charset val="129"/>
    </font>
    <font>
      <b/>
      <sz val="10"/>
      <color rgb="FF0070C0"/>
      <name val="굴림체"/>
      <family val="3"/>
      <charset val="129"/>
    </font>
    <font>
      <sz val="10"/>
      <color rgb="FF0070C0"/>
      <name val="굴림체"/>
      <family val="3"/>
      <charset val="129"/>
    </font>
    <font>
      <sz val="10"/>
      <color rgb="FFFFFFFF"/>
      <name val="굴림체"/>
      <family val="3"/>
      <charset val="129"/>
    </font>
    <font>
      <sz val="9"/>
      <color theme="1"/>
      <name val="굴림체"/>
      <family val="3"/>
      <charset val="129"/>
    </font>
    <font>
      <b/>
      <sz val="11"/>
      <color rgb="FF0000FF"/>
      <name val="굴림체"/>
      <family val="3"/>
      <charset val="129"/>
    </font>
    <font>
      <b/>
      <sz val="10"/>
      <color rgb="FF008000"/>
      <name val="굴림체"/>
      <family val="3"/>
      <charset val="129"/>
    </font>
    <font>
      <sz val="9"/>
      <color rgb="FF0000FF"/>
      <name val="굴림체"/>
      <family val="3"/>
      <charset val="129"/>
    </font>
    <font>
      <sz val="9"/>
      <color rgb="FF0066FF"/>
      <name val="굴림체"/>
      <family val="3"/>
      <charset val="129"/>
    </font>
    <font>
      <sz val="9"/>
      <color rgb="FF0000FF"/>
      <name val="맑은 고딕"/>
      <family val="3"/>
      <charset val="129"/>
      <scheme val="minor"/>
    </font>
    <font>
      <sz val="25"/>
      <color rgb="FF0066FF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0" tint="-0.249977111117893"/>
      <name val="굴림체"/>
      <family val="3"/>
      <charset val="129"/>
    </font>
    <font>
      <sz val="10.5"/>
      <color theme="1"/>
      <name val="굴림체"/>
      <family val="3"/>
      <charset val="129"/>
    </font>
    <font>
      <b/>
      <sz val="12"/>
      <color rgb="FF0000FF"/>
      <name val="굴림체"/>
      <family val="3"/>
      <charset val="129"/>
    </font>
    <font>
      <sz val="19"/>
      <color theme="0"/>
      <name val="굴림체"/>
      <family val="3"/>
      <charset val="129"/>
    </font>
    <font>
      <sz val="9"/>
      <color theme="0"/>
      <name val="굴림체"/>
      <family val="3"/>
      <charset val="129"/>
    </font>
    <font>
      <b/>
      <sz val="9"/>
      <color theme="0"/>
      <name val="굴림체"/>
      <family val="3"/>
      <charset val="129"/>
    </font>
    <font>
      <b/>
      <sz val="18"/>
      <color rgb="FFC00000"/>
      <name val="굴림체"/>
      <family val="3"/>
      <charset val="129"/>
    </font>
    <font>
      <b/>
      <sz val="16"/>
      <color theme="1"/>
      <name val="굴림체"/>
      <family val="3"/>
      <charset val="129"/>
    </font>
    <font>
      <sz val="36"/>
      <color theme="1"/>
      <name val="굴림체"/>
      <family val="3"/>
      <charset val="129"/>
    </font>
    <font>
      <b/>
      <sz val="14"/>
      <color rgb="FFFF0000"/>
      <name val="굴림체"/>
      <family val="3"/>
      <charset val="129"/>
    </font>
    <font>
      <b/>
      <u/>
      <sz val="20"/>
      <color rgb="FF0000FF"/>
      <name val="굴림체"/>
      <family val="3"/>
      <charset val="129"/>
    </font>
    <font>
      <b/>
      <u/>
      <sz val="16"/>
      <color rgb="FF0000FF"/>
      <name val="굴림체"/>
      <family val="3"/>
      <charset val="129"/>
    </font>
    <font>
      <b/>
      <sz val="13"/>
      <color theme="1"/>
      <name val="굴림체"/>
      <family val="3"/>
      <charset val="129"/>
    </font>
    <font>
      <b/>
      <sz val="19"/>
      <color rgb="FFFFFF00"/>
      <name val="굴림체"/>
      <family val="3"/>
      <charset val="129"/>
    </font>
    <font>
      <b/>
      <sz val="14"/>
      <color rgb="FFFFFF00"/>
      <name val="굴림체"/>
      <family val="3"/>
      <charset val="129"/>
    </font>
    <font>
      <sz val="9"/>
      <color theme="0" tint="-0.249977111117893"/>
      <name val="맑은 고딕"/>
      <family val="3"/>
      <charset val="129"/>
    </font>
    <font>
      <sz val="12"/>
      <color theme="1"/>
      <name val="굴림체"/>
      <family val="3"/>
      <charset val="129"/>
    </font>
    <font>
      <b/>
      <sz val="10"/>
      <color rgb="FF00B0F0"/>
      <name val="굴림체"/>
      <family val="3"/>
      <charset val="129"/>
    </font>
    <font>
      <sz val="10.1"/>
      <color theme="1"/>
      <name val="굴림체"/>
      <family val="3"/>
      <charset val="129"/>
    </font>
    <font>
      <sz val="8"/>
      <name val="맑은 고딕"/>
      <family val="3"/>
      <charset val="129"/>
      <scheme val="minor"/>
    </font>
    <font>
      <b/>
      <sz val="8"/>
      <color indexed="81"/>
      <name val="굴림"/>
      <family val="3"/>
      <charset val="129"/>
    </font>
    <font>
      <sz val="11"/>
      <color theme="0"/>
      <name val="굴림체"/>
      <family val="3"/>
      <charset val="129"/>
    </font>
    <font>
      <sz val="8"/>
      <name val="굴림체"/>
      <family val="2"/>
      <charset val="129"/>
    </font>
    <font>
      <b/>
      <sz val="10"/>
      <color theme="0"/>
      <name val="굴림체"/>
      <family val="3"/>
      <charset val="129"/>
    </font>
    <font>
      <b/>
      <sz val="11"/>
      <name val="HY헤드라인M"/>
      <family val="1"/>
      <charset val="129"/>
    </font>
    <font>
      <b/>
      <sz val="10.5"/>
      <color theme="1"/>
      <name val="굴림체"/>
      <family val="3"/>
      <charset val="129"/>
    </font>
    <font>
      <b/>
      <sz val="10.5"/>
      <name val="굴림체"/>
      <family val="3"/>
      <charset val="129"/>
    </font>
    <font>
      <b/>
      <sz val="10.5"/>
      <color rgb="FF0000FF"/>
      <name val="굴림체"/>
      <family val="3"/>
      <charset val="129"/>
    </font>
    <font>
      <sz val="9"/>
      <color theme="1"/>
      <name val="굴림"/>
      <family val="2"/>
    </font>
    <font>
      <sz val="11"/>
      <color theme="1"/>
      <name val="굴림"/>
      <family val="3"/>
      <charset val="129"/>
    </font>
    <font>
      <b/>
      <sz val="8"/>
      <color rgb="FFFF0000"/>
      <name val="맑은 고딕"/>
      <family val="3"/>
      <charset val="129"/>
    </font>
    <font>
      <b/>
      <sz val="9"/>
      <name val="굴림"/>
      <family val="3"/>
      <charset val="129"/>
    </font>
    <font>
      <sz val="11"/>
      <name val="굴림"/>
      <family val="3"/>
      <charset val="129"/>
    </font>
    <font>
      <b/>
      <sz val="11"/>
      <color theme="0"/>
      <name val="굴림체"/>
      <family val="3"/>
      <charset val="129"/>
    </font>
    <font>
      <b/>
      <sz val="10"/>
      <name val="굴림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굴림"/>
      <family val="3"/>
      <charset val="129"/>
    </font>
    <font>
      <sz val="9"/>
      <color rgb="FF000000"/>
      <name val="Malgun Gothic"/>
      <family val="3"/>
      <charset val="129"/>
    </font>
    <font>
      <b/>
      <sz val="15"/>
      <color rgb="FF0000CC"/>
      <name val="굴림체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CFF"/>
        <bgColor indexed="64"/>
      </patternFill>
    </fill>
    <fill>
      <patternFill patternType="solid">
        <fgColor theme="8" tint="0.79998168889431442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rgb="FFFF0000"/>
      </left>
      <right/>
      <top style="mediumDashDot">
        <color rgb="FFFF0000"/>
      </top>
      <bottom/>
      <diagonal/>
    </border>
    <border>
      <left/>
      <right/>
      <top style="mediumDashDot">
        <color rgb="FFFF0000"/>
      </top>
      <bottom/>
      <diagonal/>
    </border>
    <border>
      <left/>
      <right style="mediumDashDot">
        <color rgb="FFFF0000"/>
      </right>
      <top style="mediumDashDot">
        <color rgb="FFFF0000"/>
      </top>
      <bottom/>
      <diagonal/>
    </border>
    <border>
      <left style="mediumDashDot">
        <color rgb="FFFF0000"/>
      </left>
      <right/>
      <top/>
      <bottom/>
      <diagonal/>
    </border>
    <border>
      <left/>
      <right style="mediumDashDot">
        <color rgb="FFFF0000"/>
      </right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/>
      <right/>
      <top/>
      <bottom style="mediumDashDot">
        <color rgb="FFFF0000"/>
      </bottom>
      <diagonal/>
    </border>
    <border>
      <left/>
      <right style="mediumDashDot">
        <color rgb="FFFF0000"/>
      </right>
      <top/>
      <bottom style="mediumDashDot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mediumDashDot">
        <color rgb="FF0000FF"/>
      </left>
      <right/>
      <top style="mediumDashDot">
        <color rgb="FF0000FF"/>
      </top>
      <bottom/>
      <diagonal/>
    </border>
    <border>
      <left/>
      <right style="mediumDashDot">
        <color rgb="FF0000FF"/>
      </right>
      <top style="mediumDashDot">
        <color rgb="FF0000FF"/>
      </top>
      <bottom/>
      <diagonal/>
    </border>
    <border>
      <left style="mediumDashDot">
        <color rgb="FF0000FF"/>
      </left>
      <right/>
      <top/>
      <bottom style="mediumDashDot">
        <color rgb="FF0000FF"/>
      </bottom>
      <diagonal/>
    </border>
    <border>
      <left/>
      <right style="mediumDashDot">
        <color rgb="FF0000FF"/>
      </right>
      <top/>
      <bottom style="mediumDashDot">
        <color rgb="FF0000FF"/>
      </bottom>
      <diagonal/>
    </border>
    <border>
      <left style="medium">
        <color rgb="FF0000FF"/>
      </left>
      <right style="thin">
        <color indexed="64"/>
      </right>
      <top style="thin">
        <color indexed="64"/>
      </top>
      <bottom style="medium">
        <color rgb="FF0000FF"/>
      </bottom>
      <diagonal/>
    </border>
    <border>
      <left style="thin">
        <color indexed="64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0000FF"/>
      </left>
      <right/>
      <top style="medium">
        <color rgb="FF0000FF"/>
      </top>
      <bottom style="thin">
        <color indexed="64"/>
      </bottom>
      <diagonal/>
    </border>
    <border>
      <left/>
      <right style="medium">
        <color rgb="FF0000FF"/>
      </right>
      <top style="medium">
        <color rgb="FF0000FF"/>
      </top>
      <bottom style="thin">
        <color indexed="64"/>
      </bottom>
      <diagonal/>
    </border>
    <border>
      <left style="medium">
        <color rgb="FF0000FF"/>
      </left>
      <right style="thin">
        <color indexed="64"/>
      </right>
      <top style="medium">
        <color rgb="FF0000FF"/>
      </top>
      <bottom style="thin">
        <color indexed="64"/>
      </bottom>
      <diagonal/>
    </border>
    <border>
      <left style="thin">
        <color indexed="64"/>
      </left>
      <right style="medium">
        <color rgb="FF0000FF"/>
      </right>
      <top style="medium">
        <color rgb="FF0000FF"/>
      </top>
      <bottom style="thin">
        <color indexed="64"/>
      </bottom>
      <diagonal/>
    </border>
    <border>
      <left/>
      <right/>
      <top style="mediumDashDot">
        <color rgb="FFC00000"/>
      </top>
      <bottom/>
      <diagonal/>
    </border>
    <border>
      <left/>
      <right style="mediumDashDot">
        <color rgb="FFC00000"/>
      </right>
      <top style="mediumDashDot">
        <color rgb="FFC00000"/>
      </top>
      <bottom/>
      <diagonal/>
    </border>
    <border>
      <left style="mediumDashDot">
        <color rgb="FFC00000"/>
      </left>
      <right/>
      <top style="mediumDashDot">
        <color rgb="FFC00000"/>
      </top>
      <bottom/>
      <diagonal/>
    </border>
    <border>
      <left style="mediumDashDot">
        <color rgb="FFC00000"/>
      </left>
      <right/>
      <top/>
      <bottom/>
      <diagonal/>
    </border>
    <border>
      <left style="mediumDashDot">
        <color rgb="FFC00000"/>
      </left>
      <right/>
      <top/>
      <bottom style="mediumDashDot">
        <color rgb="FFC00000"/>
      </bottom>
      <diagonal/>
    </border>
    <border>
      <left/>
      <right style="mediumDashDot">
        <color rgb="FFC00000"/>
      </right>
      <top/>
      <bottom/>
      <diagonal/>
    </border>
    <border>
      <left/>
      <right/>
      <top/>
      <bottom style="mediumDashDot">
        <color rgb="FFC00000"/>
      </bottom>
      <diagonal/>
    </border>
    <border>
      <left/>
      <right style="mediumDashDot">
        <color rgb="FFC00000"/>
      </right>
      <top/>
      <bottom style="mediumDashDot">
        <color rgb="FFC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29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/>
    <xf numFmtId="0" fontId="17" fillId="0" borderId="0"/>
  </cellStyleXfs>
  <cellXfs count="512">
    <xf numFmtId="0" fontId="0" fillId="0" borderId="0" xfId="0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49" fontId="30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NumberFormat="1" applyFont="1" applyAlignment="1">
      <alignment horizontal="center" vertical="center"/>
    </xf>
    <xf numFmtId="0" fontId="30" fillId="0" borderId="0" xfId="0" applyFont="1" applyBorder="1" applyAlignment="1">
      <alignment horizontal="right" vertical="center"/>
    </xf>
    <xf numFmtId="58" fontId="33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176" fontId="30" fillId="0" borderId="1" xfId="0" applyNumberFormat="1" applyFont="1" applyBorder="1">
      <alignment vertical="center"/>
    </xf>
    <xf numFmtId="0" fontId="34" fillId="2" borderId="1" xfId="0" applyFont="1" applyFill="1" applyBorder="1" applyAlignment="1">
      <alignment vertical="center"/>
    </xf>
    <xf numFmtId="0" fontId="30" fillId="0" borderId="0" xfId="0" applyNumberFormat="1" applyFont="1">
      <alignment vertical="center"/>
    </xf>
    <xf numFmtId="0" fontId="32" fillId="0" borderId="0" xfId="0" applyNumberFormat="1" applyFont="1" applyAlignment="1">
      <alignment horizontal="center" vertical="center"/>
    </xf>
    <xf numFmtId="0" fontId="31" fillId="0" borderId="0" xfId="0" applyNumberFormat="1" applyFont="1">
      <alignment vertical="center"/>
    </xf>
    <xf numFmtId="0" fontId="32" fillId="0" borderId="0" xfId="0" applyNumberFormat="1" applyFont="1">
      <alignment vertical="center"/>
    </xf>
    <xf numFmtId="0" fontId="35" fillId="3" borderId="0" xfId="0" applyNumberFormat="1" applyFont="1" applyFill="1" applyBorder="1" applyAlignment="1">
      <alignment horizontal="right" vertical="center"/>
    </xf>
    <xf numFmtId="0" fontId="30" fillId="0" borderId="0" xfId="0" applyNumberFormat="1" applyFont="1" applyBorder="1" applyAlignment="1">
      <alignment horizontal="right" vertical="center"/>
    </xf>
    <xf numFmtId="0" fontId="30" fillId="0" borderId="2" xfId="0" applyNumberFormat="1" applyFont="1" applyBorder="1" applyAlignment="1">
      <alignment horizontal="center" vertical="center"/>
    </xf>
    <xf numFmtId="0" fontId="30" fillId="4" borderId="3" xfId="0" applyNumberFormat="1" applyFont="1" applyFill="1" applyBorder="1" applyAlignment="1">
      <alignment horizontal="center" vertical="center"/>
    </xf>
    <xf numFmtId="0" fontId="30" fillId="0" borderId="0" xfId="0" applyNumberFormat="1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vertical="center"/>
    </xf>
    <xf numFmtId="0" fontId="34" fillId="2" borderId="6" xfId="0" applyFont="1" applyFill="1" applyBorder="1" applyAlignment="1">
      <alignment vertical="center"/>
    </xf>
    <xf numFmtId="0" fontId="34" fillId="5" borderId="7" xfId="0" applyFont="1" applyFill="1" applyBorder="1" applyAlignment="1">
      <alignment vertical="center"/>
    </xf>
    <xf numFmtId="0" fontId="34" fillId="2" borderId="7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58" fontId="33" fillId="0" borderId="1" xfId="0" applyNumberFormat="1" applyFont="1" applyFill="1" applyBorder="1" applyAlignment="1">
      <alignment horizontal="center" vertical="center"/>
    </xf>
    <xf numFmtId="0" fontId="35" fillId="3" borderId="10" xfId="0" applyNumberFormat="1" applyFont="1" applyFill="1" applyBorder="1" applyAlignment="1">
      <alignment horizontal="right" vertical="center"/>
    </xf>
    <xf numFmtId="0" fontId="30" fillId="6" borderId="11" xfId="0" applyFont="1" applyFill="1" applyBorder="1" applyAlignment="1">
      <alignment horizontal="center" vertical="center"/>
    </xf>
    <xf numFmtId="0" fontId="34" fillId="6" borderId="12" xfId="0" applyFont="1" applyFill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4" fillId="2" borderId="13" xfId="0" applyFont="1" applyFill="1" applyBorder="1" applyAlignment="1">
      <alignment vertical="center"/>
    </xf>
    <xf numFmtId="0" fontId="30" fillId="5" borderId="11" xfId="0" applyFont="1" applyFill="1" applyBorder="1" applyAlignment="1">
      <alignment horizontal="center" vertical="center"/>
    </xf>
    <xf numFmtId="0" fontId="34" fillId="5" borderId="12" xfId="0" applyFont="1" applyFill="1" applyBorder="1" applyAlignment="1">
      <alignment vertical="center"/>
    </xf>
    <xf numFmtId="0" fontId="30" fillId="0" borderId="1" xfId="0" applyFont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3" fillId="7" borderId="13" xfId="0" applyNumberFormat="1" applyFont="1" applyFill="1" applyBorder="1" applyAlignment="1">
      <alignment horizontal="center" vertical="center"/>
    </xf>
    <xf numFmtId="0" fontId="33" fillId="0" borderId="5" xfId="0" applyNumberFormat="1" applyFont="1" applyFill="1" applyBorder="1" applyAlignment="1">
      <alignment horizontal="center" vertical="center"/>
    </xf>
    <xf numFmtId="0" fontId="33" fillId="7" borderId="1" xfId="0" applyNumberFormat="1" applyFont="1" applyFill="1" applyBorder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49" fontId="33" fillId="7" borderId="1" xfId="0" applyNumberFormat="1" applyFont="1" applyFill="1" applyBorder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 wrapText="1"/>
    </xf>
    <xf numFmtId="0" fontId="33" fillId="0" borderId="5" xfId="0" applyNumberFormat="1" applyFont="1" applyFill="1" applyBorder="1" applyAlignment="1">
      <alignment horizontal="center" vertical="center" wrapText="1"/>
    </xf>
    <xf numFmtId="0" fontId="21" fillId="0" borderId="0" xfId="3" applyFont="1" applyAlignment="1">
      <alignment vertical="center"/>
    </xf>
    <xf numFmtId="0" fontId="23" fillId="0" borderId="0" xfId="3" applyFont="1" applyAlignment="1">
      <alignment vertical="center"/>
    </xf>
    <xf numFmtId="0" fontId="23" fillId="0" borderId="0" xfId="3" applyFont="1" applyFill="1" applyBorder="1" applyAlignment="1">
      <alignment vertical="center"/>
    </xf>
    <xf numFmtId="0" fontId="36" fillId="0" borderId="0" xfId="3" applyFont="1" applyFill="1" applyBorder="1" applyAlignment="1">
      <alignment vertical="center"/>
    </xf>
    <xf numFmtId="0" fontId="25" fillId="0" borderId="0" xfId="3" applyFont="1" applyAlignment="1">
      <alignment vertical="center"/>
    </xf>
    <xf numFmtId="0" fontId="37" fillId="0" borderId="0" xfId="3" applyFont="1" applyFill="1" applyBorder="1" applyAlignment="1">
      <alignment horizontal="center" vertical="center"/>
    </xf>
    <xf numFmtId="41" fontId="38" fillId="0" borderId="0" xfId="2" applyFont="1" applyFill="1" applyBorder="1" applyAlignment="1">
      <alignment vertical="center"/>
    </xf>
    <xf numFmtId="0" fontId="21" fillId="0" borderId="0" xfId="3" applyFont="1" applyBorder="1" applyAlignment="1">
      <alignment vertical="center"/>
    </xf>
    <xf numFmtId="0" fontId="21" fillId="0" borderId="0" xfId="3" applyFont="1" applyBorder="1" applyAlignment="1">
      <alignment vertical="top"/>
    </xf>
    <xf numFmtId="0" fontId="20" fillId="0" borderId="0" xfId="3" applyFont="1" applyFill="1" applyBorder="1" applyAlignment="1">
      <alignment vertical="center"/>
    </xf>
    <xf numFmtId="0" fontId="21" fillId="0" borderId="0" xfId="3" applyFont="1" applyFill="1" applyBorder="1" applyAlignment="1">
      <alignment vertical="center"/>
    </xf>
    <xf numFmtId="0" fontId="39" fillId="0" borderId="0" xfId="3" applyFont="1" applyFill="1" applyBorder="1" applyAlignment="1">
      <alignment vertical="center"/>
    </xf>
    <xf numFmtId="0" fontId="24" fillId="0" borderId="0" xfId="3" applyFont="1" applyFill="1" applyBorder="1" applyAlignment="1">
      <alignment vertical="center"/>
    </xf>
    <xf numFmtId="0" fontId="34" fillId="2" borderId="1" xfId="0" applyFont="1" applyFill="1" applyBorder="1" applyAlignment="1">
      <alignment horizontal="center" vertical="center"/>
    </xf>
    <xf numFmtId="0" fontId="40" fillId="0" borderId="1" xfId="0" applyNumberFormat="1" applyFont="1" applyBorder="1" applyAlignment="1">
      <alignment vertical="center" shrinkToFit="1"/>
    </xf>
    <xf numFmtId="0" fontId="30" fillId="0" borderId="0" xfId="0" applyFont="1" applyProtection="1">
      <alignment vertical="center"/>
    </xf>
    <xf numFmtId="0" fontId="32" fillId="0" borderId="0" xfId="0" applyFont="1" applyAlignment="1" applyProtection="1">
      <alignment horizontal="center" vertical="center"/>
    </xf>
    <xf numFmtId="0" fontId="41" fillId="0" borderId="0" xfId="0" applyNumberFormat="1" applyFont="1" applyAlignment="1" applyProtection="1">
      <alignment horizontal="center" vertical="center"/>
    </xf>
    <xf numFmtId="0" fontId="16" fillId="2" borderId="0" xfId="0" applyFont="1" applyFill="1" applyProtection="1">
      <alignment vertical="center"/>
    </xf>
    <xf numFmtId="0" fontId="32" fillId="0" borderId="0" xfId="0" applyFont="1" applyProtection="1">
      <alignment vertical="center"/>
    </xf>
    <xf numFmtId="0" fontId="42" fillId="0" borderId="0" xfId="0" applyFont="1" applyAlignment="1" applyProtection="1">
      <alignment horizontal="left" vertical="center"/>
    </xf>
    <xf numFmtId="0" fontId="33" fillId="4" borderId="0" xfId="0" applyFont="1" applyFill="1" applyAlignment="1" applyProtection="1">
      <alignment horizontal="center" vertical="center"/>
    </xf>
    <xf numFmtId="14" fontId="32" fillId="0" borderId="0" xfId="0" applyNumberFormat="1" applyFont="1" applyProtection="1">
      <alignment vertical="center"/>
    </xf>
    <xf numFmtId="0" fontId="33" fillId="0" borderId="1" xfId="0" applyFont="1" applyFill="1" applyBorder="1" applyAlignment="1" applyProtection="1">
      <alignment horizontal="center" vertical="center" wrapText="1"/>
    </xf>
    <xf numFmtId="0" fontId="43" fillId="0" borderId="72" xfId="0" applyFont="1" applyBorder="1" applyAlignment="1" applyProtection="1">
      <alignment horizontal="right" vertical="center"/>
    </xf>
    <xf numFmtId="0" fontId="43" fillId="0" borderId="73" xfId="0" applyFont="1" applyBorder="1" applyAlignment="1" applyProtection="1">
      <alignment vertical="center" wrapText="1"/>
    </xf>
    <xf numFmtId="0" fontId="43" fillId="0" borderId="73" xfId="0" applyFont="1" applyBorder="1" applyAlignment="1" applyProtection="1">
      <alignment horizontal="right" vertical="center"/>
    </xf>
    <xf numFmtId="0" fontId="43" fillId="0" borderId="73" xfId="0" applyFont="1" applyBorder="1" applyProtection="1">
      <alignment vertical="center"/>
    </xf>
    <xf numFmtId="49" fontId="43" fillId="0" borderId="73" xfId="0" applyNumberFormat="1" applyFont="1" applyBorder="1" applyAlignment="1" applyProtection="1">
      <alignment horizontal="center" vertical="center"/>
    </xf>
    <xf numFmtId="0" fontId="43" fillId="0" borderId="74" xfId="0" applyFont="1" applyBorder="1" applyAlignment="1" applyProtection="1">
      <alignment horizontal="center" vertical="center"/>
    </xf>
    <xf numFmtId="49" fontId="32" fillId="0" borderId="0" xfId="0" applyNumberFormat="1" applyFont="1" applyAlignment="1" applyProtection="1">
      <alignment horizontal="center" vertical="center"/>
    </xf>
    <xf numFmtId="49" fontId="30" fillId="0" borderId="0" xfId="0" applyNumberFormat="1" applyFont="1" applyProtection="1">
      <alignment vertical="center"/>
    </xf>
    <xf numFmtId="0" fontId="0" fillId="0" borderId="0" xfId="0" applyProtection="1">
      <alignment vertical="center"/>
    </xf>
    <xf numFmtId="0" fontId="43" fillId="4" borderId="75" xfId="0" applyFont="1" applyFill="1" applyBorder="1" applyAlignment="1" applyProtection="1">
      <alignment horizontal="right" vertical="center"/>
    </xf>
    <xf numFmtId="0" fontId="43" fillId="0" borderId="0" xfId="0" applyFont="1" applyFill="1" applyBorder="1" applyAlignment="1" applyProtection="1">
      <alignment vertical="center"/>
    </xf>
    <xf numFmtId="0" fontId="43" fillId="0" borderId="0" xfId="0" applyFont="1" applyBorder="1" applyAlignment="1" applyProtection="1">
      <alignment horizontal="right" vertical="center"/>
    </xf>
    <xf numFmtId="0" fontId="44" fillId="0" borderId="0" xfId="0" applyFont="1" applyBorder="1" applyProtection="1">
      <alignment vertical="center"/>
    </xf>
    <xf numFmtId="0" fontId="45" fillId="0" borderId="0" xfId="0" applyFont="1" applyBorder="1" applyProtection="1">
      <alignment vertical="center"/>
    </xf>
    <xf numFmtId="0" fontId="43" fillId="0" borderId="0" xfId="0" applyFont="1" applyBorder="1" applyAlignment="1" applyProtection="1">
      <alignment horizontal="center" vertical="center"/>
    </xf>
    <xf numFmtId="0" fontId="43" fillId="0" borderId="76" xfId="0" applyFont="1" applyBorder="1" applyAlignment="1" applyProtection="1">
      <alignment horizontal="center" vertical="center"/>
    </xf>
    <xf numFmtId="0" fontId="43" fillId="0" borderId="77" xfId="0" applyFont="1" applyBorder="1" applyAlignment="1" applyProtection="1">
      <alignment horizontal="right" vertical="center"/>
    </xf>
    <xf numFmtId="0" fontId="43" fillId="0" borderId="78" xfId="0" applyFont="1" applyBorder="1" applyAlignment="1" applyProtection="1">
      <alignment horizontal="right" vertical="center"/>
    </xf>
    <xf numFmtId="0" fontId="43" fillId="0" borderId="78" xfId="0" applyFont="1" applyBorder="1" applyProtection="1">
      <alignment vertical="center"/>
    </xf>
    <xf numFmtId="0" fontId="45" fillId="0" borderId="78" xfId="0" applyFont="1" applyBorder="1" applyProtection="1">
      <alignment vertical="center"/>
    </xf>
    <xf numFmtId="0" fontId="43" fillId="0" borderId="78" xfId="0" applyFont="1" applyBorder="1" applyAlignment="1" applyProtection="1">
      <alignment horizontal="center" vertical="center"/>
    </xf>
    <xf numFmtId="0" fontId="43" fillId="0" borderId="79" xfId="0" applyFont="1" applyBorder="1" applyAlignment="1" applyProtection="1">
      <alignment horizontal="center" vertical="center"/>
    </xf>
    <xf numFmtId="0" fontId="46" fillId="0" borderId="0" xfId="0" applyFont="1" applyAlignment="1" applyProtection="1">
      <alignment horizontal="right" vertical="center"/>
    </xf>
    <xf numFmtId="0" fontId="47" fillId="0" borderId="0" xfId="0" applyFont="1" applyProtection="1">
      <alignment vertical="center"/>
    </xf>
    <xf numFmtId="0" fontId="35" fillId="3" borderId="10" xfId="0" applyFont="1" applyFill="1" applyBorder="1" applyAlignment="1" applyProtection="1">
      <alignment horizontal="right" vertical="center"/>
    </xf>
    <xf numFmtId="0" fontId="30" fillId="2" borderId="1" xfId="0" applyFont="1" applyFill="1" applyBorder="1" applyAlignment="1" applyProtection="1">
      <alignment horizontal="center" vertical="center"/>
    </xf>
    <xf numFmtId="0" fontId="32" fillId="2" borderId="1" xfId="0" applyFont="1" applyFill="1" applyBorder="1" applyAlignment="1" applyProtection="1">
      <alignment horizontal="center" vertical="center"/>
    </xf>
    <xf numFmtId="0" fontId="48" fillId="8" borderId="0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vertical="center"/>
    </xf>
    <xf numFmtId="0" fontId="34" fillId="0" borderId="1" xfId="0" applyFont="1" applyBorder="1" applyAlignment="1" applyProtection="1">
      <alignment horizontal="center" vertical="center"/>
    </xf>
    <xf numFmtId="0" fontId="27" fillId="2" borderId="5" xfId="0" applyFont="1" applyFill="1" applyBorder="1" applyAlignment="1" applyProtection="1">
      <alignment horizontal="center" vertical="center"/>
    </xf>
    <xf numFmtId="0" fontId="49" fillId="2" borderId="4" xfId="0" applyFont="1" applyFill="1" applyBorder="1" applyAlignment="1" applyProtection="1">
      <alignment horizontal="center" vertical="center"/>
    </xf>
    <xf numFmtId="0" fontId="49" fillId="5" borderId="1" xfId="0" applyFont="1" applyFill="1" applyBorder="1" applyAlignment="1" applyProtection="1">
      <alignment horizontal="center" vertical="center"/>
    </xf>
    <xf numFmtId="0" fontId="49" fillId="2" borderId="1" xfId="0" applyFont="1" applyFill="1" applyBorder="1" applyAlignment="1" applyProtection="1">
      <alignment horizontal="center" vertical="center"/>
    </xf>
    <xf numFmtId="0" fontId="49" fillId="2" borderId="11" xfId="0" applyFont="1" applyFill="1" applyBorder="1" applyAlignment="1" applyProtection="1">
      <alignment horizontal="center" vertical="center"/>
    </xf>
    <xf numFmtId="176" fontId="49" fillId="2" borderId="1" xfId="0" applyNumberFormat="1" applyFont="1" applyFill="1" applyBorder="1" applyProtection="1">
      <alignment vertical="center"/>
    </xf>
    <xf numFmtId="0" fontId="48" fillId="0" borderId="0" xfId="0" applyFont="1" applyProtection="1">
      <alignment vertical="center"/>
    </xf>
    <xf numFmtId="14" fontId="48" fillId="0" borderId="0" xfId="0" applyNumberFormat="1" applyFont="1" applyBorder="1" applyAlignment="1" applyProtection="1">
      <alignment horizontal="center" vertical="center"/>
    </xf>
    <xf numFmtId="0" fontId="48" fillId="0" borderId="0" xfId="0" applyNumberFormat="1" applyFont="1" applyBorder="1" applyAlignment="1" applyProtection="1">
      <alignment horizontal="center" vertical="center"/>
    </xf>
    <xf numFmtId="0" fontId="48" fillId="0" borderId="0" xfId="0" applyFont="1" applyBorder="1" applyAlignment="1" applyProtection="1">
      <alignment horizontal="center" vertical="center"/>
    </xf>
    <xf numFmtId="41" fontId="30" fillId="2" borderId="1" xfId="1" applyFont="1" applyFill="1" applyBorder="1" applyProtection="1">
      <alignment vertical="center"/>
    </xf>
    <xf numFmtId="0" fontId="34" fillId="2" borderId="1" xfId="0" applyFont="1" applyFill="1" applyBorder="1" applyAlignment="1" applyProtection="1">
      <alignment vertical="center"/>
    </xf>
    <xf numFmtId="0" fontId="34" fillId="2" borderId="5" xfId="0" applyFont="1" applyFill="1" applyBorder="1" applyAlignment="1" applyProtection="1">
      <alignment vertical="center"/>
    </xf>
    <xf numFmtId="0" fontId="34" fillId="2" borderId="6" xfId="0" applyFont="1" applyFill="1" applyBorder="1" applyAlignment="1" applyProtection="1">
      <alignment vertical="center"/>
    </xf>
    <xf numFmtId="0" fontId="34" fillId="5" borderId="7" xfId="0" applyFont="1" applyFill="1" applyBorder="1" applyAlignment="1" applyProtection="1">
      <alignment vertical="center"/>
    </xf>
    <xf numFmtId="0" fontId="34" fillId="2" borderId="7" xfId="0" applyFont="1" applyFill="1" applyBorder="1" applyAlignment="1" applyProtection="1">
      <alignment vertical="center"/>
    </xf>
    <xf numFmtId="0" fontId="34" fillId="2" borderId="12" xfId="0" applyFont="1" applyFill="1" applyBorder="1" applyAlignment="1" applyProtection="1">
      <alignment vertical="center"/>
    </xf>
    <xf numFmtId="0" fontId="30" fillId="2" borderId="1" xfId="0" applyFont="1" applyFill="1" applyBorder="1" applyProtection="1">
      <alignment vertical="center"/>
    </xf>
    <xf numFmtId="0" fontId="30" fillId="0" borderId="0" xfId="0" applyFont="1" applyAlignment="1" applyProtection="1">
      <alignment horizontal="right" vertical="center"/>
    </xf>
    <xf numFmtId="0" fontId="21" fillId="0" borderId="0" xfId="3" applyFont="1" applyBorder="1" applyAlignment="1" applyProtection="1">
      <alignment vertical="top"/>
    </xf>
    <xf numFmtId="0" fontId="50" fillId="4" borderId="80" xfId="0" applyFont="1" applyFill="1" applyBorder="1" applyAlignment="1" applyProtection="1">
      <alignment horizontal="center" vertical="center"/>
    </xf>
    <xf numFmtId="49" fontId="50" fillId="4" borderId="81" xfId="0" applyNumberFormat="1" applyFont="1" applyFill="1" applyBorder="1" applyAlignment="1" applyProtection="1">
      <alignment horizontal="center" vertical="center"/>
    </xf>
    <xf numFmtId="0" fontId="50" fillId="0" borderId="83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30" fillId="0" borderId="0" xfId="0" applyFont="1" applyBorder="1" applyProtection="1">
      <alignment vertical="center"/>
    </xf>
    <xf numFmtId="177" fontId="30" fillId="0" borderId="0" xfId="0" applyNumberFormat="1" applyFont="1" applyAlignment="1" applyProtection="1">
      <alignment horizontal="center" vertical="center"/>
    </xf>
    <xf numFmtId="41" fontId="21" fillId="0" borderId="0" xfId="1" applyFont="1" applyBorder="1" applyAlignment="1" applyProtection="1">
      <alignment vertical="top"/>
    </xf>
    <xf numFmtId="0" fontId="20" fillId="0" borderId="0" xfId="3" applyFont="1" applyAlignment="1" applyProtection="1">
      <alignment vertical="center"/>
    </xf>
    <xf numFmtId="0" fontId="23" fillId="0" borderId="0" xfId="3" applyFont="1" applyAlignment="1" applyProtection="1">
      <alignment vertical="center"/>
    </xf>
    <xf numFmtId="0" fontId="24" fillId="0" borderId="0" xfId="3" applyFont="1" applyAlignment="1" applyProtection="1">
      <alignment vertical="center"/>
    </xf>
    <xf numFmtId="0" fontId="24" fillId="4" borderId="14" xfId="3" applyFont="1" applyFill="1" applyBorder="1" applyAlignment="1" applyProtection="1">
      <alignment horizontal="center" vertical="center"/>
    </xf>
    <xf numFmtId="0" fontId="24" fillId="4" borderId="15" xfId="3" applyFont="1" applyFill="1" applyBorder="1" applyAlignment="1" applyProtection="1">
      <alignment horizontal="center" vertical="center"/>
    </xf>
    <xf numFmtId="0" fontId="23" fillId="0" borderId="1" xfId="3" applyFont="1" applyBorder="1" applyAlignment="1" applyProtection="1">
      <alignment horizontal="center" vertical="center"/>
    </xf>
    <xf numFmtId="0" fontId="24" fillId="4" borderId="1" xfId="3" applyFont="1" applyFill="1" applyBorder="1" applyAlignment="1" applyProtection="1">
      <alignment horizontal="center" vertical="center"/>
    </xf>
    <xf numFmtId="42" fontId="23" fillId="0" borderId="16" xfId="3" applyNumberFormat="1" applyFont="1" applyBorder="1" applyAlignment="1" applyProtection="1">
      <alignment horizontal="left" vertical="center"/>
    </xf>
    <xf numFmtId="0" fontId="24" fillId="4" borderId="17" xfId="3" applyFont="1" applyFill="1" applyBorder="1" applyAlignment="1" applyProtection="1">
      <alignment horizontal="center" vertical="center"/>
    </xf>
    <xf numFmtId="0" fontId="23" fillId="0" borderId="8" xfId="3" applyFont="1" applyBorder="1" applyAlignment="1" applyProtection="1">
      <alignment horizontal="center" vertical="center"/>
    </xf>
    <xf numFmtId="0" fontId="24" fillId="4" borderId="8" xfId="3" applyFont="1" applyFill="1" applyBorder="1" applyAlignment="1" applyProtection="1">
      <alignment horizontal="center" vertical="center"/>
    </xf>
    <xf numFmtId="0" fontId="23" fillId="0" borderId="18" xfId="3" applyFont="1" applyBorder="1" applyAlignment="1" applyProtection="1">
      <alignment horizontal="center" vertical="center"/>
    </xf>
    <xf numFmtId="0" fontId="24" fillId="4" borderId="19" xfId="3" applyFont="1" applyFill="1" applyBorder="1" applyAlignment="1" applyProtection="1">
      <alignment horizontal="center" vertical="center"/>
    </xf>
    <xf numFmtId="0" fontId="23" fillId="0" borderId="20" xfId="3" applyFont="1" applyBorder="1" applyAlignment="1" applyProtection="1">
      <alignment horizontal="center" vertical="center"/>
    </xf>
    <xf numFmtId="0" fontId="24" fillId="4" borderId="20" xfId="3" applyFont="1" applyFill="1" applyBorder="1" applyAlignment="1" applyProtection="1">
      <alignment horizontal="center" vertical="center"/>
    </xf>
    <xf numFmtId="0" fontId="24" fillId="4" borderId="21" xfId="3" applyFont="1" applyFill="1" applyBorder="1" applyAlignment="1" applyProtection="1">
      <alignment horizontal="center" vertical="center"/>
    </xf>
    <xf numFmtId="41" fontId="24" fillId="4" borderId="23" xfId="2" applyFont="1" applyFill="1" applyBorder="1" applyAlignment="1" applyProtection="1">
      <alignment horizontal="center" vertical="center"/>
    </xf>
    <xf numFmtId="0" fontId="24" fillId="4" borderId="24" xfId="3" applyFont="1" applyFill="1" applyBorder="1" applyAlignment="1" applyProtection="1">
      <alignment horizontal="center" vertical="center"/>
    </xf>
    <xf numFmtId="0" fontId="23" fillId="0" borderId="1" xfId="3" applyNumberFormat="1" applyFont="1" applyBorder="1" applyAlignment="1" applyProtection="1">
      <alignment horizontal="center" vertical="center"/>
    </xf>
    <xf numFmtId="0" fontId="23" fillId="0" borderId="1" xfId="3" quotePrefix="1" applyNumberFormat="1" applyFont="1" applyBorder="1" applyAlignment="1" applyProtection="1">
      <alignment horizontal="center" vertical="center"/>
    </xf>
    <xf numFmtId="3" fontId="23" fillId="0" borderId="1" xfId="2" applyNumberFormat="1" applyFont="1" applyBorder="1" applyAlignment="1" applyProtection="1">
      <alignment horizontal="center" vertical="center"/>
    </xf>
    <xf numFmtId="3" fontId="23" fillId="0" borderId="1" xfId="2" applyNumberFormat="1" applyFont="1" applyBorder="1" applyAlignment="1" applyProtection="1">
      <alignment horizontal="right" vertical="center"/>
    </xf>
    <xf numFmtId="14" fontId="21" fillId="8" borderId="26" xfId="3" applyNumberFormat="1" applyFont="1" applyFill="1" applyBorder="1" applyAlignment="1" applyProtection="1">
      <alignment horizontal="center" vertical="center"/>
    </xf>
    <xf numFmtId="14" fontId="21" fillId="8" borderId="13" xfId="3" applyNumberFormat="1" applyFont="1" applyFill="1" applyBorder="1" applyAlignment="1" applyProtection="1">
      <alignment horizontal="center" vertical="center"/>
    </xf>
    <xf numFmtId="0" fontId="23" fillId="8" borderId="1" xfId="3" applyNumberFormat="1" applyFont="1" applyFill="1" applyBorder="1" applyAlignment="1" applyProtection="1">
      <alignment horizontal="center" vertical="center"/>
    </xf>
    <xf numFmtId="0" fontId="23" fillId="8" borderId="1" xfId="3" quotePrefix="1" applyNumberFormat="1" applyFont="1" applyFill="1" applyBorder="1" applyAlignment="1" applyProtection="1">
      <alignment horizontal="center" vertical="center"/>
    </xf>
    <xf numFmtId="3" fontId="23" fillId="8" borderId="1" xfId="2" applyNumberFormat="1" applyFont="1" applyFill="1" applyBorder="1" applyAlignment="1" applyProtection="1">
      <alignment horizontal="center" vertical="center"/>
    </xf>
    <xf numFmtId="3" fontId="23" fillId="8" borderId="1" xfId="2" applyNumberFormat="1" applyFont="1" applyFill="1" applyBorder="1" applyAlignment="1" applyProtection="1">
      <alignment horizontal="right" vertical="center"/>
    </xf>
    <xf numFmtId="41" fontId="23" fillId="8" borderId="1" xfId="1" applyFont="1" applyFill="1" applyBorder="1" applyAlignment="1" applyProtection="1">
      <alignment horizontal="right" vertical="center"/>
    </xf>
    <xf numFmtId="41" fontId="23" fillId="8" borderId="25" xfId="3" applyNumberFormat="1" applyFont="1" applyFill="1" applyBorder="1" applyAlignment="1" applyProtection="1">
      <alignment vertical="center"/>
    </xf>
    <xf numFmtId="0" fontId="23" fillId="8" borderId="25" xfId="3" applyNumberFormat="1" applyFont="1" applyFill="1" applyBorder="1" applyAlignment="1" applyProtection="1">
      <alignment vertical="center"/>
    </xf>
    <xf numFmtId="0" fontId="23" fillId="8" borderId="1" xfId="3" quotePrefix="1" applyNumberFormat="1" applyFont="1" applyFill="1" applyBorder="1" applyAlignment="1" applyProtection="1">
      <alignment horizontal="left" vertical="center" indent="1"/>
    </xf>
    <xf numFmtId="0" fontId="23" fillId="4" borderId="27" xfId="3" applyFont="1" applyFill="1" applyBorder="1" applyAlignment="1" applyProtection="1">
      <alignment horizontal="right" vertical="center" indent="1"/>
    </xf>
    <xf numFmtId="0" fontId="23" fillId="4" borderId="27" xfId="3" applyFont="1" applyFill="1" applyBorder="1" applyAlignment="1" applyProtection="1">
      <alignment horizontal="left" vertical="center" indent="1"/>
    </xf>
    <xf numFmtId="3" fontId="23" fillId="4" borderId="27" xfId="3" applyNumberFormat="1" applyFont="1" applyFill="1" applyBorder="1" applyAlignment="1" applyProtection="1">
      <alignment horizontal="center" vertical="center"/>
    </xf>
    <xf numFmtId="41" fontId="23" fillId="4" borderId="27" xfId="1" applyFont="1" applyFill="1" applyBorder="1" applyAlignment="1" applyProtection="1">
      <alignment horizontal="right" vertical="center"/>
    </xf>
    <xf numFmtId="3" fontId="23" fillId="4" borderId="27" xfId="3" applyNumberFormat="1" applyFont="1" applyFill="1" applyBorder="1" applyAlignment="1" applyProtection="1">
      <alignment horizontal="right" vertical="center"/>
    </xf>
    <xf numFmtId="49" fontId="23" fillId="4" borderId="28" xfId="3" applyNumberFormat="1" applyFont="1" applyFill="1" applyBorder="1" applyAlignment="1" applyProtection="1">
      <alignment vertical="center"/>
    </xf>
    <xf numFmtId="0" fontId="23" fillId="0" borderId="0" xfId="3" applyFont="1" applyBorder="1" applyAlignment="1" applyProtection="1">
      <alignment vertical="center"/>
    </xf>
    <xf numFmtId="0" fontId="32" fillId="0" borderId="0" xfId="0" applyFont="1">
      <alignment vertical="center"/>
    </xf>
    <xf numFmtId="0" fontId="32" fillId="0" borderId="1" xfId="0" applyFont="1" applyBorder="1" applyProtection="1">
      <alignment vertical="center"/>
    </xf>
    <xf numFmtId="0" fontId="32" fillId="0" borderId="1" xfId="0" applyFont="1" applyBorder="1" applyAlignment="1" applyProtection="1">
      <alignment horizontal="right" vertical="center"/>
    </xf>
    <xf numFmtId="0" fontId="23" fillId="0" borderId="1" xfId="3" applyFont="1" applyBorder="1" applyAlignment="1" applyProtection="1">
      <alignment vertical="top"/>
    </xf>
    <xf numFmtId="0" fontId="32" fillId="0" borderId="5" xfId="0" applyFont="1" applyBorder="1" applyProtection="1">
      <alignment vertical="center"/>
    </xf>
    <xf numFmtId="0" fontId="32" fillId="0" borderId="1" xfId="0" applyFont="1" applyBorder="1" applyAlignment="1" applyProtection="1">
      <alignment vertical="top"/>
    </xf>
    <xf numFmtId="0" fontId="32" fillId="0" borderId="1" xfId="0" applyFont="1" applyBorder="1" applyProtection="1">
      <alignment vertical="center"/>
      <protection hidden="1"/>
    </xf>
    <xf numFmtId="0" fontId="32" fillId="4" borderId="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33" fillId="0" borderId="0" xfId="0" applyFont="1">
      <alignment vertical="center"/>
    </xf>
    <xf numFmtId="0" fontId="21" fillId="10" borderId="84" xfId="3" applyFont="1" applyFill="1" applyBorder="1" applyAlignment="1">
      <alignment vertical="center"/>
    </xf>
    <xf numFmtId="0" fontId="21" fillId="10" borderId="85" xfId="3" applyFont="1" applyFill="1" applyBorder="1" applyAlignment="1">
      <alignment vertical="center"/>
    </xf>
    <xf numFmtId="0" fontId="21" fillId="10" borderId="86" xfId="3" applyFont="1" applyFill="1" applyBorder="1" applyAlignment="1">
      <alignment vertical="center"/>
    </xf>
    <xf numFmtId="0" fontId="21" fillId="10" borderId="87" xfId="3" applyFont="1" applyFill="1" applyBorder="1" applyAlignment="1">
      <alignment vertical="center"/>
    </xf>
    <xf numFmtId="0" fontId="51" fillId="0" borderId="0" xfId="3" applyFont="1" applyAlignment="1">
      <alignment horizontal="center" vertical="center"/>
    </xf>
    <xf numFmtId="0" fontId="52" fillId="0" borderId="0" xfId="3" applyFont="1" applyAlignment="1">
      <alignment horizontal="center" vertical="center"/>
    </xf>
    <xf numFmtId="0" fontId="53" fillId="0" borderId="0" xfId="3" applyFont="1" applyAlignment="1">
      <alignment horizontal="center" vertical="center"/>
    </xf>
    <xf numFmtId="0" fontId="52" fillId="0" borderId="0" xfId="3" applyFont="1" applyFill="1" applyBorder="1" applyAlignment="1">
      <alignment horizontal="center" vertical="center"/>
    </xf>
    <xf numFmtId="0" fontId="54" fillId="0" borderId="0" xfId="3" applyFont="1" applyAlignment="1">
      <alignment horizontal="center" vertical="center"/>
    </xf>
    <xf numFmtId="0" fontId="52" fillId="0" borderId="0" xfId="3" applyFont="1" applyAlignment="1" applyProtection="1">
      <alignment horizontal="center" vertical="center"/>
      <protection locked="0"/>
    </xf>
    <xf numFmtId="0" fontId="36" fillId="11" borderId="29" xfId="3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center" vertical="center"/>
    </xf>
    <xf numFmtId="0" fontId="30" fillId="0" borderId="0" xfId="0" applyFont="1" applyFill="1" applyProtection="1">
      <alignment vertical="center"/>
    </xf>
    <xf numFmtId="0" fontId="11" fillId="0" borderId="0" xfId="0" applyFont="1" applyFill="1" applyProtection="1">
      <alignment vertical="center"/>
    </xf>
    <xf numFmtId="0" fontId="32" fillId="0" borderId="0" xfId="0" applyFont="1" applyFill="1" applyBorder="1" applyAlignment="1" applyProtection="1">
      <alignment horizontal="center" vertical="center" wrapText="1"/>
    </xf>
    <xf numFmtId="0" fontId="32" fillId="0" borderId="0" xfId="0" applyFont="1" applyFill="1" applyBorder="1" applyAlignment="1" applyProtection="1">
      <alignment horizontal="center" vertical="center"/>
    </xf>
    <xf numFmtId="0" fontId="64" fillId="0" borderId="0" xfId="0" applyFont="1" applyFill="1" applyBorder="1" applyAlignment="1" applyProtection="1">
      <alignment horizontal="left" vertical="center"/>
    </xf>
    <xf numFmtId="0" fontId="33" fillId="7" borderId="1" xfId="0" applyFont="1" applyFill="1" applyBorder="1" applyAlignment="1" applyProtection="1">
      <alignment horizontal="center" vertical="center"/>
    </xf>
    <xf numFmtId="0" fontId="30" fillId="0" borderId="1" xfId="0" applyFont="1" applyFill="1" applyBorder="1" applyAlignment="1" applyProtection="1">
      <alignment horizontal="center" vertical="center"/>
    </xf>
    <xf numFmtId="0" fontId="24" fillId="4" borderId="23" xfId="3" applyFont="1" applyFill="1" applyBorder="1" applyAlignment="1" applyProtection="1">
      <alignment horizontal="center" vertical="center"/>
    </xf>
    <xf numFmtId="49" fontId="33" fillId="0" borderId="0" xfId="0" applyNumberFormat="1" applyFont="1" applyAlignment="1" applyProtection="1">
      <alignment horizontal="center" vertical="top"/>
    </xf>
    <xf numFmtId="0" fontId="32" fillId="0" borderId="0" xfId="0" applyFont="1" applyBorder="1" applyAlignment="1" applyProtection="1">
      <alignment horizontal="center" wrapText="1"/>
    </xf>
    <xf numFmtId="49" fontId="32" fillId="0" borderId="0" xfId="0" applyNumberFormat="1" applyFont="1" applyAlignment="1" applyProtection="1">
      <alignment horizontal="center" vertical="top"/>
    </xf>
    <xf numFmtId="0" fontId="33" fillId="0" borderId="0" xfId="0" applyFont="1" applyFill="1" applyBorder="1" applyAlignment="1" applyProtection="1">
      <alignment horizontal="center" vertical="center"/>
    </xf>
    <xf numFmtId="0" fontId="47" fillId="0" borderId="0" xfId="0" applyFont="1" applyFill="1" applyBorder="1" applyAlignment="1" applyProtection="1">
      <alignment horizontal="left" vertical="center"/>
    </xf>
    <xf numFmtId="0" fontId="32" fillId="0" borderId="0" xfId="0" applyFont="1" applyFill="1" applyProtection="1">
      <alignment vertical="center"/>
    </xf>
    <xf numFmtId="0" fontId="33" fillId="0" borderId="0" xfId="0" applyFont="1" applyFill="1" applyBorder="1" applyAlignment="1" applyProtection="1">
      <alignment horizontal="center" vertical="center" wrapText="1"/>
    </xf>
    <xf numFmtId="0" fontId="33" fillId="0" borderId="23" xfId="0" applyFont="1" applyFill="1" applyBorder="1" applyAlignment="1" applyProtection="1">
      <alignment horizontal="center" vertical="center" wrapText="1"/>
    </xf>
    <xf numFmtId="0" fontId="33" fillId="0" borderId="24" xfId="0" applyFont="1" applyFill="1" applyBorder="1" applyAlignment="1" applyProtection="1">
      <alignment horizontal="center" vertical="center" wrapText="1"/>
    </xf>
    <xf numFmtId="0" fontId="33" fillId="0" borderId="25" xfId="0" applyFont="1" applyFill="1" applyBorder="1" applyAlignment="1" applyProtection="1">
      <alignment horizontal="center" vertical="center" wrapText="1"/>
    </xf>
    <xf numFmtId="49" fontId="33" fillId="7" borderId="23" xfId="0" applyNumberFormat="1" applyFont="1" applyFill="1" applyBorder="1" applyAlignment="1" applyProtection="1">
      <alignment horizontal="center" vertical="center"/>
    </xf>
    <xf numFmtId="58" fontId="33" fillId="0" borderId="23" xfId="0" applyNumberFormat="1" applyFont="1" applyBorder="1" applyAlignment="1" applyProtection="1">
      <alignment horizontal="center" vertical="center"/>
    </xf>
    <xf numFmtId="0" fontId="33" fillId="7" borderId="27" xfId="0" applyFont="1" applyFill="1" applyBorder="1" applyAlignment="1" applyProtection="1">
      <alignment horizontal="center" vertical="center"/>
    </xf>
    <xf numFmtId="0" fontId="33" fillId="0" borderId="111" xfId="0" applyFont="1" applyFill="1" applyBorder="1" applyAlignment="1" applyProtection="1">
      <alignment horizontal="center" vertical="center" wrapText="1"/>
    </xf>
    <xf numFmtId="182" fontId="66" fillId="0" borderId="0" xfId="0" applyNumberFormat="1" applyFont="1" applyAlignment="1" applyProtection="1">
      <alignment horizontal="center"/>
    </xf>
    <xf numFmtId="14" fontId="69" fillId="0" borderId="0" xfId="0" applyNumberFormat="1" applyFont="1" applyProtection="1">
      <alignment vertical="center"/>
    </xf>
    <xf numFmtId="0" fontId="21" fillId="0" borderId="0" xfId="0" applyFont="1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40" fillId="0" borderId="0" xfId="0" applyFont="1" applyProtection="1">
      <alignment vertical="center"/>
      <protection hidden="1"/>
    </xf>
    <xf numFmtId="0" fontId="21" fillId="0" borderId="72" xfId="0" applyFont="1" applyBorder="1" applyAlignment="1" applyProtection="1">
      <alignment horizontal="right" vertical="center"/>
      <protection hidden="1"/>
    </xf>
    <xf numFmtId="0" fontId="21" fillId="0" borderId="73" xfId="0" applyFont="1" applyBorder="1" applyAlignment="1" applyProtection="1">
      <alignment horizontal="left" vertical="center"/>
      <protection hidden="1"/>
    </xf>
    <xf numFmtId="0" fontId="40" fillId="0" borderId="73" xfId="0" applyFont="1" applyBorder="1" applyProtection="1">
      <alignment vertical="center"/>
      <protection hidden="1"/>
    </xf>
    <xf numFmtId="0" fontId="40" fillId="0" borderId="74" xfId="0" applyFont="1" applyBorder="1" applyProtection="1">
      <alignment vertical="center"/>
      <protection hidden="1"/>
    </xf>
    <xf numFmtId="0" fontId="21" fillId="0" borderId="75" xfId="0" applyFont="1" applyBorder="1" applyAlignment="1" applyProtection="1">
      <alignment horizontal="right" vertical="center"/>
      <protection hidden="1"/>
    </xf>
    <xf numFmtId="0" fontId="52" fillId="0" borderId="0" xfId="0" applyFont="1" applyBorder="1" applyAlignment="1" applyProtection="1">
      <alignment horizontal="left" vertical="center"/>
      <protection hidden="1"/>
    </xf>
    <xf numFmtId="0" fontId="21" fillId="0" borderId="0" xfId="0" applyFont="1" applyBorder="1" applyAlignment="1" applyProtection="1">
      <alignment horizontal="left" vertical="center"/>
      <protection hidden="1"/>
    </xf>
    <xf numFmtId="0" fontId="40" fillId="0" borderId="0" xfId="0" applyFont="1" applyBorder="1" applyProtection="1">
      <alignment vertical="center"/>
      <protection hidden="1"/>
    </xf>
    <xf numFmtId="0" fontId="40" fillId="0" borderId="76" xfId="0" applyFont="1" applyBorder="1" applyProtection="1">
      <alignment vertical="center"/>
      <protection hidden="1"/>
    </xf>
    <xf numFmtId="0" fontId="72" fillId="0" borderId="115" xfId="0" applyFont="1" applyBorder="1" applyAlignment="1" applyProtection="1">
      <alignment horizontal="center" vertical="center"/>
      <protection hidden="1"/>
    </xf>
    <xf numFmtId="0" fontId="73" fillId="4" borderId="115" xfId="0" applyFont="1" applyFill="1" applyBorder="1" applyAlignment="1" applyProtection="1">
      <alignment horizontal="center" vertical="center"/>
      <protection hidden="1"/>
    </xf>
    <xf numFmtId="0" fontId="21" fillId="0" borderId="77" xfId="0" applyFont="1" applyBorder="1" applyAlignment="1" applyProtection="1">
      <alignment horizontal="right" vertical="center"/>
      <protection hidden="1"/>
    </xf>
    <xf numFmtId="0" fontId="21" fillId="0" borderId="78" xfId="0" applyFont="1" applyBorder="1" applyAlignment="1" applyProtection="1">
      <alignment horizontal="left" vertical="center"/>
      <protection hidden="1"/>
    </xf>
    <xf numFmtId="0" fontId="40" fillId="0" borderId="78" xfId="0" applyFont="1" applyBorder="1" applyProtection="1">
      <alignment vertical="center"/>
      <protection hidden="1"/>
    </xf>
    <xf numFmtId="0" fontId="40" fillId="0" borderId="79" xfId="0" applyFont="1" applyBorder="1" applyProtection="1">
      <alignment vertical="center"/>
      <protection hidden="1"/>
    </xf>
    <xf numFmtId="0" fontId="30" fillId="16" borderId="5" xfId="0" applyFont="1" applyFill="1" applyBorder="1" applyAlignment="1" applyProtection="1">
      <alignment horizontal="center" vertical="center"/>
      <protection hidden="1"/>
    </xf>
    <xf numFmtId="0" fontId="30" fillId="0" borderId="1" xfId="0" applyFont="1" applyBorder="1" applyAlignment="1" applyProtection="1">
      <alignment horizontal="center" vertical="center"/>
      <protection hidden="1"/>
    </xf>
    <xf numFmtId="0" fontId="30" fillId="0" borderId="0" xfId="0" applyFont="1" applyBorder="1" applyProtection="1">
      <alignment vertical="center"/>
      <protection hidden="1"/>
    </xf>
    <xf numFmtId="41" fontId="23" fillId="0" borderId="25" xfId="3" applyNumberFormat="1" applyFont="1" applyBorder="1" applyAlignment="1" applyProtection="1">
      <alignment vertical="center" shrinkToFit="1"/>
    </xf>
    <xf numFmtId="0" fontId="30" fillId="0" borderId="1" xfId="0" applyFont="1" applyBorder="1" applyAlignment="1" applyProtection="1">
      <alignment horizontal="left" vertical="center"/>
    </xf>
    <xf numFmtId="0" fontId="34" fillId="2" borderId="1" xfId="0" applyFont="1" applyFill="1" applyBorder="1" applyAlignment="1">
      <alignment horizontal="left" vertical="center"/>
    </xf>
    <xf numFmtId="0" fontId="30" fillId="0" borderId="1" xfId="0" applyFont="1" applyFill="1" applyBorder="1" applyAlignment="1" applyProtection="1">
      <alignment horizontal="left" vertical="center"/>
    </xf>
    <xf numFmtId="0" fontId="30" fillId="0" borderId="0" xfId="0" applyFont="1" applyAlignment="1">
      <alignment horizontal="left" vertical="center"/>
    </xf>
    <xf numFmtId="183" fontId="50" fillId="0" borderId="82" xfId="0" applyNumberFormat="1" applyFont="1" applyFill="1" applyBorder="1" applyAlignment="1" applyProtection="1">
      <alignment horizontal="center" vertical="center"/>
    </xf>
    <xf numFmtId="0" fontId="33" fillId="0" borderId="5" xfId="0" applyFont="1" applyBorder="1" applyAlignment="1" applyProtection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76" fillId="0" borderId="116" xfId="0" applyFont="1" applyBorder="1" applyAlignment="1" applyProtection="1">
      <alignment vertical="center"/>
    </xf>
    <xf numFmtId="0" fontId="77" fillId="0" borderId="116" xfId="0" applyFont="1" applyBorder="1" applyAlignment="1">
      <alignment vertical="center"/>
    </xf>
    <xf numFmtId="0" fontId="77" fillId="0" borderId="116" xfId="0" applyFont="1" applyBorder="1" applyAlignment="1">
      <alignment horizontal="center" vertical="center"/>
    </xf>
    <xf numFmtId="0" fontId="32" fillId="0" borderId="1" xfId="0" applyFont="1" applyBorder="1">
      <alignment vertical="center"/>
    </xf>
    <xf numFmtId="0" fontId="30" fillId="0" borderId="40" xfId="0" applyFont="1" applyBorder="1" applyProtection="1">
      <alignment vertical="center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0" fontId="34" fillId="0" borderId="1" xfId="0" applyFont="1" applyBorder="1" applyAlignment="1" applyProtection="1">
      <alignment horizontal="center" vertical="center"/>
      <protection locked="0"/>
    </xf>
    <xf numFmtId="0" fontId="33" fillId="7" borderId="13" xfId="0" applyFont="1" applyFill="1" applyBorder="1" applyAlignment="1" applyProtection="1">
      <alignment horizontal="center" vertical="center"/>
    </xf>
    <xf numFmtId="0" fontId="78" fillId="0" borderId="0" xfId="0" applyFont="1" applyProtection="1">
      <alignment vertical="center"/>
    </xf>
    <xf numFmtId="0" fontId="76" fillId="0" borderId="116" xfId="0" applyFont="1" applyBorder="1" applyAlignment="1">
      <alignment vertical="center"/>
    </xf>
    <xf numFmtId="0" fontId="36" fillId="3" borderId="115" xfId="0" applyFont="1" applyFill="1" applyBorder="1" applyAlignment="1" applyProtection="1">
      <alignment horizontal="center" vertical="center"/>
    </xf>
    <xf numFmtId="0" fontId="33" fillId="2" borderId="109" xfId="1" applyNumberFormat="1" applyFont="1" applyFill="1" applyBorder="1" applyAlignment="1" applyProtection="1">
      <alignment horizontal="center" vertical="center"/>
    </xf>
    <xf numFmtId="0" fontId="52" fillId="0" borderId="76" xfId="0" applyFont="1" applyFill="1" applyBorder="1" applyAlignment="1" applyProtection="1">
      <alignment horizontal="center" vertical="center"/>
      <protection hidden="1"/>
    </xf>
    <xf numFmtId="0" fontId="33" fillId="0" borderId="1" xfId="0" applyNumberFormat="1" applyFont="1" applyFill="1" applyBorder="1" applyAlignment="1">
      <alignment horizontal="center" vertical="center"/>
    </xf>
    <xf numFmtId="0" fontId="33" fillId="0" borderId="13" xfId="1" applyNumberFormat="1" applyFont="1" applyFill="1" applyBorder="1" applyAlignment="1">
      <alignment vertical="center"/>
    </xf>
    <xf numFmtId="0" fontId="33" fillId="7" borderId="1" xfId="1" applyNumberFormat="1" applyFont="1" applyFill="1" applyBorder="1" applyAlignment="1">
      <alignment horizontal="center" vertical="center"/>
    </xf>
    <xf numFmtId="0" fontId="79" fillId="0" borderId="1" xfId="0" applyFont="1" applyFill="1" applyBorder="1" applyAlignment="1" applyProtection="1">
      <alignment vertical="center"/>
    </xf>
    <xf numFmtId="0" fontId="80" fillId="0" borderId="0" xfId="0" applyFont="1" applyFill="1" applyAlignment="1">
      <alignment vertical="center"/>
    </xf>
    <xf numFmtId="0" fontId="79" fillId="4" borderId="1" xfId="0" applyFont="1" applyFill="1" applyBorder="1" applyAlignment="1" applyProtection="1">
      <alignment vertical="center"/>
    </xf>
    <xf numFmtId="0" fontId="79" fillId="4" borderId="1" xfId="0" applyFont="1" applyFill="1" applyBorder="1" applyAlignment="1" applyProtection="1">
      <alignment horizontal="center" vertical="center"/>
    </xf>
    <xf numFmtId="0" fontId="77" fillId="0" borderId="116" xfId="0" applyFont="1" applyBorder="1" applyAlignment="1" applyProtection="1">
      <alignment vertical="center"/>
    </xf>
    <xf numFmtId="181" fontId="82" fillId="14" borderId="120" xfId="3" applyNumberFormat="1" applyFont="1" applyFill="1" applyBorder="1" applyAlignment="1">
      <alignment horizontal="left" vertical="center" wrapText="1"/>
    </xf>
    <xf numFmtId="41" fontId="82" fillId="14" borderId="23" xfId="3" applyNumberFormat="1" applyFont="1" applyFill="1" applyBorder="1" applyAlignment="1">
      <alignment horizontal="center" vertical="center" shrinkToFit="1"/>
    </xf>
    <xf numFmtId="41" fontId="82" fillId="14" borderId="24" xfId="3" applyNumberFormat="1" applyFont="1" applyFill="1" applyBorder="1" applyAlignment="1">
      <alignment horizontal="center" vertical="center" shrinkToFit="1"/>
    </xf>
    <xf numFmtId="0" fontId="83" fillId="0" borderId="0" xfId="0" applyFont="1">
      <alignment vertical="center"/>
    </xf>
    <xf numFmtId="41" fontId="82" fillId="14" borderId="2" xfId="3" applyNumberFormat="1" applyFont="1" applyFill="1" applyBorder="1" applyAlignment="1">
      <alignment horizontal="center" vertical="center" shrinkToFit="1"/>
    </xf>
    <xf numFmtId="41" fontId="82" fillId="14" borderId="3" xfId="3" applyNumberFormat="1" applyFont="1" applyFill="1" applyBorder="1" applyAlignment="1">
      <alignment horizontal="center" vertical="center" shrinkToFit="1"/>
    </xf>
    <xf numFmtId="184" fontId="84" fillId="0" borderId="1" xfId="2" applyNumberFormat="1" applyFont="1" applyFill="1" applyBorder="1" applyAlignment="1">
      <alignment horizontal="center" vertical="center" shrinkToFit="1"/>
    </xf>
    <xf numFmtId="184" fontId="84" fillId="0" borderId="25" xfId="2" applyNumberFormat="1" applyFont="1" applyFill="1" applyBorder="1" applyAlignment="1">
      <alignment horizontal="center" vertical="center" shrinkToFit="1"/>
    </xf>
    <xf numFmtId="184" fontId="84" fillId="0" borderId="102" xfId="2" applyNumberFormat="1" applyFont="1" applyFill="1" applyBorder="1" applyAlignment="1">
      <alignment horizontal="center" vertical="center" shrinkToFit="1"/>
    </xf>
    <xf numFmtId="184" fontId="84" fillId="0" borderId="103" xfId="2" applyNumberFormat="1" applyFont="1" applyFill="1" applyBorder="1" applyAlignment="1">
      <alignment horizontal="center" vertical="center" shrinkToFit="1"/>
    </xf>
    <xf numFmtId="184" fontId="84" fillId="0" borderId="27" xfId="2" applyNumberFormat="1" applyFont="1" applyFill="1" applyBorder="1" applyAlignment="1">
      <alignment horizontal="center" vertical="center" shrinkToFit="1"/>
    </xf>
    <xf numFmtId="184" fontId="84" fillId="0" borderId="104" xfId="2" applyNumberFormat="1" applyFont="1" applyFill="1" applyBorder="1" applyAlignment="1">
      <alignment horizontal="center" vertical="center" shrinkToFit="1"/>
    </xf>
    <xf numFmtId="184" fontId="84" fillId="0" borderId="105" xfId="2" applyNumberFormat="1" applyFont="1" applyFill="1" applyBorder="1" applyAlignment="1">
      <alignment horizontal="center" vertical="center" shrinkToFit="1"/>
    </xf>
    <xf numFmtId="49" fontId="30" fillId="0" borderId="40" xfId="0" applyNumberFormat="1" applyFont="1" applyBorder="1" applyProtection="1">
      <alignment vertical="center"/>
    </xf>
    <xf numFmtId="0" fontId="35" fillId="0" borderId="10" xfId="0" applyFont="1" applyBorder="1" applyAlignment="1" applyProtection="1">
      <alignment horizontal="left" vertical="center"/>
    </xf>
    <xf numFmtId="0" fontId="30" fillId="2" borderId="8" xfId="0" applyFont="1" applyFill="1" applyBorder="1" applyAlignment="1" applyProtection="1">
      <alignment horizontal="center" vertical="center"/>
    </xf>
    <xf numFmtId="0" fontId="30" fillId="2" borderId="9" xfId="0" applyFont="1" applyFill="1" applyBorder="1" applyAlignment="1" applyProtection="1">
      <alignment horizontal="center" vertical="center"/>
    </xf>
    <xf numFmtId="0" fontId="57" fillId="0" borderId="0" xfId="0" applyFont="1" applyBorder="1" applyAlignment="1" applyProtection="1">
      <alignment horizontal="center" vertical="center"/>
    </xf>
    <xf numFmtId="0" fontId="57" fillId="0" borderId="40" xfId="0" applyFont="1" applyBorder="1" applyAlignment="1" applyProtection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</xf>
    <xf numFmtId="0" fontId="33" fillId="7" borderId="106" xfId="0" applyFont="1" applyFill="1" applyBorder="1" applyAlignment="1" applyProtection="1">
      <alignment horizontal="center" vertical="center"/>
    </xf>
    <xf numFmtId="0" fontId="33" fillId="7" borderId="108" xfId="0" applyFont="1" applyFill="1" applyBorder="1" applyAlignment="1" applyProtection="1">
      <alignment horizontal="center" vertical="center"/>
    </xf>
    <xf numFmtId="0" fontId="30" fillId="2" borderId="32" xfId="0" applyFont="1" applyFill="1" applyBorder="1" applyAlignment="1" applyProtection="1">
      <alignment horizontal="center" vertical="center" wrapText="1"/>
    </xf>
    <xf numFmtId="0" fontId="30" fillId="2" borderId="33" xfId="0" applyFont="1" applyFill="1" applyBorder="1" applyAlignment="1" applyProtection="1">
      <alignment horizontal="center" vertical="center"/>
    </xf>
    <xf numFmtId="0" fontId="30" fillId="2" borderId="38" xfId="0" applyFont="1" applyFill="1" applyBorder="1" applyAlignment="1" applyProtection="1">
      <alignment horizontal="center" vertical="center" wrapText="1"/>
    </xf>
    <xf numFmtId="0" fontId="30" fillId="2" borderId="39" xfId="0" applyFont="1" applyFill="1" applyBorder="1" applyAlignment="1" applyProtection="1">
      <alignment horizontal="center" vertical="center"/>
    </xf>
    <xf numFmtId="0" fontId="30" fillId="2" borderId="30" xfId="0" applyFont="1" applyFill="1" applyBorder="1" applyAlignment="1" applyProtection="1">
      <alignment horizontal="center" vertical="center" wrapText="1"/>
    </xf>
    <xf numFmtId="0" fontId="30" fillId="2" borderId="9" xfId="0" applyFont="1" applyFill="1" applyBorder="1" applyAlignment="1" applyProtection="1">
      <alignment horizontal="center" vertical="center" wrapText="1"/>
    </xf>
    <xf numFmtId="0" fontId="30" fillId="2" borderId="34" xfId="0" applyFont="1" applyFill="1" applyBorder="1" applyAlignment="1" applyProtection="1">
      <alignment horizontal="center" vertical="center" wrapText="1"/>
    </xf>
    <xf numFmtId="0" fontId="30" fillId="2" borderId="36" xfId="0" applyFont="1" applyFill="1" applyBorder="1" applyAlignment="1" applyProtection="1">
      <alignment horizontal="center" vertical="center"/>
    </xf>
    <xf numFmtId="0" fontId="33" fillId="0" borderId="106" xfId="0" applyFont="1" applyFill="1" applyBorder="1" applyAlignment="1" applyProtection="1">
      <alignment horizontal="center" vertical="center" wrapText="1"/>
    </xf>
    <xf numFmtId="0" fontId="33" fillId="0" borderId="107" xfId="0" applyFont="1" applyFill="1" applyBorder="1" applyAlignment="1" applyProtection="1">
      <alignment horizontal="center" vertical="center" wrapText="1"/>
    </xf>
    <xf numFmtId="0" fontId="33" fillId="4" borderId="117" xfId="0" applyFont="1" applyFill="1" applyBorder="1" applyAlignment="1" applyProtection="1">
      <alignment horizontal="right" vertical="center" wrapText="1" indent="1"/>
    </xf>
    <xf numFmtId="0" fontId="33" fillId="4" borderId="118" xfId="0" applyFont="1" applyFill="1" applyBorder="1" applyAlignment="1" applyProtection="1">
      <alignment horizontal="right" vertical="center" wrapText="1" indent="1"/>
    </xf>
    <xf numFmtId="0" fontId="33" fillId="4" borderId="119" xfId="0" applyFont="1" applyFill="1" applyBorder="1" applyAlignment="1" applyProtection="1">
      <alignment horizontal="right" vertical="center" wrapText="1" indent="1"/>
    </xf>
    <xf numFmtId="0" fontId="30" fillId="2" borderId="5" xfId="0" applyFont="1" applyFill="1" applyBorder="1" applyAlignment="1" applyProtection="1">
      <alignment horizontal="center" vertical="center"/>
    </xf>
    <xf numFmtId="0" fontId="30" fillId="2" borderId="13" xfId="0" applyFont="1" applyFill="1" applyBorder="1" applyAlignment="1" applyProtection="1">
      <alignment horizontal="center" vertical="center"/>
    </xf>
    <xf numFmtId="0" fontId="30" fillId="5" borderId="30" xfId="0" applyFont="1" applyFill="1" applyBorder="1" applyAlignment="1" applyProtection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/>
    </xf>
    <xf numFmtId="0" fontId="30" fillId="2" borderId="0" xfId="0" applyFont="1" applyFill="1" applyAlignment="1" applyProtection="1">
      <alignment horizontal="left" vertical="top" wrapText="1"/>
    </xf>
    <xf numFmtId="0" fontId="30" fillId="2" borderId="0" xfId="0" applyFont="1" applyFill="1" applyAlignment="1" applyProtection="1">
      <alignment horizontal="left" vertical="top"/>
    </xf>
    <xf numFmtId="0" fontId="86" fillId="0" borderId="0" xfId="0" applyFont="1" applyBorder="1" applyAlignment="1" applyProtection="1">
      <alignment horizontal="center" vertical="center"/>
      <protection hidden="1"/>
    </xf>
    <xf numFmtId="0" fontId="71" fillId="0" borderId="60" xfId="0" applyFont="1" applyBorder="1" applyAlignment="1" applyProtection="1">
      <alignment horizontal="center" vertical="center" shrinkToFit="1"/>
      <protection hidden="1"/>
    </xf>
    <xf numFmtId="0" fontId="27" fillId="15" borderId="106" xfId="0" applyFont="1" applyFill="1" applyBorder="1" applyAlignment="1" applyProtection="1">
      <alignment horizontal="left" vertical="center" indent="1" shrinkToFit="1"/>
      <protection hidden="1"/>
    </xf>
    <xf numFmtId="0" fontId="27" fillId="15" borderId="107" xfId="0" applyFont="1" applyFill="1" applyBorder="1" applyAlignment="1" applyProtection="1">
      <alignment horizontal="left" vertical="center" indent="1" shrinkToFit="1"/>
      <protection hidden="1"/>
    </xf>
    <xf numFmtId="0" fontId="27" fillId="15" borderId="108" xfId="0" applyFont="1" applyFill="1" applyBorder="1" applyAlignment="1" applyProtection="1">
      <alignment horizontal="left" vertical="center" indent="1" shrinkToFit="1"/>
      <protection hidden="1"/>
    </xf>
    <xf numFmtId="0" fontId="27" fillId="0" borderId="106" xfId="0" applyFont="1" applyFill="1" applyBorder="1" applyAlignment="1" applyProtection="1">
      <alignment horizontal="left" vertical="center" indent="1" shrinkToFit="1"/>
      <protection hidden="1"/>
    </xf>
    <xf numFmtId="0" fontId="27" fillId="0" borderId="107" xfId="0" applyFont="1" applyFill="1" applyBorder="1" applyAlignment="1" applyProtection="1">
      <alignment horizontal="left" vertical="center" indent="1" shrinkToFit="1"/>
      <protection hidden="1"/>
    </xf>
    <xf numFmtId="0" fontId="27" fillId="0" borderId="108" xfId="0" applyFont="1" applyFill="1" applyBorder="1" applyAlignment="1" applyProtection="1">
      <alignment horizontal="left" vertical="center" indent="1" shrinkToFit="1"/>
      <protection hidden="1"/>
    </xf>
    <xf numFmtId="0" fontId="74" fillId="4" borderId="106" xfId="0" applyFont="1" applyFill="1" applyBorder="1" applyAlignment="1" applyProtection="1">
      <alignment horizontal="center" vertical="center"/>
      <protection hidden="1"/>
    </xf>
    <xf numFmtId="0" fontId="74" fillId="4" borderId="107" xfId="0" applyFont="1" applyFill="1" applyBorder="1" applyAlignment="1" applyProtection="1">
      <alignment horizontal="center" vertical="center"/>
      <protection hidden="1"/>
    </xf>
    <xf numFmtId="0" fontId="74" fillId="4" borderId="108" xfId="0" applyFont="1" applyFill="1" applyBorder="1" applyAlignment="1" applyProtection="1">
      <alignment horizontal="center" vertical="center"/>
      <protection hidden="1"/>
    </xf>
    <xf numFmtId="0" fontId="75" fillId="4" borderId="106" xfId="0" applyFont="1" applyFill="1" applyBorder="1" applyAlignment="1" applyProtection="1">
      <alignment horizontal="center" vertical="center"/>
      <protection hidden="1"/>
    </xf>
    <xf numFmtId="0" fontId="75" fillId="4" borderId="108" xfId="0" applyFont="1" applyFill="1" applyBorder="1" applyAlignment="1" applyProtection="1">
      <alignment horizontal="center" vertical="center"/>
      <protection hidden="1"/>
    </xf>
    <xf numFmtId="0" fontId="43" fillId="0" borderId="73" xfId="0" applyFont="1" applyBorder="1" applyAlignment="1" applyProtection="1">
      <alignment horizontal="left" vertical="center" wrapText="1"/>
    </xf>
    <xf numFmtId="0" fontId="41" fillId="4" borderId="0" xfId="0" applyFont="1" applyFill="1" applyBorder="1" applyAlignment="1" applyProtection="1">
      <alignment horizontal="left" vertical="center"/>
    </xf>
    <xf numFmtId="0" fontId="43" fillId="0" borderId="78" xfId="0" applyFont="1" applyBorder="1" applyAlignment="1" applyProtection="1">
      <alignment horizontal="left" vertical="center"/>
    </xf>
    <xf numFmtId="0" fontId="52" fillId="0" borderId="0" xfId="0" applyFont="1" applyAlignment="1" applyProtection="1">
      <alignment horizontal="center" vertical="center" wrapText="1"/>
    </xf>
    <xf numFmtId="0" fontId="81" fillId="0" borderId="0" xfId="0" applyFont="1" applyAlignment="1" applyProtection="1">
      <alignment horizontal="center" vertical="center"/>
    </xf>
    <xf numFmtId="0" fontId="33" fillId="0" borderId="27" xfId="0" applyFont="1" applyFill="1" applyBorder="1" applyAlignment="1" applyProtection="1">
      <alignment horizontal="center" vertical="center"/>
    </xf>
    <xf numFmtId="0" fontId="33" fillId="0" borderId="28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right" vertical="center"/>
    </xf>
    <xf numFmtId="0" fontId="33" fillId="7" borderId="2" xfId="0" applyFont="1" applyFill="1" applyBorder="1" applyAlignment="1" applyProtection="1">
      <alignment horizontal="distributed" vertical="center" indent="1"/>
    </xf>
    <xf numFmtId="0" fontId="33" fillId="7" borderId="1" xfId="0" applyFont="1" applyFill="1" applyBorder="1" applyAlignment="1" applyProtection="1">
      <alignment horizontal="distributed" vertical="center" indent="1"/>
    </xf>
    <xf numFmtId="0" fontId="32" fillId="2" borderId="5" xfId="0" applyFont="1" applyFill="1" applyBorder="1" applyAlignment="1" applyProtection="1">
      <alignment horizontal="center" vertical="center"/>
    </xf>
    <xf numFmtId="0" fontId="32" fillId="2" borderId="13" xfId="0" applyFont="1" applyFill="1" applyBorder="1" applyAlignment="1" applyProtection="1">
      <alignment horizontal="center" vertical="center"/>
    </xf>
    <xf numFmtId="0" fontId="33" fillId="7" borderId="3" xfId="0" applyFont="1" applyFill="1" applyBorder="1" applyAlignment="1" applyProtection="1">
      <alignment horizontal="distributed" vertical="center" indent="1"/>
    </xf>
    <xf numFmtId="0" fontId="33" fillId="7" borderId="27" xfId="0" applyFont="1" applyFill="1" applyBorder="1" applyAlignment="1" applyProtection="1">
      <alignment horizontal="distributed" vertical="center" indent="1"/>
    </xf>
    <xf numFmtId="0" fontId="33" fillId="7" borderId="1" xfId="0" applyFont="1" applyFill="1" applyBorder="1" applyAlignment="1" applyProtection="1">
      <alignment horizontal="center" vertical="center"/>
    </xf>
    <xf numFmtId="0" fontId="30" fillId="5" borderId="9" xfId="0" applyFont="1" applyFill="1" applyBorder="1" applyAlignment="1" applyProtection="1">
      <alignment horizontal="center" vertical="center" wrapText="1"/>
    </xf>
    <xf numFmtId="0" fontId="33" fillId="0" borderId="5" xfId="0" applyFont="1" applyFill="1" applyBorder="1" applyAlignment="1" applyProtection="1">
      <alignment horizontal="center" vertical="center"/>
    </xf>
    <xf numFmtId="0" fontId="33" fillId="0" borderId="31" xfId="0" applyFont="1" applyFill="1" applyBorder="1" applyAlignment="1" applyProtection="1">
      <alignment horizontal="center" vertical="center"/>
    </xf>
    <xf numFmtId="0" fontId="33" fillId="0" borderId="109" xfId="0" applyFont="1" applyFill="1" applyBorder="1" applyAlignment="1" applyProtection="1">
      <alignment horizontal="center" vertical="center"/>
    </xf>
    <xf numFmtId="0" fontId="30" fillId="2" borderId="8" xfId="0" applyFont="1" applyFill="1" applyBorder="1" applyAlignment="1" applyProtection="1">
      <alignment horizontal="center" vertical="center" wrapText="1"/>
    </xf>
    <xf numFmtId="0" fontId="30" fillId="2" borderId="1" xfId="0" applyFont="1" applyFill="1" applyBorder="1" applyAlignment="1" applyProtection="1">
      <alignment horizontal="center" vertical="center"/>
    </xf>
    <xf numFmtId="0" fontId="33" fillId="7" borderId="23" xfId="0" applyFont="1" applyFill="1" applyBorder="1" applyAlignment="1" applyProtection="1">
      <alignment horizontal="center" vertical="center"/>
    </xf>
    <xf numFmtId="0" fontId="33" fillId="7" borderId="47" xfId="0" applyFont="1" applyFill="1" applyBorder="1" applyAlignment="1" applyProtection="1">
      <alignment horizontal="distributed" vertical="center" indent="1"/>
    </xf>
    <xf numFmtId="0" fontId="33" fillId="7" borderId="23" xfId="0" applyFont="1" applyFill="1" applyBorder="1" applyAlignment="1" applyProtection="1">
      <alignment horizontal="distributed" vertical="center" indent="1"/>
    </xf>
    <xf numFmtId="0" fontId="55" fillId="0" borderId="0" xfId="0" applyFont="1" applyBorder="1" applyAlignment="1" applyProtection="1">
      <alignment horizontal="left" vertical="center"/>
    </xf>
    <xf numFmtId="0" fontId="33" fillId="0" borderId="88" xfId="0" applyFont="1" applyFill="1" applyBorder="1" applyAlignment="1" applyProtection="1">
      <alignment horizontal="center" vertical="center"/>
    </xf>
    <xf numFmtId="0" fontId="33" fillId="0" borderId="89" xfId="0" applyFont="1" applyFill="1" applyBorder="1" applyAlignment="1" applyProtection="1">
      <alignment horizontal="center" vertical="center"/>
    </xf>
    <xf numFmtId="49" fontId="55" fillId="7" borderId="47" xfId="0" applyNumberFormat="1" applyFont="1" applyFill="1" applyBorder="1" applyAlignment="1" applyProtection="1">
      <alignment horizontal="center" vertical="center"/>
    </xf>
    <xf numFmtId="49" fontId="55" fillId="7" borderId="23" xfId="0" applyNumberFormat="1" applyFont="1" applyFill="1" applyBorder="1" applyAlignment="1" applyProtection="1">
      <alignment horizontal="center" vertical="center"/>
    </xf>
    <xf numFmtId="14" fontId="33" fillId="0" borderId="21" xfId="0" applyNumberFormat="1" applyFont="1" applyBorder="1" applyAlignment="1" applyProtection="1">
      <alignment horizontal="center" vertical="center"/>
    </xf>
    <xf numFmtId="14" fontId="33" fillId="0" borderId="114" xfId="0" applyNumberFormat="1" applyFont="1" applyBorder="1" applyAlignment="1" applyProtection="1">
      <alignment horizontal="center" vertical="center"/>
    </xf>
    <xf numFmtId="0" fontId="33" fillId="0" borderId="1" xfId="0" applyFont="1" applyFill="1" applyBorder="1" applyAlignment="1" applyProtection="1">
      <alignment horizontal="center" vertical="center"/>
    </xf>
    <xf numFmtId="0" fontId="33" fillId="0" borderId="8" xfId="0" applyFont="1" applyFill="1" applyBorder="1" applyAlignment="1" applyProtection="1">
      <alignment horizontal="center" vertical="center"/>
    </xf>
    <xf numFmtId="0" fontId="33" fillId="0" borderId="25" xfId="0" applyFont="1" applyFill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horizontal="center" vertical="center"/>
    </xf>
    <xf numFmtId="0" fontId="33" fillId="0" borderId="25" xfId="0" applyFont="1" applyBorder="1" applyAlignment="1" applyProtection="1">
      <alignment horizontal="center" vertical="center"/>
    </xf>
    <xf numFmtId="0" fontId="56" fillId="0" borderId="110" xfId="0" applyFont="1" applyBorder="1" applyAlignment="1" applyProtection="1">
      <alignment horizontal="center" vertical="center"/>
    </xf>
    <xf numFmtId="0" fontId="56" fillId="0" borderId="35" xfId="0" applyFont="1" applyBorder="1" applyAlignment="1" applyProtection="1">
      <alignment horizontal="center" vertical="center"/>
    </xf>
    <xf numFmtId="0" fontId="56" fillId="0" borderId="51" xfId="0" applyFont="1" applyBorder="1" applyAlignment="1" applyProtection="1">
      <alignment horizontal="center" vertical="center"/>
    </xf>
    <xf numFmtId="0" fontId="56" fillId="0" borderId="37" xfId="0" applyFont="1" applyBorder="1" applyAlignment="1" applyProtection="1">
      <alignment horizontal="center" vertical="center"/>
    </xf>
    <xf numFmtId="0" fontId="33" fillId="7" borderId="90" xfId="0" applyFont="1" applyFill="1" applyBorder="1" applyAlignment="1" applyProtection="1">
      <alignment horizontal="center" vertical="center"/>
    </xf>
    <xf numFmtId="0" fontId="33" fillId="7" borderId="91" xfId="0" applyFont="1" applyFill="1" applyBorder="1" applyAlignment="1" applyProtection="1">
      <alignment horizontal="center" vertical="center"/>
    </xf>
    <xf numFmtId="0" fontId="47" fillId="2" borderId="60" xfId="0" applyFont="1" applyFill="1" applyBorder="1" applyAlignment="1" applyProtection="1">
      <alignment horizontal="left" vertical="center"/>
    </xf>
    <xf numFmtId="0" fontId="47" fillId="2" borderId="112" xfId="0" applyFont="1" applyFill="1" applyBorder="1" applyAlignment="1" applyProtection="1">
      <alignment horizontal="left" vertical="center"/>
    </xf>
    <xf numFmtId="0" fontId="47" fillId="2" borderId="113" xfId="0" applyFont="1" applyFill="1" applyBorder="1" applyAlignment="1" applyProtection="1">
      <alignment horizontal="left" vertical="center"/>
    </xf>
    <xf numFmtId="0" fontId="33" fillId="7" borderId="92" xfId="0" applyNumberFormat="1" applyFont="1" applyFill="1" applyBorder="1" applyAlignment="1">
      <alignment horizontal="center" vertical="center"/>
    </xf>
    <xf numFmtId="0" fontId="33" fillId="7" borderId="93" xfId="0" applyNumberFormat="1" applyFont="1" applyFill="1" applyBorder="1" applyAlignment="1">
      <alignment horizontal="center" vertical="center"/>
    </xf>
    <xf numFmtId="0" fontId="33" fillId="0" borderId="5" xfId="0" applyNumberFormat="1" applyFont="1" applyFill="1" applyBorder="1" applyAlignment="1">
      <alignment horizontal="center" vertical="center"/>
    </xf>
    <xf numFmtId="0" fontId="33" fillId="0" borderId="31" xfId="0" applyNumberFormat="1" applyFont="1" applyFill="1" applyBorder="1" applyAlignment="1">
      <alignment horizontal="center" vertical="center"/>
    </xf>
    <xf numFmtId="0" fontId="33" fillId="0" borderId="13" xfId="0" applyNumberFormat="1" applyFont="1" applyFill="1" applyBorder="1" applyAlignment="1">
      <alignment horizontal="center" vertical="center"/>
    </xf>
    <xf numFmtId="0" fontId="33" fillId="7" borderId="5" xfId="0" applyNumberFormat="1" applyFont="1" applyFill="1" applyBorder="1" applyAlignment="1">
      <alignment horizontal="distributed" vertical="center" indent="1"/>
    </xf>
    <xf numFmtId="0" fontId="33" fillId="7" borderId="13" xfId="0" applyNumberFormat="1" applyFont="1" applyFill="1" applyBorder="1" applyAlignment="1">
      <alignment horizontal="distributed" vertical="center" indent="1"/>
    </xf>
    <xf numFmtId="0" fontId="35" fillId="0" borderId="10" xfId="0" applyNumberFormat="1" applyFont="1" applyBorder="1" applyAlignment="1">
      <alignment horizontal="left" vertical="center"/>
    </xf>
    <xf numFmtId="0" fontId="35" fillId="0" borderId="31" xfId="0" applyNumberFormat="1" applyFont="1" applyBorder="1" applyAlignment="1">
      <alignment horizontal="left" vertical="center"/>
    </xf>
    <xf numFmtId="0" fontId="35" fillId="3" borderId="0" xfId="0" applyNumberFormat="1" applyFont="1" applyFill="1" applyBorder="1" applyAlignment="1">
      <alignment horizontal="center" vertical="center"/>
    </xf>
    <xf numFmtId="0" fontId="34" fillId="0" borderId="88" xfId="0" applyNumberFormat="1" applyFont="1" applyBorder="1" applyAlignment="1">
      <alignment horizontal="center" vertical="center"/>
    </xf>
    <xf numFmtId="0" fontId="34" fillId="0" borderId="89" xfId="0" applyNumberFormat="1" applyFont="1" applyBorder="1" applyAlignment="1">
      <alignment horizontal="center" vertical="center"/>
    </xf>
    <xf numFmtId="0" fontId="47" fillId="0" borderId="31" xfId="0" applyNumberFormat="1" applyFont="1" applyBorder="1" applyAlignment="1">
      <alignment horizontal="center" vertical="center"/>
    </xf>
    <xf numFmtId="0" fontId="47" fillId="0" borderId="13" xfId="0" applyNumberFormat="1" applyFont="1" applyBorder="1" applyAlignment="1">
      <alignment horizontal="center" vertical="center"/>
    </xf>
    <xf numFmtId="0" fontId="33" fillId="7" borderId="5" xfId="0" applyNumberFormat="1" applyFont="1" applyFill="1" applyBorder="1" applyAlignment="1">
      <alignment horizontal="center" vertical="center"/>
    </xf>
    <xf numFmtId="0" fontId="33" fillId="7" borderId="13" xfId="0" applyNumberFormat="1" applyFont="1" applyFill="1" applyBorder="1" applyAlignment="1">
      <alignment horizontal="center" vertical="center"/>
    </xf>
    <xf numFmtId="0" fontId="33" fillId="0" borderId="5" xfId="0" applyNumberFormat="1" applyFont="1" applyFill="1" applyBorder="1" applyAlignment="1">
      <alignment horizontal="center" vertical="center" wrapText="1"/>
    </xf>
    <xf numFmtId="0" fontId="33" fillId="0" borderId="13" xfId="0" applyNumberFormat="1" applyFont="1" applyFill="1" applyBorder="1" applyAlignment="1">
      <alignment horizontal="center" vertical="center" wrapText="1"/>
    </xf>
    <xf numFmtId="0" fontId="56" fillId="0" borderId="34" xfId="0" applyNumberFormat="1" applyFont="1" applyFill="1" applyBorder="1" applyAlignment="1">
      <alignment horizontal="center" vertical="center"/>
    </xf>
    <xf numFmtId="0" fontId="56" fillId="0" borderId="35" xfId="0" applyNumberFormat="1" applyFont="1" applyFill="1" applyBorder="1" applyAlignment="1">
      <alignment horizontal="center" vertical="center"/>
    </xf>
    <xf numFmtId="0" fontId="56" fillId="0" borderId="41" xfId="0" applyNumberFormat="1" applyFont="1" applyFill="1" applyBorder="1" applyAlignment="1">
      <alignment horizontal="center" vertical="center"/>
    </xf>
    <xf numFmtId="0" fontId="56" fillId="0" borderId="40" xfId="0" applyNumberFormat="1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30" fillId="2" borderId="5" xfId="0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30" fillId="2" borderId="34" xfId="0" applyFont="1" applyFill="1" applyBorder="1" applyAlignment="1">
      <alignment horizontal="center" vertical="center" wrapText="1"/>
    </xf>
    <xf numFmtId="0" fontId="30" fillId="2" borderId="36" xfId="0" applyFont="1" applyFill="1" applyBorder="1" applyAlignment="1">
      <alignment horizontal="center" vertical="center"/>
    </xf>
    <xf numFmtId="0" fontId="30" fillId="2" borderId="42" xfId="0" applyFont="1" applyFill="1" applyBorder="1" applyAlignment="1">
      <alignment horizontal="center" vertical="center" wrapText="1"/>
    </xf>
    <xf numFmtId="0" fontId="30" fillId="2" borderId="4" xfId="0" applyFont="1" applyFill="1" applyBorder="1" applyAlignment="1">
      <alignment horizontal="center" vertical="center"/>
    </xf>
    <xf numFmtId="0" fontId="30" fillId="5" borderId="43" xfId="0" applyFont="1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/>
    </xf>
    <xf numFmtId="0" fontId="30" fillId="2" borderId="43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  <xf numFmtId="0" fontId="30" fillId="5" borderId="44" xfId="0" applyFont="1" applyFill="1" applyBorder="1" applyAlignment="1">
      <alignment horizontal="center" vertical="center" wrapText="1"/>
    </xf>
    <xf numFmtId="0" fontId="30" fillId="5" borderId="11" xfId="0" applyFont="1" applyFill="1" applyBorder="1" applyAlignment="1">
      <alignment horizontal="center" vertical="center" wrapText="1"/>
    </xf>
    <xf numFmtId="0" fontId="30" fillId="2" borderId="13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0" fontId="32" fillId="2" borderId="13" xfId="0" applyFont="1" applyFill="1" applyBorder="1" applyAlignment="1">
      <alignment horizontal="center" vertical="center"/>
    </xf>
    <xf numFmtId="0" fontId="30" fillId="2" borderId="42" xfId="0" applyFont="1" applyFill="1" applyBorder="1" applyAlignment="1">
      <alignment horizontal="center" vertical="center"/>
    </xf>
    <xf numFmtId="0" fontId="33" fillId="0" borderId="45" xfId="0" applyNumberFormat="1" applyFont="1" applyFill="1" applyBorder="1" applyAlignment="1">
      <alignment horizontal="center" vertical="center" wrapText="1"/>
    </xf>
    <xf numFmtId="0" fontId="33" fillId="0" borderId="46" xfId="0" applyNumberFormat="1" applyFont="1" applyFill="1" applyBorder="1" applyAlignment="1">
      <alignment horizontal="center" vertical="center" wrapText="1"/>
    </xf>
    <xf numFmtId="0" fontId="58" fillId="0" borderId="10" xfId="0" applyNumberFormat="1" applyFont="1" applyBorder="1" applyAlignment="1">
      <alignment horizontal="left" vertical="center"/>
    </xf>
    <xf numFmtId="0" fontId="59" fillId="0" borderId="10" xfId="0" applyNumberFormat="1" applyFont="1" applyBorder="1" applyAlignment="1">
      <alignment horizontal="left" vertical="center"/>
    </xf>
    <xf numFmtId="0" fontId="31" fillId="0" borderId="10" xfId="0" applyFont="1" applyBorder="1" applyAlignment="1">
      <alignment horizontal="right" vertical="center"/>
    </xf>
    <xf numFmtId="49" fontId="55" fillId="7" borderId="5" xfId="0" applyNumberFormat="1" applyFont="1" applyFill="1" applyBorder="1" applyAlignment="1">
      <alignment horizontal="center" vertical="center"/>
    </xf>
    <xf numFmtId="0" fontId="55" fillId="7" borderId="13" xfId="0" applyNumberFormat="1" applyFont="1" applyFill="1" applyBorder="1" applyAlignment="1">
      <alignment horizontal="center" vertical="center"/>
    </xf>
    <xf numFmtId="14" fontId="33" fillId="0" borderId="5" xfId="0" applyNumberFormat="1" applyFont="1" applyFill="1" applyBorder="1" applyAlignment="1">
      <alignment horizontal="center" vertical="center"/>
    </xf>
    <xf numFmtId="0" fontId="60" fillId="0" borderId="1" xfId="0" applyNumberFormat="1" applyFont="1" applyBorder="1" applyAlignment="1">
      <alignment horizontal="center" vertical="center"/>
    </xf>
    <xf numFmtId="0" fontId="60" fillId="2" borderId="1" xfId="0" applyNumberFormat="1" applyFont="1" applyFill="1" applyBorder="1" applyAlignment="1">
      <alignment horizontal="center" vertical="center"/>
    </xf>
    <xf numFmtId="0" fontId="60" fillId="2" borderId="25" xfId="0" applyNumberFormat="1" applyFont="1" applyFill="1" applyBorder="1" applyAlignment="1">
      <alignment horizontal="center" vertical="center"/>
    </xf>
    <xf numFmtId="0" fontId="56" fillId="0" borderId="34" xfId="0" applyNumberFormat="1" applyFont="1" applyBorder="1" applyAlignment="1">
      <alignment horizontal="center" vertical="center"/>
    </xf>
    <xf numFmtId="0" fontId="56" fillId="0" borderId="35" xfId="0" applyNumberFormat="1" applyFont="1" applyBorder="1" applyAlignment="1">
      <alignment horizontal="center" vertical="center"/>
    </xf>
    <xf numFmtId="0" fontId="56" fillId="0" borderId="41" xfId="0" applyNumberFormat="1" applyFont="1" applyBorder="1" applyAlignment="1">
      <alignment horizontal="center" vertical="center"/>
    </xf>
    <xf numFmtId="0" fontId="56" fillId="0" borderId="40" xfId="0" applyNumberFormat="1" applyFont="1" applyBorder="1" applyAlignment="1">
      <alignment horizontal="center" vertical="center"/>
    </xf>
    <xf numFmtId="0" fontId="60" fillId="4" borderId="27" xfId="0" applyNumberFormat="1" applyFont="1" applyFill="1" applyBorder="1" applyAlignment="1">
      <alignment horizontal="center" vertical="center"/>
    </xf>
    <xf numFmtId="0" fontId="31" fillId="0" borderId="10" xfId="0" applyNumberFormat="1" applyFont="1" applyBorder="1" applyAlignment="1">
      <alignment horizontal="right" vertical="center"/>
    </xf>
    <xf numFmtId="0" fontId="55" fillId="7" borderId="1" xfId="0" applyNumberFormat="1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0" fontId="33" fillId="0" borderId="1" xfId="0" applyNumberFormat="1" applyFont="1" applyBorder="1" applyAlignment="1">
      <alignment horizontal="center" vertical="center"/>
    </xf>
    <xf numFmtId="0" fontId="33" fillId="7" borderId="1" xfId="0" applyNumberFormat="1" applyFont="1" applyFill="1" applyBorder="1" applyAlignment="1">
      <alignment horizontal="distributed" vertical="center" indent="1"/>
    </xf>
    <xf numFmtId="0" fontId="33" fillId="7" borderId="1" xfId="0" applyNumberFormat="1" applyFont="1" applyFill="1" applyBorder="1" applyAlignment="1">
      <alignment horizontal="center" vertical="center"/>
    </xf>
    <xf numFmtId="0" fontId="33" fillId="4" borderId="49" xfId="0" applyNumberFormat="1" applyFont="1" applyFill="1" applyBorder="1" applyAlignment="1">
      <alignment horizontal="center" vertical="center"/>
    </xf>
    <xf numFmtId="0" fontId="33" fillId="4" borderId="50" xfId="0" applyNumberFormat="1" applyFont="1" applyFill="1" applyBorder="1" applyAlignment="1">
      <alignment horizontal="center" vertical="center"/>
    </xf>
    <xf numFmtId="0" fontId="33" fillId="4" borderId="51" xfId="0" applyNumberFormat="1" applyFont="1" applyFill="1" applyBorder="1" applyAlignment="1">
      <alignment horizontal="center" vertical="center"/>
    </xf>
    <xf numFmtId="0" fontId="33" fillId="4" borderId="52" xfId="0" applyNumberFormat="1" applyFont="1" applyFill="1" applyBorder="1" applyAlignment="1">
      <alignment horizontal="center" vertical="center"/>
    </xf>
    <xf numFmtId="2" fontId="60" fillId="0" borderId="1" xfId="0" applyNumberFormat="1" applyFont="1" applyBorder="1" applyAlignment="1">
      <alignment horizontal="center" vertical="center"/>
    </xf>
    <xf numFmtId="2" fontId="60" fillId="0" borderId="25" xfId="0" applyNumberFormat="1" applyFont="1" applyBorder="1" applyAlignment="1">
      <alignment horizontal="center" vertical="center"/>
    </xf>
    <xf numFmtId="0" fontId="30" fillId="4" borderId="47" xfId="0" applyNumberFormat="1" applyFont="1" applyFill="1" applyBorder="1" applyAlignment="1">
      <alignment horizontal="center" vertical="center"/>
    </xf>
    <xf numFmtId="0" fontId="30" fillId="4" borderId="2" xfId="0" applyNumberFormat="1" applyFont="1" applyFill="1" applyBorder="1" applyAlignment="1">
      <alignment horizontal="center" vertical="center"/>
    </xf>
    <xf numFmtId="0" fontId="34" fillId="4" borderId="23" xfId="0" applyNumberFormat="1" applyFont="1" applyFill="1" applyBorder="1" applyAlignment="1">
      <alignment horizontal="center" vertical="center"/>
    </xf>
    <xf numFmtId="0" fontId="34" fillId="4" borderId="1" xfId="0" applyNumberFormat="1" applyFont="1" applyFill="1" applyBorder="1" applyAlignment="1">
      <alignment horizontal="center" vertical="center"/>
    </xf>
    <xf numFmtId="0" fontId="34" fillId="4" borderId="23" xfId="0" applyNumberFormat="1" applyFont="1" applyFill="1" applyBorder="1" applyAlignment="1">
      <alignment horizontal="center" vertical="center" wrapText="1"/>
    </xf>
    <xf numFmtId="0" fontId="34" fillId="4" borderId="24" xfId="0" applyNumberFormat="1" applyFont="1" applyFill="1" applyBorder="1" applyAlignment="1">
      <alignment horizontal="center" vertical="center" wrapText="1"/>
    </xf>
    <xf numFmtId="0" fontId="34" fillId="4" borderId="1" xfId="0" applyNumberFormat="1" applyFont="1" applyFill="1" applyBorder="1" applyAlignment="1">
      <alignment horizontal="center" vertical="center" wrapText="1"/>
    </xf>
    <xf numFmtId="0" fontId="34" fillId="4" borderId="25" xfId="0" applyNumberFormat="1" applyFont="1" applyFill="1" applyBorder="1" applyAlignment="1">
      <alignment horizontal="center" vertical="center"/>
    </xf>
    <xf numFmtId="0" fontId="35" fillId="0" borderId="0" xfId="0" applyNumberFormat="1" applyFont="1" applyBorder="1" applyAlignment="1">
      <alignment horizontal="left" vertical="center"/>
    </xf>
    <xf numFmtId="0" fontId="35" fillId="0" borderId="48" xfId="0" applyNumberFormat="1" applyFont="1" applyBorder="1" applyAlignment="1">
      <alignment horizontal="left" vertical="center"/>
    </xf>
    <xf numFmtId="0" fontId="35" fillId="3" borderId="0" xfId="0" applyNumberFormat="1" applyFont="1" applyFill="1" applyBorder="1" applyAlignment="1">
      <alignment horizontal="left" vertical="center"/>
    </xf>
    <xf numFmtId="0" fontId="33" fillId="0" borderId="1" xfId="0" applyNumberFormat="1" applyFont="1" applyFill="1" applyBorder="1" applyAlignment="1">
      <alignment horizontal="center" vertical="center"/>
    </xf>
    <xf numFmtId="2" fontId="60" fillId="4" borderId="27" xfId="0" applyNumberFormat="1" applyFont="1" applyFill="1" applyBorder="1" applyAlignment="1">
      <alignment horizontal="center" vertical="center"/>
    </xf>
    <xf numFmtId="0" fontId="60" fillId="4" borderId="28" xfId="0" applyNumberFormat="1" applyFont="1" applyFill="1" applyBorder="1" applyAlignment="1">
      <alignment horizontal="center" vertical="center"/>
    </xf>
    <xf numFmtId="0" fontId="21" fillId="0" borderId="0" xfId="3" applyFont="1" applyBorder="1" applyAlignment="1" applyProtection="1">
      <alignment horizontal="right" vertical="top"/>
    </xf>
    <xf numFmtId="0" fontId="23" fillId="4" borderId="53" xfId="3" applyFont="1" applyFill="1" applyBorder="1" applyAlignment="1" applyProtection="1">
      <alignment horizontal="center" vertical="center"/>
    </xf>
    <xf numFmtId="0" fontId="23" fillId="4" borderId="54" xfId="3" applyFont="1" applyFill="1" applyBorder="1" applyAlignment="1" applyProtection="1">
      <alignment horizontal="center" vertical="center"/>
    </xf>
    <xf numFmtId="0" fontId="23" fillId="4" borderId="55" xfId="3" applyFont="1" applyFill="1" applyBorder="1" applyAlignment="1" applyProtection="1">
      <alignment horizontal="center" vertical="center"/>
    </xf>
    <xf numFmtId="0" fontId="23" fillId="0" borderId="49" xfId="3" applyFont="1" applyFill="1" applyBorder="1" applyAlignment="1" applyProtection="1">
      <alignment horizontal="left" vertical="center"/>
    </xf>
    <xf numFmtId="0" fontId="23" fillId="0" borderId="56" xfId="3" applyFont="1" applyFill="1" applyBorder="1" applyAlignment="1" applyProtection="1">
      <alignment horizontal="left" vertical="center"/>
    </xf>
    <xf numFmtId="0" fontId="23" fillId="0" borderId="50" xfId="3" applyFont="1" applyFill="1" applyBorder="1" applyAlignment="1" applyProtection="1">
      <alignment horizontal="left" vertical="center"/>
    </xf>
    <xf numFmtId="0" fontId="23" fillId="0" borderId="53" xfId="3" applyFont="1" applyBorder="1" applyAlignment="1" applyProtection="1">
      <alignment horizontal="left" vertical="center"/>
    </xf>
    <xf numFmtId="0" fontId="23" fillId="0" borderId="57" xfId="3" applyFont="1" applyFill="1" applyBorder="1" applyAlignment="1" applyProtection="1">
      <alignment horizontal="left" vertical="center"/>
    </xf>
    <xf numFmtId="0" fontId="23" fillId="0" borderId="0" xfId="3" applyFont="1" applyFill="1" applyBorder="1" applyAlignment="1" applyProtection="1">
      <alignment horizontal="left" vertical="center"/>
    </xf>
    <xf numFmtId="0" fontId="23" fillId="0" borderId="58" xfId="3" applyFont="1" applyFill="1" applyBorder="1" applyAlignment="1" applyProtection="1">
      <alignment horizontal="left" vertical="center"/>
    </xf>
    <xf numFmtId="0" fontId="23" fillId="0" borderId="54" xfId="3" applyFont="1" applyBorder="1" applyAlignment="1" applyProtection="1">
      <alignment horizontal="left" vertical="center"/>
    </xf>
    <xf numFmtId="0" fontId="23" fillId="0" borderId="59" xfId="3" applyFont="1" applyFill="1" applyBorder="1" applyAlignment="1" applyProtection="1">
      <alignment horizontal="left" vertical="center"/>
    </xf>
    <xf numFmtId="0" fontId="23" fillId="0" borderId="60" xfId="3" applyFont="1" applyFill="1" applyBorder="1" applyAlignment="1" applyProtection="1">
      <alignment horizontal="left" vertical="center"/>
    </xf>
    <xf numFmtId="0" fontId="23" fillId="0" borderId="61" xfId="3" applyFont="1" applyFill="1" applyBorder="1" applyAlignment="1" applyProtection="1">
      <alignment horizontal="left" vertical="center"/>
    </xf>
    <xf numFmtId="0" fontId="23" fillId="0" borderId="55" xfId="3" applyFont="1" applyBorder="1" applyAlignment="1" applyProtection="1">
      <alignment horizontal="left" vertical="center"/>
    </xf>
    <xf numFmtId="14" fontId="21" fillId="0" borderId="26" xfId="3" applyNumberFormat="1" applyFont="1" applyBorder="1" applyAlignment="1" applyProtection="1">
      <alignment horizontal="center" vertical="center"/>
    </xf>
    <xf numFmtId="14" fontId="21" fillId="0" borderId="13" xfId="3" applyNumberFormat="1" applyFont="1" applyBorder="1" applyAlignment="1" applyProtection="1">
      <alignment horizontal="center" vertical="center"/>
    </xf>
    <xf numFmtId="0" fontId="24" fillId="4" borderId="62" xfId="3" applyFont="1" applyFill="1" applyBorder="1" applyAlignment="1" applyProtection="1">
      <alignment horizontal="center" vertical="center"/>
    </xf>
    <xf numFmtId="0" fontId="24" fillId="4" borderId="63" xfId="3" applyFont="1" applyFill="1" applyBorder="1" applyAlignment="1" applyProtection="1">
      <alignment horizontal="center" vertical="center"/>
    </xf>
    <xf numFmtId="14" fontId="21" fillId="8" borderId="26" xfId="3" applyNumberFormat="1" applyFont="1" applyFill="1" applyBorder="1" applyAlignment="1" applyProtection="1">
      <alignment horizontal="center" vertical="center"/>
    </xf>
    <xf numFmtId="14" fontId="21" fillId="8" borderId="13" xfId="3" applyNumberFormat="1" applyFont="1" applyFill="1" applyBorder="1" applyAlignment="1" applyProtection="1">
      <alignment horizontal="center" vertical="center"/>
    </xf>
    <xf numFmtId="14" fontId="23" fillId="8" borderId="26" xfId="3" applyNumberFormat="1" applyFont="1" applyFill="1" applyBorder="1" applyAlignment="1" applyProtection="1">
      <alignment horizontal="center" vertical="center"/>
    </xf>
    <xf numFmtId="14" fontId="23" fillId="8" borderId="13" xfId="3" applyNumberFormat="1" applyFont="1" applyFill="1" applyBorder="1" applyAlignment="1" applyProtection="1">
      <alignment horizontal="center" vertical="center"/>
    </xf>
    <xf numFmtId="14" fontId="21" fillId="2" borderId="26" xfId="3" applyNumberFormat="1" applyFont="1" applyFill="1" applyBorder="1" applyAlignment="1" applyProtection="1">
      <alignment horizontal="center" vertical="center"/>
    </xf>
    <xf numFmtId="14" fontId="21" fillId="2" borderId="13" xfId="3" applyNumberFormat="1" applyFont="1" applyFill="1" applyBorder="1" applyAlignment="1" applyProtection="1">
      <alignment horizontal="center" vertical="center"/>
    </xf>
    <xf numFmtId="0" fontId="24" fillId="8" borderId="94" xfId="3" applyFont="1" applyFill="1" applyBorder="1" applyAlignment="1">
      <alignment horizontal="left" vertical="center"/>
    </xf>
    <xf numFmtId="0" fontId="24" fillId="8" borderId="95" xfId="3" applyFont="1" applyFill="1" applyBorder="1" applyAlignment="1">
      <alignment horizontal="left" vertical="center"/>
    </xf>
    <xf numFmtId="0" fontId="62" fillId="13" borderId="0" xfId="3" applyFont="1" applyFill="1" applyAlignment="1">
      <alignment horizontal="center" vertical="center"/>
    </xf>
    <xf numFmtId="0" fontId="36" fillId="8" borderId="96" xfId="3" applyFont="1" applyFill="1" applyBorder="1" applyAlignment="1">
      <alignment horizontal="center" vertical="center"/>
    </xf>
    <xf numFmtId="0" fontId="36" fillId="8" borderId="97" xfId="3" applyFont="1" applyFill="1" applyBorder="1" applyAlignment="1">
      <alignment horizontal="center" vertical="center"/>
    </xf>
    <xf numFmtId="0" fontId="36" fillId="8" borderId="98" xfId="3" applyFont="1" applyFill="1" applyBorder="1" applyAlignment="1">
      <alignment horizontal="center" vertical="center"/>
    </xf>
    <xf numFmtId="0" fontId="33" fillId="0" borderId="0" xfId="3" applyFont="1" applyAlignment="1" applyProtection="1">
      <alignment horizontal="left" vertical="center"/>
    </xf>
    <xf numFmtId="0" fontId="18" fillId="0" borderId="0" xfId="3" applyFont="1" applyAlignment="1">
      <alignment horizontal="center" vertical="center"/>
    </xf>
    <xf numFmtId="0" fontId="61" fillId="12" borderId="0" xfId="3" applyFont="1" applyFill="1" applyBorder="1" applyAlignment="1">
      <alignment horizontal="center" vertical="center" wrapText="1"/>
    </xf>
    <xf numFmtId="0" fontId="61" fillId="12" borderId="0" xfId="3" applyFont="1" applyFill="1" applyBorder="1" applyAlignment="1">
      <alignment horizontal="center" vertical="center"/>
    </xf>
    <xf numFmtId="0" fontId="23" fillId="0" borderId="0" xfId="3" applyFont="1" applyAlignment="1" applyProtection="1">
      <alignment horizontal="center" vertical="center"/>
    </xf>
    <xf numFmtId="0" fontId="50" fillId="0" borderId="67" xfId="3" applyFont="1" applyBorder="1" applyAlignment="1" applyProtection="1">
      <alignment horizontal="center" vertical="center"/>
    </xf>
    <xf numFmtId="0" fontId="24" fillId="0" borderId="68" xfId="3" applyFont="1" applyBorder="1" applyAlignment="1" applyProtection="1">
      <alignment horizontal="center" vertical="center"/>
    </xf>
    <xf numFmtId="0" fontId="24" fillId="0" borderId="69" xfId="3" applyFont="1" applyBorder="1" applyAlignment="1" applyProtection="1">
      <alignment horizontal="center" vertical="center"/>
    </xf>
    <xf numFmtId="0" fontId="24" fillId="0" borderId="70" xfId="3" applyFont="1" applyBorder="1" applyAlignment="1" applyProtection="1">
      <alignment horizontal="center" vertical="center"/>
    </xf>
    <xf numFmtId="0" fontId="24" fillId="0" borderId="0" xfId="3" applyFont="1" applyAlignment="1" applyProtection="1">
      <alignment horizontal="left" vertical="center"/>
    </xf>
    <xf numFmtId="0" fontId="24" fillId="0" borderId="0" xfId="3" applyFont="1" applyAlignment="1" applyProtection="1">
      <alignment horizontal="distributed" vertical="center" indent="1"/>
    </xf>
    <xf numFmtId="179" fontId="36" fillId="0" borderId="0" xfId="3" applyNumberFormat="1" applyFont="1" applyAlignment="1" applyProtection="1">
      <alignment horizontal="left" vertical="center"/>
    </xf>
    <xf numFmtId="0" fontId="21" fillId="0" borderId="56" xfId="3" applyFont="1" applyBorder="1" applyAlignment="1" applyProtection="1">
      <alignment horizontal="left" vertical="top"/>
    </xf>
    <xf numFmtId="0" fontId="63" fillId="0" borderId="56" xfId="3" applyFont="1" applyBorder="1" applyAlignment="1" applyProtection="1">
      <alignment horizontal="center" vertical="top"/>
    </xf>
    <xf numFmtId="0" fontId="24" fillId="8" borderId="0" xfId="3" applyFont="1" applyFill="1" applyBorder="1" applyAlignment="1">
      <alignment horizontal="left" vertical="center"/>
    </xf>
    <xf numFmtId="0" fontId="24" fillId="8" borderId="99" xfId="3" applyFont="1" applyFill="1" applyBorder="1" applyAlignment="1">
      <alignment horizontal="left" vertical="center"/>
    </xf>
    <xf numFmtId="0" fontId="24" fillId="8" borderId="100" xfId="3" applyFont="1" applyFill="1" applyBorder="1" applyAlignment="1">
      <alignment horizontal="left" vertical="center"/>
    </xf>
    <xf numFmtId="0" fontId="24" fillId="8" borderId="101" xfId="3" applyFont="1" applyFill="1" applyBorder="1" applyAlignment="1">
      <alignment horizontal="left" vertical="center"/>
    </xf>
    <xf numFmtId="0" fontId="23" fillId="0" borderId="5" xfId="3" applyFont="1" applyBorder="1" applyAlignment="1" applyProtection="1">
      <alignment horizontal="left" vertical="center"/>
    </xf>
    <xf numFmtId="0" fontId="23" fillId="0" borderId="31" xfId="3" applyFont="1" applyBorder="1" applyAlignment="1" applyProtection="1">
      <alignment horizontal="left" vertical="center"/>
    </xf>
    <xf numFmtId="0" fontId="23" fillId="0" borderId="71" xfId="3" applyFont="1" applyBorder="1" applyAlignment="1" applyProtection="1">
      <alignment horizontal="left" vertical="center"/>
    </xf>
    <xf numFmtId="178" fontId="36" fillId="11" borderId="64" xfId="3" applyNumberFormat="1" applyFont="1" applyFill="1" applyBorder="1" applyAlignment="1" applyProtection="1">
      <alignment horizontal="right" vertical="center"/>
    </xf>
    <xf numFmtId="0" fontId="36" fillId="0" borderId="67" xfId="3" applyFont="1" applyBorder="1" applyAlignment="1" applyProtection="1">
      <alignment horizontal="center" vertical="center"/>
    </xf>
    <xf numFmtId="180" fontId="36" fillId="11" borderId="64" xfId="3" applyNumberFormat="1" applyFont="1" applyFill="1" applyBorder="1" applyAlignment="1" applyProtection="1">
      <alignment horizontal="right" vertical="center"/>
    </xf>
    <xf numFmtId="0" fontId="24" fillId="4" borderId="65" xfId="3" applyFont="1" applyFill="1" applyBorder="1" applyAlignment="1" applyProtection="1">
      <alignment horizontal="center" vertical="center"/>
    </xf>
    <xf numFmtId="0" fontId="24" fillId="4" borderId="22" xfId="3" applyFont="1" applyFill="1" applyBorder="1" applyAlignment="1" applyProtection="1">
      <alignment horizontal="center" vertical="center"/>
    </xf>
    <xf numFmtId="0" fontId="24" fillId="2" borderId="26" xfId="3" applyNumberFormat="1" applyFont="1" applyFill="1" applyBorder="1" applyAlignment="1" applyProtection="1">
      <alignment horizontal="center" vertical="center"/>
    </xf>
    <xf numFmtId="0" fontId="24" fillId="2" borderId="13" xfId="3" applyNumberFormat="1" applyFont="1" applyFill="1" applyBorder="1" applyAlignment="1" applyProtection="1">
      <alignment horizontal="center" vertical="center"/>
    </xf>
    <xf numFmtId="0" fontId="24" fillId="11" borderId="66" xfId="3" applyFont="1" applyFill="1" applyBorder="1" applyAlignment="1" applyProtection="1">
      <alignment horizontal="right" vertical="center" shrinkToFit="1"/>
    </xf>
    <xf numFmtId="0" fontId="24" fillId="11" borderId="64" xfId="3" applyFont="1" applyFill="1" applyBorder="1" applyAlignment="1" applyProtection="1">
      <alignment horizontal="right" vertical="center" shrinkToFit="1"/>
    </xf>
  </cellXfs>
  <cellStyles count="4">
    <cellStyle name="쉼표 [0]" xfId="1" builtinId="6"/>
    <cellStyle name="쉼표 [0] 2" xfId="2" xr:uid="{00000000-0005-0000-0000-000001000000}"/>
    <cellStyle name="표준" xfId="0" builtinId="0"/>
    <cellStyle name="표준 2" xfId="3" xr:uid="{00000000-0005-0000-0000-000003000000}"/>
  </cellStyles>
  <dxfs count="37">
    <dxf>
      <font>
        <b/>
        <i val="0"/>
        <color theme="1"/>
        <name val="맑은 고딕"/>
        <scheme val="none"/>
      </font>
    </dxf>
    <dxf>
      <font>
        <b val="0"/>
        <i/>
        <strike/>
        <color theme="1"/>
        <name val="맑은 고딕"/>
        <scheme val="none"/>
      </font>
    </dxf>
    <dxf>
      <font>
        <b/>
        <i/>
        <strike/>
        <color theme="1"/>
        <name val="맑은 고딕"/>
        <scheme val="none"/>
      </font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6600CC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1"/>
        <name val="맑은 고딕"/>
        <scheme val="none"/>
      </font>
    </dxf>
    <dxf>
      <font>
        <b val="0"/>
        <i/>
        <strike/>
        <color theme="1"/>
        <name val="맑은 고딕"/>
        <scheme val="none"/>
      </font>
    </dxf>
    <dxf>
      <font>
        <b/>
        <i/>
        <strike/>
        <color theme="1"/>
        <name val="맑은 고딕"/>
        <scheme val="none"/>
      </font>
    </dxf>
    <dxf>
      <font>
        <b/>
        <i val="0"/>
        <color theme="1"/>
        <name val="맑은 고딕"/>
        <scheme val="none"/>
      </font>
    </dxf>
    <dxf>
      <font>
        <b val="0"/>
        <i/>
        <strike/>
        <color theme="1"/>
        <name val="맑은 고딕"/>
        <scheme val="none"/>
      </font>
    </dxf>
    <dxf>
      <font>
        <b/>
        <i/>
        <strike/>
        <color theme="1"/>
        <name val="맑은 고딕"/>
        <scheme val="none"/>
      </font>
    </dxf>
    <dxf>
      <font>
        <b/>
        <i val="0"/>
        <color theme="1"/>
        <name val="맑은 고딕"/>
        <scheme val="none"/>
      </font>
    </dxf>
    <dxf>
      <font>
        <b val="0"/>
        <i/>
        <strike/>
        <color theme="1"/>
        <name val="맑은 고딕"/>
        <scheme val="none"/>
      </font>
    </dxf>
    <dxf>
      <font>
        <b/>
        <i/>
        <strike/>
        <color theme="1"/>
        <name val="맑은 고딕"/>
        <scheme val="none"/>
      </font>
    </dxf>
  </dxfs>
  <tableStyles count="0" defaultTableStyle="TableStyleMedium9" defaultPivotStyle="PivotStyleLight16"/>
  <colors>
    <mruColors>
      <color rgb="FFFFCCCC"/>
      <color rgb="FF0000FF"/>
      <color rgb="FFCCFFCC"/>
      <color rgb="FFFFFFCC"/>
      <color rgb="FF660066"/>
      <color rgb="FF990099"/>
      <color rgb="FFCC00CC"/>
      <color rgb="FF6600FF"/>
      <color rgb="FFFF99CC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N$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0</xdr:row>
      <xdr:rowOff>152400</xdr:rowOff>
    </xdr:from>
    <xdr:to>
      <xdr:col>6</xdr:col>
      <xdr:colOff>657224</xdr:colOff>
      <xdr:row>2</xdr:row>
      <xdr:rowOff>91199</xdr:rowOff>
    </xdr:to>
    <xdr:sp macro="[0]!가져오기" textlink="">
      <xdr:nvSpPr>
        <xdr:cNvPr id="4" name="대각선 방향의 모서리가 둥근 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81375" y="152400"/>
          <a:ext cx="895349" cy="434099"/>
        </a:xfrm>
        <a:prstGeom prst="round2DiagRect">
          <a:avLst/>
        </a:prstGeom>
        <a:solidFill>
          <a:srgbClr val="0000FF"/>
        </a:solidFill>
        <a:ln w="31750" cmpd="sng">
          <a:solidFill>
            <a:srgbClr val="0000FF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정렬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9524</xdr:colOff>
      <xdr:row>10</xdr:row>
      <xdr:rowOff>0</xdr:rowOff>
    </xdr:from>
    <xdr:to>
      <xdr:col>54</xdr:col>
      <xdr:colOff>168674</xdr:colOff>
      <xdr:row>11</xdr:row>
      <xdr:rowOff>148350</xdr:rowOff>
    </xdr:to>
    <xdr:sp macro="[0]!출력" textlink="">
      <xdr:nvSpPr>
        <xdr:cNvPr id="2" name="대각선 방향의 모서리가 둥근 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782549" y="2809875"/>
          <a:ext cx="864000" cy="396000"/>
        </a:xfrm>
        <a:prstGeom prst="round2DiagRect">
          <a:avLst/>
        </a:prstGeom>
        <a:solidFill>
          <a:srgbClr val="0000FF"/>
        </a:solidFill>
        <a:ln w="31750" cmpd="sng">
          <a:solidFill>
            <a:srgbClr val="0000FF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출  력</a:t>
          </a:r>
        </a:p>
      </xdr:txBody>
    </xdr:sp>
    <xdr:clientData/>
  </xdr:twoCellAnchor>
  <xdr:twoCellAnchor>
    <xdr:from>
      <xdr:col>44</xdr:col>
      <xdr:colOff>19050</xdr:colOff>
      <xdr:row>10</xdr:row>
      <xdr:rowOff>19050</xdr:rowOff>
    </xdr:from>
    <xdr:to>
      <xdr:col>49</xdr:col>
      <xdr:colOff>236925</xdr:colOff>
      <xdr:row>11</xdr:row>
      <xdr:rowOff>167400</xdr:rowOff>
    </xdr:to>
    <xdr:sp macro="[0]!내용지우기" textlink="">
      <xdr:nvSpPr>
        <xdr:cNvPr id="5" name="대각선 방향의 모서리가 둥근 사각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972675" y="2828925"/>
          <a:ext cx="1980000" cy="396000"/>
        </a:xfrm>
        <a:prstGeom prst="round2DiagRect">
          <a:avLst/>
        </a:prstGeom>
        <a:solidFill>
          <a:srgbClr val="990099"/>
        </a:solidFill>
        <a:ln w="31750" cmpd="sng">
          <a:solidFill>
            <a:srgbClr val="66006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[</a:t>
          </a:r>
          <a:r>
            <a:rPr lang="ko-KR" altLang="en-US" sz="16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필수</a:t>
          </a:r>
          <a:r>
            <a:rPr lang="en-US" altLang="ko-KR" sz="16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]</a:t>
          </a:r>
          <a:r>
            <a:rPr lang="en-US" altLang="ko-KR" sz="1600" b="1" baseline="0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ko-KR" altLang="en-US" sz="1600" b="1" baseline="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내용지우기</a:t>
          </a:r>
          <a:endParaRPr lang="ko-KR" altLang="en-US" sz="1600" b="1">
            <a:solidFill>
              <a:schemeClr val="bg1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>
    <xdr:from>
      <xdr:col>52</xdr:col>
      <xdr:colOff>28574</xdr:colOff>
      <xdr:row>4</xdr:row>
      <xdr:rowOff>285750</xdr:rowOff>
    </xdr:from>
    <xdr:to>
      <xdr:col>53</xdr:col>
      <xdr:colOff>351749</xdr:colOff>
      <xdr:row>6</xdr:row>
      <xdr:rowOff>17100</xdr:rowOff>
    </xdr:to>
    <xdr:sp macro="[0]!검색" textlink="">
      <xdr:nvSpPr>
        <xdr:cNvPr id="6" name="모서리가 둥근 직사각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34974" y="1800225"/>
          <a:ext cx="704175" cy="360000"/>
        </a:xfrm>
        <a:prstGeom prst="roundRect">
          <a:avLst/>
        </a:prstGeom>
        <a:solidFill>
          <a:srgbClr val="0066FF"/>
        </a:solidFill>
        <a:ln w="19050">
          <a:solidFill>
            <a:srgbClr val="0000FF"/>
          </a:solidFill>
        </a:ln>
        <a:effec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3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검 색</a:t>
          </a:r>
        </a:p>
      </xdr:txBody>
    </xdr:sp>
    <xdr:clientData/>
  </xdr:twoCellAnchor>
  <xdr:twoCellAnchor>
    <xdr:from>
      <xdr:col>44</xdr:col>
      <xdr:colOff>352423</xdr:colOff>
      <xdr:row>4</xdr:row>
      <xdr:rowOff>285749</xdr:rowOff>
    </xdr:from>
    <xdr:to>
      <xdr:col>46</xdr:col>
      <xdr:colOff>351748</xdr:colOff>
      <xdr:row>6</xdr:row>
      <xdr:rowOff>17099</xdr:rowOff>
    </xdr:to>
    <xdr:sp macro="[0]!지우기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334623" y="1800224"/>
          <a:ext cx="713700" cy="360000"/>
        </a:xfrm>
        <a:prstGeom prst="roundRect">
          <a:avLst/>
        </a:prstGeom>
        <a:solidFill>
          <a:srgbClr val="008000"/>
        </a:solidFill>
        <a:ln w="19050">
          <a:solidFill>
            <a:schemeClr val="accent6">
              <a:lumMod val="5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3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지우기</a:t>
          </a:r>
        </a:p>
      </xdr:txBody>
    </xdr:sp>
    <xdr:clientData/>
  </xdr:twoCellAnchor>
  <xdr:twoCellAnchor>
    <xdr:from>
      <xdr:col>46</xdr:col>
      <xdr:colOff>257175</xdr:colOff>
      <xdr:row>2</xdr:row>
      <xdr:rowOff>66675</xdr:rowOff>
    </xdr:from>
    <xdr:to>
      <xdr:col>58</xdr:col>
      <xdr:colOff>89775</xdr:colOff>
      <xdr:row>3</xdr:row>
      <xdr:rowOff>238125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0953750" y="952500"/>
          <a:ext cx="4395075" cy="485775"/>
        </a:xfrm>
        <a:prstGeom prst="rect">
          <a:avLst/>
        </a:prstGeom>
        <a:solidFill>
          <a:schemeClr val="tx1"/>
        </a:solidFill>
        <a:ln w="9525" cap="rnd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7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거래처명</a:t>
          </a:r>
          <a:r>
            <a:rPr lang="ko-KR" altLang="en-US" sz="17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은 이곳에서 입력 </a:t>
          </a:r>
          <a:r>
            <a:rPr lang="en-US" altLang="ko-KR" sz="17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(</a:t>
          </a:r>
          <a:r>
            <a:rPr lang="ko-KR" altLang="en-US" sz="17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확인필수</a:t>
          </a:r>
          <a:r>
            <a:rPr lang="en-US" altLang="ko-KR" sz="17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)</a:t>
          </a:r>
          <a:endParaRPr lang="ko-KR" altLang="en-US" sz="1700" b="1">
            <a:solidFill>
              <a:srgbClr val="FF0000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</xdr:row>
          <xdr:rowOff>114300</xdr:rowOff>
        </xdr:from>
        <xdr:to>
          <xdr:col>11</xdr:col>
          <xdr:colOff>762000</xdr:colOff>
          <xdr:row>3</xdr:row>
          <xdr:rowOff>114300</xdr:rowOff>
        </xdr:to>
        <xdr:sp macro="" textlink="">
          <xdr:nvSpPr>
            <xdr:cNvPr id="7727" name="Option Button 559" descr="청구서" hidden="1">
              <a:extLst>
                <a:ext uri="{63B3BB69-23CF-44E3-9099-C40C66FF867C}">
                  <a14:compatExt spid="_x0000_s7727"/>
                </a:ext>
                <a:ext uri="{FF2B5EF4-FFF2-40B4-BE49-F238E27FC236}">
                  <a16:creationId xmlns:a16="http://schemas.microsoft.com/office/drawing/2014/main" id="{00000000-0008-0000-0400-00002F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견적서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114300</xdr:rowOff>
        </xdr:from>
        <xdr:to>
          <xdr:col>12</xdr:col>
          <xdr:colOff>723900</xdr:colOff>
          <xdr:row>3</xdr:row>
          <xdr:rowOff>114300</xdr:rowOff>
        </xdr:to>
        <xdr:sp macro="" textlink="">
          <xdr:nvSpPr>
            <xdr:cNvPr id="7728" name="Option Button 560" descr="청구서" hidden="1">
              <a:extLst>
                <a:ext uri="{63B3BB69-23CF-44E3-9099-C40C66FF867C}">
                  <a14:compatExt spid="_x0000_s7728"/>
                </a:ext>
                <a:ext uri="{FF2B5EF4-FFF2-40B4-BE49-F238E27FC236}">
                  <a16:creationId xmlns:a16="http://schemas.microsoft.com/office/drawing/2014/main" id="{00000000-0008-0000-0400-000030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청구서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476250</xdr:colOff>
      <xdr:row>2</xdr:row>
      <xdr:rowOff>38100</xdr:rowOff>
    </xdr:from>
    <xdr:to>
      <xdr:col>10</xdr:col>
      <xdr:colOff>9525</xdr:colOff>
      <xdr:row>4</xdr:row>
      <xdr:rowOff>200025</xdr:rowOff>
    </xdr:to>
    <xdr:pic>
      <xdr:nvPicPr>
        <xdr:cNvPr id="7827" name="그림 4">
          <a:extLst>
            <a:ext uri="{FF2B5EF4-FFF2-40B4-BE49-F238E27FC236}">
              <a16:creationId xmlns:a16="http://schemas.microsoft.com/office/drawing/2014/main" id="{00000000-0008-0000-0400-0000931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800100"/>
          <a:ext cx="64770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200025</xdr:colOff>
      <xdr:row>0</xdr:row>
      <xdr:rowOff>28575</xdr:rowOff>
    </xdr:from>
    <xdr:to>
      <xdr:col>3</xdr:col>
      <xdr:colOff>492658</xdr:colOff>
      <xdr:row>1</xdr:row>
      <xdr:rowOff>52254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150" y="28575"/>
          <a:ext cx="292633" cy="6523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cuments\&#44144;&#47000;&#52376;&#47532;&#49828;&#5394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1"/>
      <sheetName val="Sheet2"/>
    </sheetNames>
    <sheetDataSet>
      <sheetData sheetId="0" refreshError="1"/>
      <sheetData sheetId="1" refreshError="1"/>
      <sheetData sheetId="2">
        <row r="1">
          <cell r="AC1" t="str">
            <v>Y</v>
          </cell>
          <cell r="AD1" t="str">
            <v>Y</v>
          </cell>
        </row>
        <row r="2">
          <cell r="AC2" t="str">
            <v>N</v>
          </cell>
          <cell r="AD2" t="str">
            <v>N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CCCC"/>
        </a:solidFill>
        <a:ln w="31750" cmpd="sng">
          <a:solidFill>
            <a:srgbClr val="FF99CC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t"/>
      <a:lstStyle>
        <a:defPPr algn="ctr">
          <a:defRPr sz="1600" b="1">
            <a:solidFill>
              <a:srgbClr val="FF0000"/>
            </a:solidFill>
            <a:latin typeface="HY헤드라인M" panose="02030600000101010101" pitchFamily="18" charset="-127"/>
            <a:ea typeface="HY헤드라인M" panose="02030600000101010101" pitchFamily="18" charset="-127"/>
          </a:defRPr>
        </a:defPPr>
      </a:lstStyle>
      <a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F27"/>
  <sheetViews>
    <sheetView workbookViewId="0">
      <selection activeCell="G19" sqref="G19"/>
    </sheetView>
  </sheetViews>
  <sheetFormatPr defaultRowHeight="20.100000000000001" customHeight="1"/>
  <cols>
    <col min="1" max="4" width="9.625" style="4" customWidth="1"/>
    <col min="5" max="5" width="9.625" style="243" customWidth="1"/>
    <col min="7" max="16384" width="9" style="1"/>
  </cols>
  <sheetData>
    <row r="1" spans="1:6" ht="20.100000000000001" customHeight="1">
      <c r="A1" s="64" t="s">
        <v>130</v>
      </c>
      <c r="B1" s="64" t="s">
        <v>131</v>
      </c>
      <c r="C1" s="64" t="s">
        <v>132</v>
      </c>
      <c r="D1" s="64" t="s">
        <v>2981</v>
      </c>
      <c r="E1" s="64" t="s">
        <v>133</v>
      </c>
    </row>
    <row r="2" spans="1:6" ht="20.100000000000001" customHeight="1">
      <c r="A2" s="104"/>
      <c r="B2" s="104"/>
      <c r="C2" s="104"/>
      <c r="D2" s="104"/>
      <c r="E2" s="242"/>
      <c r="F2" s="129"/>
    </row>
    <row r="3" spans="1:6" ht="20.100000000000001" customHeight="1">
      <c r="A3" s="103"/>
      <c r="B3" s="104"/>
      <c r="C3" s="104"/>
      <c r="D3" s="104"/>
      <c r="E3" s="242"/>
      <c r="F3" s="129"/>
    </row>
    <row r="4" spans="1:6" ht="20.100000000000001" customHeight="1">
      <c r="A4" s="104"/>
      <c r="B4" s="104"/>
      <c r="C4" s="104"/>
      <c r="D4" s="104"/>
      <c r="E4" s="242"/>
      <c r="F4" s="129"/>
    </row>
    <row r="5" spans="1:6" ht="20.100000000000001" customHeight="1">
      <c r="A5" s="103"/>
      <c r="B5" s="104"/>
      <c r="C5" s="104"/>
      <c r="D5" s="104"/>
      <c r="E5" s="242"/>
      <c r="F5" s="129"/>
    </row>
    <row r="6" spans="1:6" ht="20.100000000000001" customHeight="1">
      <c r="A6" s="103"/>
      <c r="B6" s="104"/>
      <c r="C6" s="104"/>
      <c r="D6" s="104"/>
      <c r="E6" s="242"/>
      <c r="F6" s="129"/>
    </row>
    <row r="7" spans="1:6" ht="20.100000000000001" customHeight="1">
      <c r="A7" s="103"/>
      <c r="B7" s="104"/>
      <c r="C7" s="104"/>
      <c r="D7" s="104"/>
      <c r="E7" s="242"/>
      <c r="F7" s="129"/>
    </row>
    <row r="8" spans="1:6" ht="20.100000000000001" customHeight="1">
      <c r="A8" s="103"/>
      <c r="B8" s="104"/>
      <c r="C8" s="104"/>
      <c r="D8" s="104"/>
      <c r="E8" s="242"/>
      <c r="F8" s="129"/>
    </row>
    <row r="9" spans="1:6" ht="20.100000000000001" customHeight="1">
      <c r="A9" s="103"/>
      <c r="B9" s="104"/>
      <c r="C9" s="104"/>
      <c r="D9" s="104"/>
      <c r="E9" s="242"/>
      <c r="F9" s="129"/>
    </row>
    <row r="10" spans="1:6" ht="20.100000000000001" customHeight="1">
      <c r="A10" s="103"/>
      <c r="B10" s="104"/>
      <c r="C10" s="104"/>
      <c r="D10" s="104"/>
      <c r="E10" s="242"/>
      <c r="F10" s="129"/>
    </row>
    <row r="11" spans="1:6" ht="20.100000000000001" customHeight="1">
      <c r="A11" s="103"/>
      <c r="B11" s="104"/>
      <c r="C11" s="104"/>
      <c r="D11" s="104"/>
      <c r="E11" s="242"/>
      <c r="F11" s="129"/>
    </row>
    <row r="12" spans="1:6" ht="20.100000000000001" customHeight="1">
      <c r="A12" s="104"/>
      <c r="B12" s="104"/>
      <c r="C12" s="104"/>
      <c r="D12" s="104"/>
      <c r="E12" s="242"/>
      <c r="F12" s="129"/>
    </row>
    <row r="13" spans="1:6" ht="20.100000000000001" customHeight="1">
      <c r="A13" s="104"/>
      <c r="B13" s="104"/>
      <c r="C13" s="104"/>
      <c r="D13" s="104"/>
      <c r="E13" s="242"/>
      <c r="F13" s="129"/>
    </row>
    <row r="14" spans="1:6" ht="20.100000000000001" customHeight="1">
      <c r="A14" s="103"/>
      <c r="B14" s="104"/>
      <c r="C14" s="104"/>
      <c r="D14" s="104"/>
      <c r="E14" s="242"/>
      <c r="F14" s="129"/>
    </row>
    <row r="15" spans="1:6" ht="20.100000000000001" customHeight="1">
      <c r="A15" s="103"/>
      <c r="B15" s="104"/>
      <c r="C15" s="104"/>
      <c r="D15" s="104"/>
      <c r="E15" s="242"/>
      <c r="F15" s="129"/>
    </row>
    <row r="16" spans="1:6" ht="20.100000000000001" customHeight="1">
      <c r="A16" s="103"/>
      <c r="B16" s="104"/>
      <c r="C16" s="104"/>
      <c r="D16" s="104"/>
      <c r="E16" s="242"/>
      <c r="F16" s="129"/>
    </row>
    <row r="17" spans="1:6" ht="20.100000000000001" customHeight="1">
      <c r="A17" s="103"/>
      <c r="B17" s="104"/>
      <c r="C17" s="104"/>
      <c r="D17" s="104"/>
      <c r="E17" s="242"/>
      <c r="F17" s="129"/>
    </row>
    <row r="18" spans="1:6" ht="20.100000000000001" customHeight="1">
      <c r="A18" s="103"/>
      <c r="B18" s="104"/>
      <c r="C18" s="104"/>
      <c r="D18" s="104"/>
      <c r="E18" s="242"/>
      <c r="F18" s="129"/>
    </row>
    <row r="19" spans="1:6" ht="20.100000000000001" customHeight="1">
      <c r="A19" s="104"/>
      <c r="B19" s="104"/>
      <c r="C19" s="104"/>
      <c r="D19" s="104"/>
      <c r="E19" s="242"/>
      <c r="F19" s="129"/>
    </row>
    <row r="20" spans="1:6" ht="20.100000000000001" customHeight="1">
      <c r="A20" s="103"/>
      <c r="B20" s="104"/>
      <c r="C20" s="104"/>
      <c r="D20" s="104"/>
      <c r="E20" s="242"/>
      <c r="F20" s="129"/>
    </row>
    <row r="21" spans="1:6" ht="20.100000000000001" customHeight="1">
      <c r="A21" s="104"/>
      <c r="B21" s="104"/>
      <c r="C21" s="104"/>
      <c r="D21" s="104"/>
      <c r="E21" s="242"/>
      <c r="F21" s="129"/>
    </row>
    <row r="22" spans="1:6" ht="20.100000000000001" customHeight="1">
      <c r="A22" s="104"/>
      <c r="B22" s="104"/>
      <c r="C22" s="104"/>
      <c r="D22" s="104"/>
      <c r="E22" s="242"/>
      <c r="F22" s="129"/>
    </row>
    <row r="23" spans="1:6" ht="20.100000000000001" customHeight="1">
      <c r="A23" s="103"/>
      <c r="B23" s="104"/>
      <c r="C23" s="104"/>
      <c r="D23" s="104"/>
      <c r="E23" s="242"/>
      <c r="F23" s="129"/>
    </row>
    <row r="24" spans="1:6" ht="20.100000000000001" customHeight="1">
      <c r="A24" s="104"/>
      <c r="B24" s="104"/>
      <c r="C24" s="104"/>
      <c r="D24" s="104"/>
      <c r="E24" s="242"/>
      <c r="F24" s="129"/>
    </row>
    <row r="25" spans="1:6" ht="20.100000000000001" customHeight="1">
      <c r="A25" s="103"/>
      <c r="B25" s="104"/>
      <c r="C25" s="104"/>
      <c r="D25" s="104"/>
      <c r="E25" s="242"/>
      <c r="F25" s="129"/>
    </row>
    <row r="26" spans="1:6" ht="20.100000000000001" customHeight="1">
      <c r="A26" s="103"/>
      <c r="B26" s="104"/>
      <c r="C26" s="104"/>
      <c r="D26" s="104"/>
      <c r="E26" s="242"/>
      <c r="F26" s="129"/>
    </row>
    <row r="27" spans="1:6" ht="20.100000000000001" customHeight="1">
      <c r="A27" s="64">
        <f>SUM(A2:A26)</f>
        <v>0</v>
      </c>
      <c r="B27" s="64"/>
      <c r="C27" s="64"/>
      <c r="D27" s="64"/>
      <c r="E27" s="241"/>
    </row>
  </sheetData>
  <protectedRanges>
    <protectedRange sqref="F2:F26" name="범위1"/>
    <protectedRange sqref="A2:D26" name="범위1_1"/>
  </protectedRanges>
  <sortState xmlns:xlrd2="http://schemas.microsoft.com/office/spreadsheetml/2017/richdata2" ref="A2:F26">
    <sortCondition descending="1" ref="B2"/>
  </sortState>
  <phoneticPr fontId="2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BL1840"/>
  <sheetViews>
    <sheetView showGridLines="0" showZeros="0" tabSelected="1" zoomScaleNormal="100" workbookViewId="0">
      <selection activeCell="D3" sqref="D3:G3"/>
    </sheetView>
  </sheetViews>
  <sheetFormatPr defaultRowHeight="13.5"/>
  <cols>
    <col min="1" max="2" width="5.625" style="128" customWidth="1"/>
    <col min="3" max="12" width="6.875" style="66" customWidth="1"/>
    <col min="13" max="13" width="5.625" style="66" customWidth="1"/>
    <col min="14" max="14" width="12.625" style="66" customWidth="1"/>
    <col min="15" max="15" width="4.625" style="194" hidden="1" customWidth="1"/>
    <col min="16" max="16" width="4.625" style="70" hidden="1" customWidth="1"/>
    <col min="17" max="33" width="8.625" style="67" hidden="1" customWidth="1"/>
    <col min="34" max="34" width="9.5" style="66" bestFit="1" customWidth="1"/>
    <col min="35" max="36" width="9.625" style="66" customWidth="1"/>
    <col min="37" max="39" width="3.625" style="66" customWidth="1"/>
    <col min="40" max="40" width="9" style="66" hidden="1" customWidth="1"/>
    <col min="41" max="41" width="9" style="123" hidden="1" customWidth="1"/>
    <col min="42" max="42" width="9" style="128" hidden="1" customWidth="1"/>
    <col min="43" max="43" width="15.625" style="66" hidden="1" customWidth="1"/>
    <col min="44" max="44" width="9" style="66" customWidth="1"/>
    <col min="45" max="61" width="4.625" style="66" customWidth="1"/>
    <col min="62" max="62" width="9" style="66"/>
    <col min="63" max="63" width="0" style="66" hidden="1" customWidth="1"/>
    <col min="64" max="64" width="50.625" style="66" hidden="1" customWidth="1"/>
    <col min="65" max="16384" width="9" style="66"/>
  </cols>
  <sheetData>
    <row r="1" spans="1:64" ht="27.95" customHeight="1" thickBot="1">
      <c r="A1" s="347" t="s">
        <v>188</v>
      </c>
      <c r="B1" s="347"/>
      <c r="C1" s="347"/>
      <c r="D1" s="347"/>
      <c r="E1" s="347"/>
      <c r="F1" s="347"/>
      <c r="H1" s="67"/>
      <c r="I1" s="330" t="s">
        <v>11</v>
      </c>
      <c r="J1" s="330"/>
      <c r="K1" s="330" t="str">
        <f>IFERROR(IF(OR(D2=""),"",VLOOKUP(D4,데이터!$G$4:$L$12,2,0)&amp;TEXT(D2,"yyyymm")&amp;"-"),"")</f>
        <v/>
      </c>
      <c r="L1" s="330"/>
      <c r="M1" s="68"/>
      <c r="N1" s="69" t="s">
        <v>12</v>
      </c>
      <c r="O1" s="195"/>
      <c r="Q1" s="71" t="s">
        <v>134</v>
      </c>
      <c r="AB1" s="72" t="e">
        <f>VLOOKUP($D$4,데이터!$G$4:$L$12,2,0)</f>
        <v>#N/A</v>
      </c>
      <c r="AI1" s="203" t="s">
        <v>183</v>
      </c>
      <c r="AJ1" s="216" t="s">
        <v>2982</v>
      </c>
      <c r="AK1" s="130"/>
      <c r="AL1" s="130"/>
      <c r="AM1" s="252"/>
      <c r="AS1" s="217">
        <v>44753</v>
      </c>
      <c r="AZ1"/>
      <c r="BA1"/>
      <c r="BB1"/>
    </row>
    <row r="2" spans="1:64" s="82" customFormat="1" ht="24" customHeight="1" thickBot="1">
      <c r="A2" s="350" t="s">
        <v>5</v>
      </c>
      <c r="B2" s="351"/>
      <c r="C2" s="212" t="s">
        <v>1</v>
      </c>
      <c r="D2" s="213">
        <f>AS1</f>
        <v>44753</v>
      </c>
      <c r="E2" s="212" t="s">
        <v>2</v>
      </c>
      <c r="F2" s="352"/>
      <c r="G2" s="353"/>
      <c r="H2" s="73"/>
      <c r="I2" s="345" t="s">
        <v>16</v>
      </c>
      <c r="J2" s="346"/>
      <c r="K2" s="209" t="s">
        <v>189</v>
      </c>
      <c r="L2" s="344" t="s">
        <v>37</v>
      </c>
      <c r="M2" s="344"/>
      <c r="N2" s="210"/>
      <c r="O2" s="196"/>
      <c r="P2" s="73"/>
      <c r="Q2" s="75" t="s">
        <v>50</v>
      </c>
      <c r="R2" s="323" t="s">
        <v>51</v>
      </c>
      <c r="S2" s="323"/>
      <c r="T2" s="76"/>
      <c r="U2" s="77" t="s">
        <v>52</v>
      </c>
      <c r="V2" s="78" t="s">
        <v>53</v>
      </c>
      <c r="W2" s="79"/>
      <c r="X2" s="79"/>
      <c r="Y2" s="79"/>
      <c r="Z2" s="79"/>
      <c r="AA2" s="79"/>
      <c r="AB2" s="80"/>
      <c r="AC2" s="67"/>
      <c r="AD2" s="67"/>
      <c r="AE2" s="67"/>
      <c r="AF2" s="67"/>
      <c r="AG2" s="81"/>
      <c r="AI2" s="202" t="s">
        <v>184</v>
      </c>
      <c r="AJ2" s="204" t="s">
        <v>185</v>
      </c>
      <c r="AK2" s="130"/>
      <c r="AL2" s="130"/>
      <c r="AM2" s="282"/>
      <c r="AP2" s="128"/>
      <c r="AQ2" s="236" t="s">
        <v>2978</v>
      </c>
      <c r="AS2" s="310" t="s">
        <v>6599</v>
      </c>
      <c r="AT2" s="310"/>
      <c r="AU2" s="310"/>
      <c r="AV2" s="310"/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</row>
    <row r="3" spans="1:64" ht="24" customHeight="1" thickTop="1" thickBot="1">
      <c r="A3" s="359"/>
      <c r="B3" s="360"/>
      <c r="C3" s="199" t="s">
        <v>3</v>
      </c>
      <c r="D3" s="357" t="str">
        <f>IF(AW6="","",AW6)</f>
        <v/>
      </c>
      <c r="E3" s="357"/>
      <c r="F3" s="357"/>
      <c r="G3" s="358"/>
      <c r="H3" s="70"/>
      <c r="I3" s="331" t="s">
        <v>35</v>
      </c>
      <c r="J3" s="332"/>
      <c r="K3" s="74"/>
      <c r="L3" s="337" t="s">
        <v>17</v>
      </c>
      <c r="M3" s="337"/>
      <c r="N3" s="211"/>
      <c r="O3" s="196"/>
      <c r="P3" s="83"/>
      <c r="Q3" s="84" t="s">
        <v>54</v>
      </c>
      <c r="R3" s="324" t="s">
        <v>65</v>
      </c>
      <c r="S3" s="324"/>
      <c r="T3" s="85"/>
      <c r="U3" s="86" t="s">
        <v>55</v>
      </c>
      <c r="V3" s="87" t="s">
        <v>60</v>
      </c>
      <c r="W3" s="88"/>
      <c r="X3" s="88"/>
      <c r="Y3" s="88"/>
      <c r="Z3" s="89"/>
      <c r="AA3" s="89"/>
      <c r="AB3" s="90"/>
      <c r="AI3" s="125" t="s">
        <v>76</v>
      </c>
      <c r="AJ3" s="126" t="s">
        <v>81</v>
      </c>
      <c r="AK3" s="130"/>
      <c r="AL3" s="130"/>
      <c r="AM3" s="252"/>
      <c r="AQ3" s="237" t="str">
        <f>"*"&amp;AW6&amp;"*"</f>
        <v>**</v>
      </c>
      <c r="AS3" s="218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20"/>
      <c r="BF3" s="220"/>
      <c r="BG3" s="220"/>
      <c r="BH3" s="220"/>
      <c r="BI3" s="220"/>
    </row>
    <row r="4" spans="1:64" ht="24" customHeight="1" thickBot="1">
      <c r="A4" s="361"/>
      <c r="B4" s="362"/>
      <c r="C4" s="199" t="s">
        <v>4</v>
      </c>
      <c r="D4" s="354"/>
      <c r="E4" s="355"/>
      <c r="F4" s="354"/>
      <c r="G4" s="356"/>
      <c r="H4" s="70"/>
      <c r="I4" s="331" t="s">
        <v>36</v>
      </c>
      <c r="J4" s="332"/>
      <c r="K4" s="74"/>
      <c r="L4" s="337" t="s">
        <v>18</v>
      </c>
      <c r="M4" s="337"/>
      <c r="N4" s="211"/>
      <c r="O4" s="196"/>
      <c r="P4" s="83"/>
      <c r="Q4" s="91" t="s">
        <v>56</v>
      </c>
      <c r="R4" s="325" t="s">
        <v>58</v>
      </c>
      <c r="S4" s="325"/>
      <c r="T4" s="325"/>
      <c r="U4" s="92" t="s">
        <v>59</v>
      </c>
      <c r="V4" s="93" t="s">
        <v>61</v>
      </c>
      <c r="W4" s="94"/>
      <c r="X4" s="94"/>
      <c r="Y4" s="94"/>
      <c r="Z4" s="95"/>
      <c r="AA4" s="95"/>
      <c r="AB4" s="96"/>
      <c r="AI4" s="244"/>
      <c r="AJ4" s="127">
        <v>1000</v>
      </c>
      <c r="AK4" s="130"/>
      <c r="AL4" s="130"/>
      <c r="AM4" s="252"/>
      <c r="AS4" s="221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3"/>
      <c r="BF4" s="223"/>
      <c r="BG4" s="223"/>
      <c r="BH4" s="223"/>
      <c r="BI4" s="224"/>
    </row>
    <row r="5" spans="1:64" ht="24" customHeight="1" thickBot="1">
      <c r="A5" s="363" t="s">
        <v>83</v>
      </c>
      <c r="B5" s="364"/>
      <c r="C5" s="199" t="s">
        <v>66</v>
      </c>
      <c r="D5" s="245"/>
      <c r="E5" s="258"/>
      <c r="F5" s="255" t="s">
        <v>0</v>
      </c>
      <c r="G5" s="259">
        <f>B37</f>
        <v>0</v>
      </c>
      <c r="H5" s="70"/>
      <c r="I5" s="331" t="s">
        <v>186</v>
      </c>
      <c r="J5" s="332"/>
      <c r="K5" s="339"/>
      <c r="L5" s="340"/>
      <c r="M5" s="340"/>
      <c r="N5" s="341"/>
      <c r="O5" s="197"/>
      <c r="Q5" s="97" t="s">
        <v>19</v>
      </c>
      <c r="R5" s="98" t="s">
        <v>57</v>
      </c>
      <c r="S5" s="66"/>
      <c r="T5" s="66"/>
      <c r="U5" s="66"/>
      <c r="V5" s="66"/>
      <c r="AK5" s="130"/>
      <c r="AL5" s="130"/>
      <c r="AM5" s="252"/>
      <c r="AQ5" s="238" t="s">
        <v>2978</v>
      </c>
      <c r="AS5" s="225"/>
      <c r="AT5" s="226"/>
      <c r="AU5" s="227"/>
      <c r="AV5" s="311" t="str">
        <f>IF(AV6="신규","신규거래처가 확실합니까?","")</f>
        <v/>
      </c>
      <c r="AW5" s="311"/>
      <c r="AX5" s="311"/>
      <c r="AY5" s="311"/>
      <c r="AZ5" s="311"/>
      <c r="BA5" s="226"/>
      <c r="BB5" s="227"/>
      <c r="BC5" s="227"/>
      <c r="BD5" s="227"/>
      <c r="BE5" s="228"/>
      <c r="BF5" s="228"/>
      <c r="BG5" s="228"/>
      <c r="BH5" s="228"/>
      <c r="BI5" s="229"/>
    </row>
    <row r="6" spans="1:64" ht="24" customHeight="1" thickBot="1">
      <c r="A6" s="348" t="s">
        <v>121</v>
      </c>
      <c r="B6" s="349"/>
      <c r="C6" s="214" t="s">
        <v>67</v>
      </c>
      <c r="D6" s="215"/>
      <c r="E6" s="365"/>
      <c r="F6" s="366"/>
      <c r="G6" s="367"/>
      <c r="H6" s="70"/>
      <c r="I6" s="335" t="s">
        <v>187</v>
      </c>
      <c r="J6" s="336"/>
      <c r="K6" s="328"/>
      <c r="L6" s="328"/>
      <c r="M6" s="328"/>
      <c r="N6" s="329"/>
      <c r="O6" s="197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I6" s="326" t="str">
        <f>IF(D5="","",IF(AND($D$5&lt;&gt;"E-4",$D$5&lt;&gt;"EC-4",$D$5&lt;&gt;"GC-4",$D$5&lt;&gt;"CC-4",$D$5&lt;&gt;"G-4",$D$5&lt;&gt;"L-4",$D$5&lt;&gt;"C-4",$D$5&lt;&gt;"CC-4",$E$5="피스홀"),"피스홀 방식이
 불가능한 타입입니다 다시 확인해주세요","거래처 담당과 발주   담당자가 틀립니다     다시 확인해주세요"))</f>
        <v/>
      </c>
      <c r="AJ6" s="326"/>
      <c r="AK6" s="129"/>
      <c r="AL6" s="129"/>
      <c r="AM6" s="252"/>
      <c r="AQ6" s="248" t="s">
        <v>5662</v>
      </c>
      <c r="AS6" s="225"/>
      <c r="AT6" s="227"/>
      <c r="AU6" s="227"/>
      <c r="AV6" s="230" t="str">
        <f>IF(AND(AW8="",AR6&lt;&gt;AW6,AW6&lt;&gt;""),"신규","")</f>
        <v/>
      </c>
      <c r="AW6" s="312"/>
      <c r="AX6" s="313"/>
      <c r="AY6" s="313"/>
      <c r="AZ6" s="314"/>
      <c r="BA6" s="227"/>
      <c r="BB6" s="227"/>
      <c r="BC6" s="227"/>
      <c r="BD6" s="231" t="s">
        <v>2979</v>
      </c>
      <c r="BE6" s="315" t="str">
        <f>IFERROR(VLOOKUP(AW6,거래처리스트!B2:M4895,12,0),"")</f>
        <v/>
      </c>
      <c r="BF6" s="316"/>
      <c r="BG6" s="316"/>
      <c r="BH6" s="317"/>
      <c r="BI6" s="229"/>
    </row>
    <row r="7" spans="1:64" ht="6" customHeight="1" thickBot="1">
      <c r="A7" s="205"/>
      <c r="B7" s="205"/>
      <c r="C7" s="205"/>
      <c r="D7" s="208"/>
      <c r="E7" s="206"/>
      <c r="F7" s="206"/>
      <c r="G7" s="206"/>
      <c r="H7" s="207"/>
      <c r="I7" s="205"/>
      <c r="J7" s="205"/>
      <c r="K7" s="205"/>
      <c r="L7" s="205"/>
      <c r="M7" s="205"/>
      <c r="N7" s="205"/>
      <c r="O7" s="197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I7" s="326"/>
      <c r="AJ7" s="326"/>
      <c r="AK7" s="129"/>
      <c r="AL7" s="129"/>
      <c r="AM7" s="252"/>
      <c r="AQ7" s="248"/>
      <c r="AS7" s="225"/>
      <c r="AT7" s="227"/>
      <c r="AU7" s="227"/>
      <c r="AV7" s="227"/>
      <c r="AW7" s="227"/>
      <c r="AX7" s="227"/>
      <c r="AY7" s="227"/>
      <c r="AZ7" s="227"/>
      <c r="BA7" s="227"/>
      <c r="BB7" s="227"/>
      <c r="BC7" s="227"/>
      <c r="BD7" s="227"/>
      <c r="BE7" s="228"/>
      <c r="BF7" s="228"/>
      <c r="BG7" s="228"/>
      <c r="BH7" s="228"/>
      <c r="BI7" s="229"/>
    </row>
    <row r="8" spans="1:64" ht="30" customHeight="1" thickTop="1" thickBot="1">
      <c r="A8" s="289" t="s">
        <v>3076</v>
      </c>
      <c r="B8" s="290"/>
      <c r="C8" s="299"/>
      <c r="D8" s="300"/>
      <c r="E8" s="300"/>
      <c r="F8" s="300"/>
      <c r="G8" s="300"/>
      <c r="H8" s="300"/>
      <c r="I8" s="300"/>
      <c r="J8" s="300"/>
      <c r="K8" s="301"/>
      <c r="L8" s="302"/>
      <c r="M8" s="302"/>
      <c r="N8" s="303"/>
      <c r="O8" s="197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H8" s="256" t="s">
        <v>3078</v>
      </c>
      <c r="AI8" s="326"/>
      <c r="AJ8" s="326"/>
      <c r="AK8" s="129"/>
      <c r="AL8" s="129"/>
      <c r="AM8" s="252"/>
      <c r="AQ8" s="248"/>
      <c r="AS8" s="225"/>
      <c r="AT8" s="318" t="s">
        <v>2980</v>
      </c>
      <c r="AU8" s="319"/>
      <c r="AV8" s="320"/>
      <c r="AW8" s="315" t="str">
        <f>IFERROR(VLOOKUP(AW6,거래처리스트!B2:M4895,6,0),"")</f>
        <v/>
      </c>
      <c r="AX8" s="316"/>
      <c r="AY8" s="316"/>
      <c r="AZ8" s="316"/>
      <c r="BA8" s="316"/>
      <c r="BB8" s="316"/>
      <c r="BC8" s="316"/>
      <c r="BD8" s="316"/>
      <c r="BE8" s="316"/>
      <c r="BF8" s="317"/>
      <c r="BG8" s="321" t="str">
        <f>IFERROR(VLOOKUP(AW6,거래처리스트!B2:M4895,2,0),"")</f>
        <v/>
      </c>
      <c r="BH8" s="322"/>
      <c r="BI8" s="260" t="e">
        <f>IF(AV5&lt;&gt;"","",IF(LEFT(BG8,1)="D",CHOOSE(MID(BG8,2,1),"김성진","박영재","정호정","김지훈"),CHOOSE(MID(BG8,2,1),"김지수","이기선","정상호","박수진")))</f>
        <v>#VALUE!</v>
      </c>
    </row>
    <row r="9" spans="1:64" ht="24" customHeight="1" thickBot="1">
      <c r="A9" s="283" t="s">
        <v>13</v>
      </c>
      <c r="B9" s="283"/>
      <c r="C9" s="283"/>
      <c r="D9" s="99" t="s">
        <v>14</v>
      </c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198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I9" s="327" t="s">
        <v>3441</v>
      </c>
      <c r="AJ9" s="327"/>
      <c r="AK9" s="130"/>
      <c r="AL9" s="130"/>
      <c r="AM9" s="252"/>
      <c r="AQ9" s="248"/>
      <c r="AS9" s="232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4"/>
      <c r="BF9" s="234"/>
      <c r="BG9" s="234"/>
      <c r="BH9" s="234"/>
      <c r="BI9" s="235"/>
    </row>
    <row r="10" spans="1:64" ht="20.100000000000001" customHeight="1" thickTop="1">
      <c r="A10" s="284" t="s">
        <v>6</v>
      </c>
      <c r="B10" s="284" t="s">
        <v>0</v>
      </c>
      <c r="C10" s="304" t="s">
        <v>38</v>
      </c>
      <c r="D10" s="305"/>
      <c r="E10" s="297" t="s">
        <v>7</v>
      </c>
      <c r="F10" s="293" t="s">
        <v>49</v>
      </c>
      <c r="G10" s="306" t="s">
        <v>39</v>
      </c>
      <c r="H10" s="295" t="s">
        <v>9</v>
      </c>
      <c r="I10" s="306" t="s">
        <v>8</v>
      </c>
      <c r="J10" s="291" t="s">
        <v>62</v>
      </c>
      <c r="K10" s="333" t="s">
        <v>68</v>
      </c>
      <c r="L10" s="334"/>
      <c r="M10" s="342" t="s">
        <v>182</v>
      </c>
      <c r="N10" s="343" t="s">
        <v>71</v>
      </c>
      <c r="O10" s="193"/>
      <c r="Q10" s="286" t="s">
        <v>10</v>
      </c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7"/>
      <c r="AH10" s="284" t="s">
        <v>80</v>
      </c>
      <c r="AI10" s="129"/>
      <c r="AJ10" s="129"/>
      <c r="AK10" s="130"/>
      <c r="AL10" s="130"/>
      <c r="AM10" s="252"/>
      <c r="AN10" s="128" t="str">
        <f>IF(B12="","","일반")</f>
        <v/>
      </c>
      <c r="AQ10" s="248"/>
      <c r="AZ10"/>
      <c r="BA10"/>
      <c r="BB10"/>
    </row>
    <row r="11" spans="1:64" ht="20.100000000000001" customHeight="1">
      <c r="A11" s="285"/>
      <c r="B11" s="285"/>
      <c r="C11" s="100" t="s">
        <v>63</v>
      </c>
      <c r="D11" s="100" t="s">
        <v>64</v>
      </c>
      <c r="E11" s="298"/>
      <c r="F11" s="294"/>
      <c r="G11" s="307"/>
      <c r="H11" s="296"/>
      <c r="I11" s="338"/>
      <c r="J11" s="292"/>
      <c r="K11" s="101" t="str">
        <f>IF(OR($D$5="G-4",$D$5="GC-4",$D$5="L-4",$D$5="LC-4"),"좌","")</f>
        <v/>
      </c>
      <c r="L11" s="101" t="str">
        <f>IF(OR($D$5="G-4",$D$5="GC-4",$D$5="L-4",$D$5="LC-4"),"우","")</f>
        <v/>
      </c>
      <c r="M11" s="285"/>
      <c r="N11" s="343"/>
      <c r="O11" s="193"/>
      <c r="P11" s="102" t="s">
        <v>75</v>
      </c>
      <c r="Q11" s="102" t="s">
        <v>20</v>
      </c>
      <c r="R11" s="102" t="s">
        <v>21</v>
      </c>
      <c r="S11" s="102" t="s">
        <v>22</v>
      </c>
      <c r="T11" s="102" t="s">
        <v>23</v>
      </c>
      <c r="U11" s="102" t="s">
        <v>24</v>
      </c>
      <c r="V11" s="102" t="s">
        <v>25</v>
      </c>
      <c r="W11" s="102" t="s">
        <v>26</v>
      </c>
      <c r="X11" s="102" t="s">
        <v>27</v>
      </c>
      <c r="Y11" s="102" t="s">
        <v>28</v>
      </c>
      <c r="Z11" s="102" t="s">
        <v>29</v>
      </c>
      <c r="AA11" s="102" t="s">
        <v>30</v>
      </c>
      <c r="AB11" s="102" t="s">
        <v>31</v>
      </c>
      <c r="AC11" s="102" t="s">
        <v>32</v>
      </c>
      <c r="AD11" s="102" t="s">
        <v>33</v>
      </c>
      <c r="AE11" s="102" t="s">
        <v>34</v>
      </c>
      <c r="AF11" s="102" t="s">
        <v>3026</v>
      </c>
      <c r="AG11" s="102" t="s">
        <v>3077</v>
      </c>
      <c r="AH11" s="285"/>
      <c r="AI11" s="129"/>
      <c r="AK11" s="130"/>
      <c r="AL11" s="130"/>
      <c r="AM11" s="252"/>
      <c r="AN11" s="129" t="s">
        <v>64</v>
      </c>
      <c r="AO11" s="128" t="s">
        <v>63</v>
      </c>
      <c r="AQ11" s="248"/>
      <c r="AZ11"/>
      <c r="BA11"/>
      <c r="BB11"/>
    </row>
    <row r="12" spans="1:64" ht="21.95" customHeight="1">
      <c r="A12" s="100">
        <v>1</v>
      </c>
      <c r="B12" s="253"/>
      <c r="C12" s="254"/>
      <c r="D12" s="254"/>
      <c r="E12" s="105">
        <f>IF(B12="",0,IF(D12&lt;=950,"40",IF(D12&lt;=1750,"50",IF(AND(D12&gt;1750,OR($D$5="L-3",$D$5="L-4")),"불가",IF(D12&gt;1750,"60")))))</f>
        <v>0</v>
      </c>
      <c r="F12" s="106">
        <f t="shared" ref="F12:F36" si="0">IF(B12="",0,IF(E12="불가",0,IF(AND(E12&lt;&gt;"불가",$E$5="피스홀"),C12-8-6,IF(E12&lt;&gt;"불가",C12-8,0))))</f>
        <v>0</v>
      </c>
      <c r="G12" s="107">
        <f t="shared" ref="G12:G36" si="1">IF(B12="",0,IF(E12="불가",0,IF(B12&lt;&gt;"불가",C12-54,0)))</f>
        <v>0</v>
      </c>
      <c r="H12" s="108">
        <f t="shared" ref="H12:H36" si="2">IF(B12="",0,IF(E12="불가",0,IF(B12&lt;&gt;"불가",C12-69,0)))</f>
        <v>0</v>
      </c>
      <c r="I12" s="107">
        <f>IF(OR($D$5="EC-3",$D$5="G-3",$D$5="E-3",$D$5="GC-3",$D$5="L-3"),0,IF(E12="불가",0,IF(B12&lt;&gt;"",C12-63,0)))</f>
        <v>0</v>
      </c>
      <c r="J12" s="109">
        <f>IF(E12="불가",0,IF(AND(B12&lt;&gt;"",$E$5="피스홀",OR($D$5="E-4",$D$5="EC-4",$D$5="G-4",$D$5="GC-4",$D$5="C-4",$D$5="CC-4")),D12-5-6-E12,(IF(AND(B12&lt;&gt;"",OR($D$5="E-4",$D$5="EC-4",$D$5="G-3",$D$5="GC-3",$D$5="G-4",$D$5="GC-4",$D$5="C-4",$D$5="CC-4")),D12-5-E12,IF(AND(B12&lt;&gt;"",$E$5="피스홀",$D$5="L-4",VALUE(E12)=40),D12-47-6,IF(AND(B12&lt;&gt;"",OR($D$5="L-3",$D$5="L-4"),VALUE(E12)=40),D12-47,IF(AND(B12&lt;&gt;"",$E$5="피스홀",$D$5="L-4",VALUE(E12)&lt;&gt;40),D12-62-6,IF(AND(B12&lt;&gt;"",OR($D$5="L-3",$D$5="L-4"),VALUE(E12)&lt;&gt;40),D12-62,0))))))))</f>
        <v>0</v>
      </c>
      <c r="K12" s="110">
        <f t="shared" ref="K12:K36" si="3">IF(E12="불가",0,IF(AND(B12&lt;&gt;"",OR($D$5="GC-3",$D$5="GC-4")),G12/2-12,IF(AND(B12&lt;&gt;"",OR($D$5="G-3",$D$5="G-4",)),G12/2-29.5,IF(AND(B12&lt;&gt;"",OR($D$5="L-3",$D$5="LC-3")),G12/2-31,IF(AND(B12&lt;&gt;"",OR($D$5="L-4",$D$5="LC-4")),G12/2-31,0)))))</f>
        <v>0</v>
      </c>
      <c r="L12" s="110">
        <f t="shared" ref="L12:L36" si="4">IF(E12="불가",0,IF(AND(B12&lt;&gt;"",OR($D$5="GC-4")),G12/2-12,IF(AND(B12&lt;&gt;"",OR($D$5="GC-4",$D$5="G-4")),G12/2-29.5,IF(AND(B12&lt;&gt;"",OR($D$5="L-4",$D$5="LC-4")),G12/2-31,0))))</f>
        <v>0</v>
      </c>
      <c r="M12" s="200"/>
      <c r="N12" s="240"/>
      <c r="O12" s="193"/>
      <c r="P12" s="111">
        <f>$E$9</f>
        <v>0</v>
      </c>
      <c r="Q12" s="112">
        <f>$D$2</f>
        <v>44753</v>
      </c>
      <c r="R12" s="112">
        <f t="shared" ref="R12:R36" si="5">$F$2</f>
        <v>0</v>
      </c>
      <c r="S12" s="113" t="str">
        <f>IF($D$3=$K$5,$D$3,IF($D$3&lt;&gt;"",$D$3&amp;"("&amp;$K$5&amp;")",""))</f>
        <v/>
      </c>
      <c r="T12" s="113">
        <f t="shared" ref="T12:T36" si="6">$D$4</f>
        <v>0</v>
      </c>
      <c r="U12" s="114">
        <f t="shared" ref="U12:U36" si="7">$D$5</f>
        <v>0</v>
      </c>
      <c r="V12" s="114" t="str">
        <f t="shared" ref="V12:V36" si="8">$D$6&amp;"/"&amp;$E$6</f>
        <v>/</v>
      </c>
      <c r="W12" s="114" t="str">
        <f t="shared" ref="W12:W36" si="9">$K$2</f>
        <v>○</v>
      </c>
      <c r="X12" s="114">
        <f t="shared" ref="X12:X36" si="10">$N$2</f>
        <v>0</v>
      </c>
      <c r="Y12" s="114">
        <f t="shared" ref="Y12:Y36" si="11">$K$3</f>
        <v>0</v>
      </c>
      <c r="Z12" s="114">
        <f t="shared" ref="Z12:Z36" si="12">$N$3</f>
        <v>0</v>
      </c>
      <c r="AA12" s="114">
        <f t="shared" ref="AA12:AA36" si="13">$K$4</f>
        <v>0</v>
      </c>
      <c r="AB12" s="114">
        <f t="shared" ref="AB12:AB36" si="14">$N$4</f>
        <v>0</v>
      </c>
      <c r="AC12" s="114">
        <f>$C$8</f>
        <v>0</v>
      </c>
      <c r="AD12" s="114">
        <f>$K$6</f>
        <v>0</v>
      </c>
      <c r="AE12" s="114" t="str">
        <f t="shared" ref="AE12:AE36" si="15">$K$1&amp;$M$1</f>
        <v/>
      </c>
      <c r="AF12" s="114">
        <f>$K$8</f>
        <v>0</v>
      </c>
      <c r="AG12" s="114"/>
      <c r="AH12" s="115" t="str">
        <f ca="1">IFERROR(ROUND(IF(E12&lt;&gt;"불가",INDIRECT("일반단가표!"&amp;AP12)*VLOOKUP($D$5,데이터!$E$4:$F$13,2,0)*VLOOKUP($D$6,데이터!$A$4:$B$7,2,0)*(1-$AI$4)+IF(NOT(ISERROR(FIND("끈",M12))),+$AJ$4,0),0),-2),"")</f>
        <v/>
      </c>
      <c r="AI12" s="130"/>
      <c r="AK12" s="130"/>
      <c r="AL12" s="130"/>
      <c r="AM12" s="252"/>
      <c r="AN12" s="131" t="str">
        <f>IFERROR(IF(D12="","",IF(VALUE(D12)&lt;300,300,IF(VALUE(RIGHT(D12,2))&lt;=($AJ$1-1),ROUNDDOWN(D12,-2),ROUNDUP(D12,-2)))),"")</f>
        <v/>
      </c>
      <c r="AO12" s="131" t="str">
        <f>IFERROR(IF(C12="","",IF(VALUE(C12)&lt;300,300,IF(VALUE(RIGHT(C12,2))&lt;=($AJ$1-1),ROUNDDOWN(C12,-2),ROUNDUP(C12,-2)))),"")</f>
        <v/>
      </c>
      <c r="AP12" s="66" t="str">
        <f>IFERROR(ADDRESS(MATCH(AN12,일반단가표!$A$1:$A$23,0),MATCH(AO12,일반단가표!$A$1:$T$1,0)),"")</f>
        <v/>
      </c>
      <c r="AQ12" s="257"/>
      <c r="AR12"/>
      <c r="AS12"/>
      <c r="BA12" s="132"/>
      <c r="BB12" s="124"/>
      <c r="BK12" s="308" t="s">
        <v>3025</v>
      </c>
      <c r="BL12" s="309"/>
    </row>
    <row r="13" spans="1:64" ht="21.95" customHeight="1">
      <c r="A13" s="100">
        <v>2</v>
      </c>
      <c r="B13" s="253"/>
      <c r="C13" s="254"/>
      <c r="D13" s="254"/>
      <c r="E13" s="105">
        <f t="shared" ref="E13:E36" si="16">IF(B13="",0,IF(D13&lt;=950,"40",IF(D13&lt;=1750,"50",IF(AND(D13&gt;1750,OR($D$5="L-3",$D$5="L-4")),"불가",IF(D13&gt;1750,"60")))))</f>
        <v>0</v>
      </c>
      <c r="F13" s="106">
        <f t="shared" si="0"/>
        <v>0</v>
      </c>
      <c r="G13" s="107">
        <f t="shared" si="1"/>
        <v>0</v>
      </c>
      <c r="H13" s="108">
        <f t="shared" si="2"/>
        <v>0</v>
      </c>
      <c r="I13" s="107">
        <f t="shared" ref="I13:I36" si="17">IF(OR($D$5="EC-3",$D$5="G-3",$D$5="E-3",$D$5="GC-3",$D$5="L-3"),0,IF(E13="불가",0,IF(B13&lt;&gt;"",C13-63,0)))</f>
        <v>0</v>
      </c>
      <c r="J13" s="109">
        <f t="shared" ref="J13:J36" si="18">IF(E13="불가",0,IF(AND(B13&lt;&gt;"",$E$5="피스홀",OR($D$5="E-4",$D$5="EC-4",$D$5="G-4",$D$5="GC-4",$D$5="C-4",$D$5="CC-4")),D13-5-6-E13,(IF(AND(B13&lt;&gt;"",OR($D$5="E-4",$D$5="EC-4",$D$5="G-3",$D$5="GC-3",$D$5="G-4",$D$5="GC-4",$D$5="C-4",$D$5="CC-4")),D13-5-E13,IF(AND(B13&lt;&gt;"",$E$5="피스홀",$D$5="L-4",VALUE(E13)=40),D13-47-6,IF(AND(B13&lt;&gt;"",OR($D$5="L-3",$D$5="L-4"),VALUE(E13)=40),D13-47,IF(AND(B13&lt;&gt;"",$E$5="피스홀",$D$5="L-4",VALUE(E13)&lt;&gt;40),D13-62-6,IF(AND(B13&lt;&gt;"",OR($D$5="L-3",$D$5="L-4"),VALUE(E13)&lt;&gt;40),D13-62,0))))))))</f>
        <v>0</v>
      </c>
      <c r="K13" s="110">
        <f t="shared" si="3"/>
        <v>0</v>
      </c>
      <c r="L13" s="110">
        <f t="shared" si="4"/>
        <v>0</v>
      </c>
      <c r="M13" s="200"/>
      <c r="N13" s="240"/>
      <c r="O13" s="193"/>
      <c r="P13" s="111">
        <f t="shared" ref="P13:P36" si="19">$E$9</f>
        <v>0</v>
      </c>
      <c r="Q13" s="112">
        <f t="shared" ref="Q13:Q36" si="20">$D$2</f>
        <v>44753</v>
      </c>
      <c r="R13" s="112">
        <f t="shared" si="5"/>
        <v>0</v>
      </c>
      <c r="S13" s="113" t="str">
        <f t="shared" ref="S13:S36" si="21">IF($D$3=$K$5,$D$3,IF($D$3&lt;&gt;"",$D$3&amp;"("&amp;$K$5&amp;")",""))</f>
        <v/>
      </c>
      <c r="T13" s="113">
        <f t="shared" si="6"/>
        <v>0</v>
      </c>
      <c r="U13" s="114">
        <f t="shared" si="7"/>
        <v>0</v>
      </c>
      <c r="V13" s="114" t="str">
        <f t="shared" si="8"/>
        <v>/</v>
      </c>
      <c r="W13" s="114" t="str">
        <f t="shared" si="9"/>
        <v>○</v>
      </c>
      <c r="X13" s="114">
        <f t="shared" si="10"/>
        <v>0</v>
      </c>
      <c r="Y13" s="114">
        <f t="shared" si="11"/>
        <v>0</v>
      </c>
      <c r="Z13" s="114">
        <f t="shared" si="12"/>
        <v>0</v>
      </c>
      <c r="AA13" s="114">
        <f t="shared" si="13"/>
        <v>0</v>
      </c>
      <c r="AB13" s="114">
        <f t="shared" si="14"/>
        <v>0</v>
      </c>
      <c r="AC13" s="114">
        <f t="shared" ref="AC13:AC36" si="22">$C$8</f>
        <v>0</v>
      </c>
      <c r="AD13" s="114">
        <f t="shared" ref="AD13:AD36" si="23">$K$6</f>
        <v>0</v>
      </c>
      <c r="AE13" s="114" t="str">
        <f t="shared" si="15"/>
        <v/>
      </c>
      <c r="AF13" s="114">
        <f t="shared" ref="AF13:AF35" si="24">$K$8</f>
        <v>0</v>
      </c>
      <c r="AG13" s="114"/>
      <c r="AH13" s="115" t="str">
        <f ca="1">IFERROR(ROUND(IF(E13&lt;&gt;"불가",INDIRECT($AN$10&amp;"단가표"&amp;"!"&amp;AP13)*VLOOKUP($D$5,데이터!$E$4:$F$13,2,0)*VLOOKUP($D$6,데이터!$A$4:$B$7,2,0)*(1-$AI$4)+IF(NOT(ISERROR(FIND("끈",M13))),+$AJ$4,0),0),-2),"")</f>
        <v/>
      </c>
      <c r="AI13" s="130"/>
      <c r="AK13" s="130"/>
      <c r="AL13" s="130"/>
      <c r="AM13" s="252"/>
      <c r="AN13" s="131" t="str">
        <f t="shared" ref="AN13:AN16" si="25">IFERROR(IF(D13="","",IF(VALUE(D13)&lt;300,300,IF(VALUE(RIGHT(D13,2))&lt;=($AJ$1-1),ROUNDDOWN(D13,-2),ROUNDUP(D13,-2)))),"")</f>
        <v/>
      </c>
      <c r="AO13" s="131" t="str">
        <f t="shared" ref="AO13:AO16" si="26">IFERROR(IF(C13="","",IF(VALUE(C13)&lt;300,300,IF(VALUE(RIGHT(C13,2))&lt;=($AJ$1-1),ROUNDDOWN(C13,-2),ROUNDUP(C13,-2)))),"")</f>
        <v/>
      </c>
      <c r="AP13" s="66" t="str">
        <f>IFERROR(ADDRESS(MATCH(AN13,일반단가표!$A$1:$A$23,0),MATCH(AO13,일반단가표!$A$1:$T$1,0)),"")</f>
        <v/>
      </c>
      <c r="AQ13" s="248"/>
      <c r="AT13" s="82"/>
      <c r="AU13" s="82"/>
      <c r="AV13" s="82"/>
      <c r="AW13" s="82"/>
      <c r="AX13" s="82"/>
      <c r="AY13" s="82"/>
      <c r="AZ13" s="82"/>
      <c r="BA13" s="82"/>
      <c r="BB13" s="82"/>
      <c r="BK13" s="309"/>
      <c r="BL13" s="309"/>
    </row>
    <row r="14" spans="1:64" ht="21.95" customHeight="1">
      <c r="A14" s="100">
        <v>3</v>
      </c>
      <c r="B14" s="253"/>
      <c r="C14" s="254"/>
      <c r="D14" s="254"/>
      <c r="E14" s="105">
        <f t="shared" si="16"/>
        <v>0</v>
      </c>
      <c r="F14" s="106">
        <f t="shared" si="0"/>
        <v>0</v>
      </c>
      <c r="G14" s="107">
        <f t="shared" si="1"/>
        <v>0</v>
      </c>
      <c r="H14" s="108">
        <f t="shared" si="2"/>
        <v>0</v>
      </c>
      <c r="I14" s="107">
        <f t="shared" si="17"/>
        <v>0</v>
      </c>
      <c r="J14" s="109">
        <f t="shared" si="18"/>
        <v>0</v>
      </c>
      <c r="K14" s="110">
        <f t="shared" si="3"/>
        <v>0</v>
      </c>
      <c r="L14" s="110">
        <f t="shared" si="4"/>
        <v>0</v>
      </c>
      <c r="M14" s="200"/>
      <c r="N14" s="240"/>
      <c r="O14" s="193"/>
      <c r="P14" s="111">
        <f t="shared" si="19"/>
        <v>0</v>
      </c>
      <c r="Q14" s="112">
        <f t="shared" si="20"/>
        <v>44753</v>
      </c>
      <c r="R14" s="112">
        <f t="shared" si="5"/>
        <v>0</v>
      </c>
      <c r="S14" s="113" t="str">
        <f t="shared" si="21"/>
        <v/>
      </c>
      <c r="T14" s="113">
        <f t="shared" si="6"/>
        <v>0</v>
      </c>
      <c r="U14" s="114">
        <f t="shared" si="7"/>
        <v>0</v>
      </c>
      <c r="V14" s="114" t="str">
        <f t="shared" si="8"/>
        <v>/</v>
      </c>
      <c r="W14" s="114" t="str">
        <f t="shared" si="9"/>
        <v>○</v>
      </c>
      <c r="X14" s="114">
        <f t="shared" si="10"/>
        <v>0</v>
      </c>
      <c r="Y14" s="114">
        <f t="shared" si="11"/>
        <v>0</v>
      </c>
      <c r="Z14" s="114">
        <f t="shared" si="12"/>
        <v>0</v>
      </c>
      <c r="AA14" s="114">
        <f t="shared" si="13"/>
        <v>0</v>
      </c>
      <c r="AB14" s="114">
        <f t="shared" si="14"/>
        <v>0</v>
      </c>
      <c r="AC14" s="114">
        <f t="shared" si="22"/>
        <v>0</v>
      </c>
      <c r="AD14" s="114">
        <f t="shared" si="23"/>
        <v>0</v>
      </c>
      <c r="AE14" s="114" t="str">
        <f t="shared" si="15"/>
        <v/>
      </c>
      <c r="AF14" s="114">
        <f t="shared" si="24"/>
        <v>0</v>
      </c>
      <c r="AG14" s="114"/>
      <c r="AH14" s="115" t="str">
        <f ca="1">IFERROR(ROUND(IF(E14&lt;&gt;"불가",INDIRECT($AN$10&amp;"단가표"&amp;"!"&amp;AP14)*VLOOKUP($D$5,데이터!$E$4:$F$13,2,0)*VLOOKUP($D$6,데이터!$A$4:$B$7,2,0)*(1-$AI$4)+IF(NOT(ISERROR(FIND("끈",M14))),+$AJ$4,0),0),-2),"")</f>
        <v/>
      </c>
      <c r="AI14" s="130"/>
      <c r="AK14" s="130" t="s">
        <v>164</v>
      </c>
      <c r="AL14" s="130"/>
      <c r="AM14" s="252"/>
      <c r="AN14" s="131" t="str">
        <f t="shared" si="25"/>
        <v/>
      </c>
      <c r="AO14" s="131" t="str">
        <f t="shared" si="26"/>
        <v/>
      </c>
      <c r="AP14" s="66" t="str">
        <f>IFERROR(ADDRESS(MATCH(AN14,일반단가표!$A$1:$A$23,0),MATCH(AO14,일반단가표!$A$1:$T$1,0)),"")</f>
        <v/>
      </c>
      <c r="AQ14" s="248"/>
      <c r="AR14" s="82"/>
      <c r="AS14" s="82"/>
      <c r="BK14" s="309"/>
      <c r="BL14" s="309"/>
    </row>
    <row r="15" spans="1:64" ht="21.95" customHeight="1">
      <c r="A15" s="100">
        <v>4</v>
      </c>
      <c r="B15" s="253"/>
      <c r="C15" s="254"/>
      <c r="D15" s="254"/>
      <c r="E15" s="105">
        <f t="shared" si="16"/>
        <v>0</v>
      </c>
      <c r="F15" s="106">
        <f t="shared" si="0"/>
        <v>0</v>
      </c>
      <c r="G15" s="107">
        <f t="shared" si="1"/>
        <v>0</v>
      </c>
      <c r="H15" s="108">
        <f t="shared" si="2"/>
        <v>0</v>
      </c>
      <c r="I15" s="107">
        <f t="shared" si="17"/>
        <v>0</v>
      </c>
      <c r="J15" s="109">
        <f t="shared" si="18"/>
        <v>0</v>
      </c>
      <c r="K15" s="110">
        <f t="shared" si="3"/>
        <v>0</v>
      </c>
      <c r="L15" s="110">
        <f t="shared" si="4"/>
        <v>0</v>
      </c>
      <c r="M15" s="200"/>
      <c r="N15" s="240"/>
      <c r="O15" s="193"/>
      <c r="P15" s="111">
        <f t="shared" si="19"/>
        <v>0</v>
      </c>
      <c r="Q15" s="112">
        <f t="shared" si="20"/>
        <v>44753</v>
      </c>
      <c r="R15" s="112">
        <f t="shared" si="5"/>
        <v>0</v>
      </c>
      <c r="S15" s="113" t="str">
        <f t="shared" si="21"/>
        <v/>
      </c>
      <c r="T15" s="113">
        <f t="shared" si="6"/>
        <v>0</v>
      </c>
      <c r="U15" s="114">
        <f t="shared" si="7"/>
        <v>0</v>
      </c>
      <c r="V15" s="114" t="str">
        <f t="shared" si="8"/>
        <v>/</v>
      </c>
      <c r="W15" s="114" t="str">
        <f t="shared" si="9"/>
        <v>○</v>
      </c>
      <c r="X15" s="114">
        <f t="shared" si="10"/>
        <v>0</v>
      </c>
      <c r="Y15" s="114">
        <f t="shared" si="11"/>
        <v>0</v>
      </c>
      <c r="Z15" s="114">
        <f t="shared" si="12"/>
        <v>0</v>
      </c>
      <c r="AA15" s="114">
        <f t="shared" si="13"/>
        <v>0</v>
      </c>
      <c r="AB15" s="114">
        <f t="shared" si="14"/>
        <v>0</v>
      </c>
      <c r="AC15" s="114">
        <f t="shared" si="22"/>
        <v>0</v>
      </c>
      <c r="AD15" s="114">
        <f t="shared" si="23"/>
        <v>0</v>
      </c>
      <c r="AE15" s="114" t="str">
        <f t="shared" si="15"/>
        <v/>
      </c>
      <c r="AF15" s="114">
        <f t="shared" si="24"/>
        <v>0</v>
      </c>
      <c r="AG15" s="114"/>
      <c r="AH15" s="115" t="str">
        <f ca="1">IFERROR(ROUND(IF(E15&lt;&gt;"불가",INDIRECT($AN$10&amp;"단가표"&amp;"!"&amp;AP15)*VLOOKUP($D$5,데이터!$E$4:$F$13,2,0)*VLOOKUP($D$6,데이터!$A$4:$B$7,2,0)*(1-$AI$4)+IF(NOT(ISERROR(FIND("끈",M15))),+$AJ$4,0),0),-2),"")</f>
        <v/>
      </c>
      <c r="AI15" s="130"/>
      <c r="AK15" s="130"/>
      <c r="AL15" s="130"/>
      <c r="AM15" s="252"/>
      <c r="AN15" s="131" t="str">
        <f t="shared" si="25"/>
        <v/>
      </c>
      <c r="AO15" s="131" t="str">
        <f t="shared" si="26"/>
        <v/>
      </c>
      <c r="AP15" s="66" t="str">
        <f>IFERROR(ADDRESS(MATCH(AN15,일반단가표!$A$1:$A$23,0),MATCH(AO15,일반단가표!$A$1:$T$1,0)),"")</f>
        <v/>
      </c>
      <c r="AQ15" s="248"/>
      <c r="BK15" s="309"/>
      <c r="BL15" s="309"/>
    </row>
    <row r="16" spans="1:64" ht="21.95" customHeight="1">
      <c r="A16" s="100">
        <v>5</v>
      </c>
      <c r="B16" s="254"/>
      <c r="C16" s="254"/>
      <c r="D16" s="254"/>
      <c r="E16" s="105">
        <f t="shared" si="16"/>
        <v>0</v>
      </c>
      <c r="F16" s="106">
        <f t="shared" si="0"/>
        <v>0</v>
      </c>
      <c r="G16" s="107">
        <f t="shared" si="1"/>
        <v>0</v>
      </c>
      <c r="H16" s="108">
        <f t="shared" si="2"/>
        <v>0</v>
      </c>
      <c r="I16" s="107">
        <f t="shared" si="17"/>
        <v>0</v>
      </c>
      <c r="J16" s="109">
        <f t="shared" si="18"/>
        <v>0</v>
      </c>
      <c r="K16" s="110">
        <f t="shared" si="3"/>
        <v>0</v>
      </c>
      <c r="L16" s="110">
        <f t="shared" si="4"/>
        <v>0</v>
      </c>
      <c r="M16" s="200"/>
      <c r="N16" s="240"/>
      <c r="O16" s="193"/>
      <c r="P16" s="111">
        <f t="shared" si="19"/>
        <v>0</v>
      </c>
      <c r="Q16" s="112">
        <f t="shared" si="20"/>
        <v>44753</v>
      </c>
      <c r="R16" s="112">
        <f t="shared" si="5"/>
        <v>0</v>
      </c>
      <c r="S16" s="113" t="str">
        <f t="shared" si="21"/>
        <v/>
      </c>
      <c r="T16" s="113">
        <f t="shared" si="6"/>
        <v>0</v>
      </c>
      <c r="U16" s="114">
        <f t="shared" si="7"/>
        <v>0</v>
      </c>
      <c r="V16" s="114" t="str">
        <f t="shared" si="8"/>
        <v>/</v>
      </c>
      <c r="W16" s="114" t="str">
        <f t="shared" si="9"/>
        <v>○</v>
      </c>
      <c r="X16" s="114">
        <f t="shared" si="10"/>
        <v>0</v>
      </c>
      <c r="Y16" s="114">
        <f t="shared" si="11"/>
        <v>0</v>
      </c>
      <c r="Z16" s="114">
        <f t="shared" si="12"/>
        <v>0</v>
      </c>
      <c r="AA16" s="114">
        <f t="shared" si="13"/>
        <v>0</v>
      </c>
      <c r="AB16" s="114">
        <f t="shared" si="14"/>
        <v>0</v>
      </c>
      <c r="AC16" s="114">
        <f t="shared" si="22"/>
        <v>0</v>
      </c>
      <c r="AD16" s="114">
        <f t="shared" si="23"/>
        <v>0</v>
      </c>
      <c r="AE16" s="114" t="str">
        <f t="shared" si="15"/>
        <v/>
      </c>
      <c r="AF16" s="114">
        <f t="shared" si="24"/>
        <v>0</v>
      </c>
      <c r="AG16" s="114"/>
      <c r="AH16" s="115" t="str">
        <f ca="1">IFERROR(ROUND(IF(E16&lt;&gt;"불가",INDIRECT($AN$10&amp;"단가표"&amp;"!"&amp;AP16)*VLOOKUP($D$5,데이터!$E$4:$F$13,2,0)*VLOOKUP($D$6,데이터!$A$4:$B$7,2,0)*(1-$AI$4)+IF(NOT(ISERROR(FIND("끈",M16))),+$AJ$4,0),0),-2),"")</f>
        <v/>
      </c>
      <c r="AI16" s="130"/>
      <c r="AK16" s="130"/>
      <c r="AL16" s="130"/>
      <c r="AM16" s="252"/>
      <c r="AN16" s="131" t="str">
        <f t="shared" si="25"/>
        <v/>
      </c>
      <c r="AO16" s="131" t="str">
        <f t="shared" si="26"/>
        <v/>
      </c>
      <c r="AP16" s="66" t="str">
        <f>IFERROR(ADDRESS(MATCH(AN16,일반단가표!$A$1:$A$23,0),MATCH(AO16,일반단가표!$A$1:$T$1,0)),"")</f>
        <v/>
      </c>
      <c r="AQ16" s="248"/>
      <c r="BK16" s="309"/>
      <c r="BL16" s="309"/>
    </row>
    <row r="17" spans="1:64" ht="21.95" customHeight="1">
      <c r="A17" s="100">
        <v>6</v>
      </c>
      <c r="B17" s="253"/>
      <c r="C17" s="254"/>
      <c r="D17" s="254"/>
      <c r="E17" s="105">
        <f t="shared" si="16"/>
        <v>0</v>
      </c>
      <c r="F17" s="106">
        <f t="shared" si="0"/>
        <v>0</v>
      </c>
      <c r="G17" s="107">
        <f t="shared" si="1"/>
        <v>0</v>
      </c>
      <c r="H17" s="108">
        <f t="shared" si="2"/>
        <v>0</v>
      </c>
      <c r="I17" s="107">
        <f t="shared" si="17"/>
        <v>0</v>
      </c>
      <c r="J17" s="109">
        <f t="shared" si="18"/>
        <v>0</v>
      </c>
      <c r="K17" s="110">
        <f t="shared" si="3"/>
        <v>0</v>
      </c>
      <c r="L17" s="110">
        <f t="shared" si="4"/>
        <v>0</v>
      </c>
      <c r="M17" s="200"/>
      <c r="N17" s="240"/>
      <c r="O17" s="193"/>
      <c r="P17" s="111">
        <f t="shared" si="19"/>
        <v>0</v>
      </c>
      <c r="Q17" s="112">
        <f t="shared" si="20"/>
        <v>44753</v>
      </c>
      <c r="R17" s="112">
        <f t="shared" si="5"/>
        <v>0</v>
      </c>
      <c r="S17" s="113" t="str">
        <f t="shared" si="21"/>
        <v/>
      </c>
      <c r="T17" s="113">
        <f t="shared" si="6"/>
        <v>0</v>
      </c>
      <c r="U17" s="114">
        <f t="shared" si="7"/>
        <v>0</v>
      </c>
      <c r="V17" s="114" t="str">
        <f t="shared" si="8"/>
        <v>/</v>
      </c>
      <c r="W17" s="114" t="str">
        <f t="shared" si="9"/>
        <v>○</v>
      </c>
      <c r="X17" s="114">
        <f t="shared" si="10"/>
        <v>0</v>
      </c>
      <c r="Y17" s="114">
        <f t="shared" si="11"/>
        <v>0</v>
      </c>
      <c r="Z17" s="114">
        <f t="shared" si="12"/>
        <v>0</v>
      </c>
      <c r="AA17" s="114">
        <f t="shared" si="13"/>
        <v>0</v>
      </c>
      <c r="AB17" s="114">
        <f t="shared" si="14"/>
        <v>0</v>
      </c>
      <c r="AC17" s="114">
        <f t="shared" si="22"/>
        <v>0</v>
      </c>
      <c r="AD17" s="114">
        <f t="shared" si="23"/>
        <v>0</v>
      </c>
      <c r="AE17" s="114" t="str">
        <f t="shared" si="15"/>
        <v/>
      </c>
      <c r="AF17" s="114">
        <f t="shared" si="24"/>
        <v>0</v>
      </c>
      <c r="AG17" s="114"/>
      <c r="AH17" s="115" t="str">
        <f ca="1">IFERROR(ROUND(IF(E17&lt;&gt;"불가",INDIRECT($AN$10&amp;"단가표"&amp;"!"&amp;AP17)*VLOOKUP($D$5,데이터!$E$4:$F$13,2,0)*VLOOKUP($D$6,데이터!$A$4:$B$7,2,0)*(1-$AI$4)+IF(NOT(ISERROR(FIND("끈",M17))),+$AJ$4,0),0),-2),"")</f>
        <v/>
      </c>
      <c r="AI17" s="130"/>
      <c r="AK17" s="130"/>
      <c r="AL17" s="130"/>
      <c r="AM17" s="252"/>
      <c r="AN17" s="131" t="str">
        <f t="shared" ref="AN17:AN36" si="27">IFERROR(IF(D17="","",IF(VALUE(D17)&lt;300,300,IF(VALUE(RIGHT(D17,2))&lt;=($AJ$1-1),ROUNDDOWN(D17,-2),ROUNDUP(D17,-2)))),"")</f>
        <v/>
      </c>
      <c r="AO17" s="131" t="str">
        <f t="shared" ref="AO17:AO36" si="28">IFERROR(IF(C17="","",IF(VALUE(C17)&lt;300,300,IF(VALUE(RIGHT(C17,2))&lt;=($AJ$1-1),ROUNDDOWN(C17,-2),ROUNDUP(C17,-2)))),"")</f>
        <v/>
      </c>
      <c r="AP17" s="66" t="str">
        <f>IFERROR(ADDRESS(MATCH(AN17,일반단가표!$A$1:$A$23,0),MATCH(AO17,일반단가표!$A$1:$T$1,0)),"")</f>
        <v/>
      </c>
      <c r="AQ17" s="248"/>
      <c r="BK17" s="309"/>
      <c r="BL17" s="309"/>
    </row>
    <row r="18" spans="1:64" ht="21.95" customHeight="1">
      <c r="A18" s="100">
        <v>7</v>
      </c>
      <c r="B18" s="253"/>
      <c r="C18" s="254"/>
      <c r="D18" s="254"/>
      <c r="E18" s="105">
        <f t="shared" si="16"/>
        <v>0</v>
      </c>
      <c r="F18" s="106">
        <f t="shared" si="0"/>
        <v>0</v>
      </c>
      <c r="G18" s="107">
        <f t="shared" si="1"/>
        <v>0</v>
      </c>
      <c r="H18" s="108">
        <f t="shared" si="2"/>
        <v>0</v>
      </c>
      <c r="I18" s="107">
        <f t="shared" si="17"/>
        <v>0</v>
      </c>
      <c r="J18" s="109">
        <f t="shared" si="18"/>
        <v>0</v>
      </c>
      <c r="K18" s="110">
        <f t="shared" si="3"/>
        <v>0</v>
      </c>
      <c r="L18" s="110">
        <f t="shared" si="4"/>
        <v>0</v>
      </c>
      <c r="M18" s="200"/>
      <c r="N18" s="240"/>
      <c r="O18" s="193"/>
      <c r="P18" s="111">
        <f t="shared" si="19"/>
        <v>0</v>
      </c>
      <c r="Q18" s="112">
        <f t="shared" si="20"/>
        <v>44753</v>
      </c>
      <c r="R18" s="112">
        <f t="shared" si="5"/>
        <v>0</v>
      </c>
      <c r="S18" s="113" t="str">
        <f t="shared" si="21"/>
        <v/>
      </c>
      <c r="T18" s="113">
        <f t="shared" si="6"/>
        <v>0</v>
      </c>
      <c r="U18" s="114">
        <f t="shared" si="7"/>
        <v>0</v>
      </c>
      <c r="V18" s="114" t="str">
        <f t="shared" si="8"/>
        <v>/</v>
      </c>
      <c r="W18" s="114" t="str">
        <f t="shared" si="9"/>
        <v>○</v>
      </c>
      <c r="X18" s="114">
        <f t="shared" si="10"/>
        <v>0</v>
      </c>
      <c r="Y18" s="114">
        <f t="shared" si="11"/>
        <v>0</v>
      </c>
      <c r="Z18" s="114">
        <f t="shared" si="12"/>
        <v>0</v>
      </c>
      <c r="AA18" s="114">
        <f t="shared" si="13"/>
        <v>0</v>
      </c>
      <c r="AB18" s="114">
        <f t="shared" si="14"/>
        <v>0</v>
      </c>
      <c r="AC18" s="114">
        <f t="shared" si="22"/>
        <v>0</v>
      </c>
      <c r="AD18" s="114">
        <f t="shared" si="23"/>
        <v>0</v>
      </c>
      <c r="AE18" s="114" t="str">
        <f t="shared" si="15"/>
        <v/>
      </c>
      <c r="AF18" s="114">
        <f t="shared" si="24"/>
        <v>0</v>
      </c>
      <c r="AG18" s="114"/>
      <c r="AH18" s="115" t="str">
        <f ca="1">IFERROR(ROUND(IF(E18&lt;&gt;"불가",INDIRECT($AN$10&amp;"단가표"&amp;"!"&amp;AP18)*VLOOKUP($D$5,데이터!$E$4:$F$13,2,0)*VLOOKUP($D$6,데이터!$A$4:$B$7,2,0)*(1-$AI$4)+IF(NOT(ISERROR(FIND("끈",M18))),+$AJ$4,0),0),-2),"")</f>
        <v/>
      </c>
      <c r="AI18" s="130"/>
      <c r="AK18" s="130"/>
      <c r="AL18" s="130"/>
      <c r="AM18" s="252"/>
      <c r="AN18" s="131" t="str">
        <f t="shared" si="27"/>
        <v/>
      </c>
      <c r="AO18" s="131" t="str">
        <f t="shared" si="28"/>
        <v/>
      </c>
      <c r="AP18" s="66" t="str">
        <f>IFERROR(ADDRESS(MATCH(AN18,일반단가표!$A$1:$A$23,0),MATCH(AO18,일반단가표!$A$1:$T$1,0)),"")</f>
        <v/>
      </c>
      <c r="AQ18" s="248"/>
      <c r="BK18" s="309"/>
      <c r="BL18" s="309"/>
    </row>
    <row r="19" spans="1:64" ht="21.95" customHeight="1">
      <c r="A19" s="100">
        <v>8</v>
      </c>
      <c r="B19" s="253"/>
      <c r="C19" s="254"/>
      <c r="D19" s="254"/>
      <c r="E19" s="105">
        <f t="shared" si="16"/>
        <v>0</v>
      </c>
      <c r="F19" s="106">
        <f t="shared" si="0"/>
        <v>0</v>
      </c>
      <c r="G19" s="107">
        <f t="shared" si="1"/>
        <v>0</v>
      </c>
      <c r="H19" s="108">
        <f t="shared" si="2"/>
        <v>0</v>
      </c>
      <c r="I19" s="107">
        <f t="shared" si="17"/>
        <v>0</v>
      </c>
      <c r="J19" s="109">
        <f t="shared" si="18"/>
        <v>0</v>
      </c>
      <c r="K19" s="110">
        <f t="shared" si="3"/>
        <v>0</v>
      </c>
      <c r="L19" s="110">
        <f t="shared" si="4"/>
        <v>0</v>
      </c>
      <c r="M19" s="200"/>
      <c r="N19" s="240"/>
      <c r="O19" s="193"/>
      <c r="P19" s="111">
        <f t="shared" si="19"/>
        <v>0</v>
      </c>
      <c r="Q19" s="112">
        <f t="shared" si="20"/>
        <v>44753</v>
      </c>
      <c r="R19" s="112">
        <f t="shared" si="5"/>
        <v>0</v>
      </c>
      <c r="S19" s="113" t="str">
        <f t="shared" si="21"/>
        <v/>
      </c>
      <c r="T19" s="113">
        <f t="shared" si="6"/>
        <v>0</v>
      </c>
      <c r="U19" s="114">
        <f t="shared" si="7"/>
        <v>0</v>
      </c>
      <c r="V19" s="114" t="str">
        <f t="shared" si="8"/>
        <v>/</v>
      </c>
      <c r="W19" s="114" t="str">
        <f t="shared" si="9"/>
        <v>○</v>
      </c>
      <c r="X19" s="114">
        <f t="shared" si="10"/>
        <v>0</v>
      </c>
      <c r="Y19" s="114">
        <f t="shared" si="11"/>
        <v>0</v>
      </c>
      <c r="Z19" s="114">
        <f t="shared" si="12"/>
        <v>0</v>
      </c>
      <c r="AA19" s="114">
        <f t="shared" si="13"/>
        <v>0</v>
      </c>
      <c r="AB19" s="114">
        <f t="shared" si="14"/>
        <v>0</v>
      </c>
      <c r="AC19" s="114">
        <f t="shared" si="22"/>
        <v>0</v>
      </c>
      <c r="AD19" s="114">
        <f t="shared" si="23"/>
        <v>0</v>
      </c>
      <c r="AE19" s="114" t="str">
        <f t="shared" si="15"/>
        <v/>
      </c>
      <c r="AF19" s="114">
        <f t="shared" si="24"/>
        <v>0</v>
      </c>
      <c r="AG19" s="114"/>
      <c r="AH19" s="115" t="str">
        <f ca="1">IFERROR(ROUND(IF(E19&lt;&gt;"불가",INDIRECT($AN$10&amp;"단가표"&amp;"!"&amp;AP19)*VLOOKUP($D$5,데이터!$E$4:$F$13,2,0)*VLOOKUP($D$6,데이터!$A$4:$B$7,2,0)*(1-$AI$4)+IF(NOT(ISERROR(FIND("끈",M19))),+$AJ$4,0),0),-2),"")</f>
        <v/>
      </c>
      <c r="AI19" s="130"/>
      <c r="AK19" s="130"/>
      <c r="AL19" s="130"/>
      <c r="AM19" s="252"/>
      <c r="AN19" s="131" t="str">
        <f t="shared" si="27"/>
        <v/>
      </c>
      <c r="AO19" s="131" t="str">
        <f t="shared" si="28"/>
        <v/>
      </c>
      <c r="AP19" s="66" t="str">
        <f>IFERROR(ADDRESS(MATCH(AN19,일반단가표!$A$1:$A$23,0),MATCH(AO19,일반단가표!$A$1:$T$1,0)),"")</f>
        <v/>
      </c>
      <c r="AQ19" s="248"/>
      <c r="AT19"/>
      <c r="AU19"/>
      <c r="AV19"/>
      <c r="AW19"/>
      <c r="AX19"/>
      <c r="AY19"/>
      <c r="AZ19"/>
      <c r="BA19"/>
      <c r="BB19"/>
      <c r="BK19" s="309"/>
      <c r="BL19" s="309"/>
    </row>
    <row r="20" spans="1:64" ht="21.95" customHeight="1">
      <c r="A20" s="100">
        <v>9</v>
      </c>
      <c r="B20" s="253"/>
      <c r="C20" s="254"/>
      <c r="D20" s="254"/>
      <c r="E20" s="105">
        <f t="shared" si="16"/>
        <v>0</v>
      </c>
      <c r="F20" s="106">
        <f t="shared" si="0"/>
        <v>0</v>
      </c>
      <c r="G20" s="107">
        <f t="shared" si="1"/>
        <v>0</v>
      </c>
      <c r="H20" s="108">
        <f t="shared" si="2"/>
        <v>0</v>
      </c>
      <c r="I20" s="107">
        <f t="shared" si="17"/>
        <v>0</v>
      </c>
      <c r="J20" s="109">
        <f t="shared" si="18"/>
        <v>0</v>
      </c>
      <c r="K20" s="110">
        <f t="shared" si="3"/>
        <v>0</v>
      </c>
      <c r="L20" s="110">
        <f t="shared" si="4"/>
        <v>0</v>
      </c>
      <c r="M20" s="200"/>
      <c r="N20" s="240"/>
      <c r="O20" s="193"/>
      <c r="P20" s="111">
        <f t="shared" si="19"/>
        <v>0</v>
      </c>
      <c r="Q20" s="112">
        <f t="shared" si="20"/>
        <v>44753</v>
      </c>
      <c r="R20" s="112">
        <f t="shared" si="5"/>
        <v>0</v>
      </c>
      <c r="S20" s="113" t="str">
        <f t="shared" si="21"/>
        <v/>
      </c>
      <c r="T20" s="113">
        <f t="shared" si="6"/>
        <v>0</v>
      </c>
      <c r="U20" s="114">
        <f t="shared" si="7"/>
        <v>0</v>
      </c>
      <c r="V20" s="114" t="str">
        <f t="shared" si="8"/>
        <v>/</v>
      </c>
      <c r="W20" s="114" t="str">
        <f t="shared" si="9"/>
        <v>○</v>
      </c>
      <c r="X20" s="114">
        <f t="shared" si="10"/>
        <v>0</v>
      </c>
      <c r="Y20" s="114">
        <f t="shared" si="11"/>
        <v>0</v>
      </c>
      <c r="Z20" s="114">
        <f t="shared" si="12"/>
        <v>0</v>
      </c>
      <c r="AA20" s="114">
        <f t="shared" si="13"/>
        <v>0</v>
      </c>
      <c r="AB20" s="114">
        <f t="shared" si="14"/>
        <v>0</v>
      </c>
      <c r="AC20" s="114">
        <f t="shared" si="22"/>
        <v>0</v>
      </c>
      <c r="AD20" s="114">
        <f t="shared" si="23"/>
        <v>0</v>
      </c>
      <c r="AE20" s="114" t="str">
        <f t="shared" si="15"/>
        <v/>
      </c>
      <c r="AF20" s="114">
        <f t="shared" si="24"/>
        <v>0</v>
      </c>
      <c r="AG20" s="114"/>
      <c r="AH20" s="115" t="str">
        <f ca="1">IFERROR(ROUND(IF(E20&lt;&gt;"불가",INDIRECT($AN$10&amp;"단가표"&amp;"!"&amp;AP20)*VLOOKUP($D$5,데이터!$E$4:$F$13,2,0)*VLOOKUP($D$6,데이터!$A$4:$B$7,2,0)*(1-$AI$4)+IF(NOT(ISERROR(FIND("끈",M20))),+$AJ$4,0),0),-2),"")</f>
        <v/>
      </c>
      <c r="AI20" s="130"/>
      <c r="AK20" s="130"/>
      <c r="AL20" s="130"/>
      <c r="AM20" s="252"/>
      <c r="AN20" s="131" t="str">
        <f t="shared" si="27"/>
        <v/>
      </c>
      <c r="AO20" s="131" t="str">
        <f t="shared" si="28"/>
        <v/>
      </c>
      <c r="AP20" s="66" t="str">
        <f>IFERROR(ADDRESS(MATCH(AN20,일반단가표!$A$1:$A$23,0),MATCH(AO20,일반단가표!$A$1:$T$1,0)),"")</f>
        <v/>
      </c>
      <c r="AQ20" s="248"/>
      <c r="BK20" s="309"/>
      <c r="BL20" s="309"/>
    </row>
    <row r="21" spans="1:64" ht="21.95" customHeight="1">
      <c r="A21" s="100">
        <v>10</v>
      </c>
      <c r="B21" s="253"/>
      <c r="C21" s="254"/>
      <c r="D21" s="254"/>
      <c r="E21" s="105">
        <f t="shared" si="16"/>
        <v>0</v>
      </c>
      <c r="F21" s="106">
        <f t="shared" si="0"/>
        <v>0</v>
      </c>
      <c r="G21" s="107">
        <f t="shared" si="1"/>
        <v>0</v>
      </c>
      <c r="H21" s="108">
        <f t="shared" si="2"/>
        <v>0</v>
      </c>
      <c r="I21" s="107">
        <f t="shared" si="17"/>
        <v>0</v>
      </c>
      <c r="J21" s="109">
        <f t="shared" si="18"/>
        <v>0</v>
      </c>
      <c r="K21" s="110">
        <f t="shared" si="3"/>
        <v>0</v>
      </c>
      <c r="L21" s="110">
        <f t="shared" si="4"/>
        <v>0</v>
      </c>
      <c r="M21" s="200"/>
      <c r="N21" s="240"/>
      <c r="O21" s="193"/>
      <c r="P21" s="111">
        <f t="shared" si="19"/>
        <v>0</v>
      </c>
      <c r="Q21" s="112">
        <f t="shared" si="20"/>
        <v>44753</v>
      </c>
      <c r="R21" s="112">
        <f t="shared" si="5"/>
        <v>0</v>
      </c>
      <c r="S21" s="113" t="str">
        <f t="shared" si="21"/>
        <v/>
      </c>
      <c r="T21" s="113">
        <f t="shared" si="6"/>
        <v>0</v>
      </c>
      <c r="U21" s="114">
        <f t="shared" si="7"/>
        <v>0</v>
      </c>
      <c r="V21" s="114" t="str">
        <f t="shared" si="8"/>
        <v>/</v>
      </c>
      <c r="W21" s="114" t="str">
        <f t="shared" si="9"/>
        <v>○</v>
      </c>
      <c r="X21" s="114">
        <f t="shared" si="10"/>
        <v>0</v>
      </c>
      <c r="Y21" s="114">
        <f t="shared" si="11"/>
        <v>0</v>
      </c>
      <c r="Z21" s="114">
        <f t="shared" si="12"/>
        <v>0</v>
      </c>
      <c r="AA21" s="114">
        <f t="shared" si="13"/>
        <v>0</v>
      </c>
      <c r="AB21" s="114">
        <f t="shared" si="14"/>
        <v>0</v>
      </c>
      <c r="AC21" s="114">
        <f t="shared" si="22"/>
        <v>0</v>
      </c>
      <c r="AD21" s="114">
        <f t="shared" si="23"/>
        <v>0</v>
      </c>
      <c r="AE21" s="114" t="str">
        <f t="shared" si="15"/>
        <v/>
      </c>
      <c r="AF21" s="114">
        <f t="shared" si="24"/>
        <v>0</v>
      </c>
      <c r="AG21" s="114"/>
      <c r="AH21" s="115" t="str">
        <f ca="1">IFERROR(ROUND(IF(E21&lt;&gt;"불가",INDIRECT($AN$10&amp;"단가표"&amp;"!"&amp;AP21)*VLOOKUP($D$5,데이터!$E$4:$F$13,2,0)*VLOOKUP($D$6,데이터!$A$4:$B$7,2,0)*(1-$AI$4)+IF(NOT(ISERROR(FIND("끈",M21))),+$AJ$4,0),0),-2),"")</f>
        <v/>
      </c>
      <c r="AI21" s="130"/>
      <c r="AK21" s="130"/>
      <c r="AL21" s="130"/>
      <c r="AM21" s="252"/>
      <c r="AN21" s="131" t="str">
        <f t="shared" si="27"/>
        <v/>
      </c>
      <c r="AO21" s="131" t="str">
        <f t="shared" si="28"/>
        <v/>
      </c>
      <c r="AP21" s="66" t="str">
        <f>IFERROR(ADDRESS(MATCH(AN21,일반단가표!$A$1:$A$23,0),MATCH(AO21,일반단가표!$A$1:$T$1,0)),"")</f>
        <v/>
      </c>
      <c r="AQ21" s="248"/>
      <c r="BK21" s="309"/>
      <c r="BL21" s="309"/>
    </row>
    <row r="22" spans="1:64" ht="21.95" customHeight="1">
      <c r="A22" s="100">
        <v>11</v>
      </c>
      <c r="B22" s="254"/>
      <c r="C22" s="254"/>
      <c r="D22" s="254"/>
      <c r="E22" s="105">
        <f t="shared" si="16"/>
        <v>0</v>
      </c>
      <c r="F22" s="106">
        <f t="shared" si="0"/>
        <v>0</v>
      </c>
      <c r="G22" s="107">
        <f t="shared" si="1"/>
        <v>0</v>
      </c>
      <c r="H22" s="108">
        <f t="shared" si="2"/>
        <v>0</v>
      </c>
      <c r="I22" s="107">
        <f t="shared" si="17"/>
        <v>0</v>
      </c>
      <c r="J22" s="109">
        <f t="shared" si="18"/>
        <v>0</v>
      </c>
      <c r="K22" s="110">
        <f t="shared" si="3"/>
        <v>0</v>
      </c>
      <c r="L22" s="110">
        <f t="shared" si="4"/>
        <v>0</v>
      </c>
      <c r="M22" s="200"/>
      <c r="N22" s="240"/>
      <c r="O22" s="193"/>
      <c r="P22" s="111">
        <f t="shared" si="19"/>
        <v>0</v>
      </c>
      <c r="Q22" s="112">
        <f t="shared" si="20"/>
        <v>44753</v>
      </c>
      <c r="R22" s="112">
        <f t="shared" si="5"/>
        <v>0</v>
      </c>
      <c r="S22" s="113" t="str">
        <f t="shared" si="21"/>
        <v/>
      </c>
      <c r="T22" s="113">
        <f t="shared" si="6"/>
        <v>0</v>
      </c>
      <c r="U22" s="114">
        <f t="shared" si="7"/>
        <v>0</v>
      </c>
      <c r="V22" s="114" t="str">
        <f t="shared" si="8"/>
        <v>/</v>
      </c>
      <c r="W22" s="114" t="str">
        <f t="shared" si="9"/>
        <v>○</v>
      </c>
      <c r="X22" s="114">
        <f t="shared" si="10"/>
        <v>0</v>
      </c>
      <c r="Y22" s="114">
        <f t="shared" si="11"/>
        <v>0</v>
      </c>
      <c r="Z22" s="114">
        <f t="shared" si="12"/>
        <v>0</v>
      </c>
      <c r="AA22" s="114">
        <f t="shared" si="13"/>
        <v>0</v>
      </c>
      <c r="AB22" s="114">
        <f t="shared" si="14"/>
        <v>0</v>
      </c>
      <c r="AC22" s="114">
        <f t="shared" si="22"/>
        <v>0</v>
      </c>
      <c r="AD22" s="114">
        <f t="shared" si="23"/>
        <v>0</v>
      </c>
      <c r="AE22" s="114" t="str">
        <f t="shared" si="15"/>
        <v/>
      </c>
      <c r="AF22" s="114">
        <f t="shared" si="24"/>
        <v>0</v>
      </c>
      <c r="AG22" s="114"/>
      <c r="AH22" s="115" t="str">
        <f ca="1">IFERROR(ROUND(IF(E22&lt;&gt;"불가",INDIRECT($AN$10&amp;"단가표"&amp;"!"&amp;AP22)*VLOOKUP($D$5,데이터!$E$4:$F$13,2,0)*VLOOKUP($D$6,데이터!$A$4:$B$7,2,0)*(1-$AI$4)+IF(NOT(ISERROR(FIND("끈",M22))),+$AJ$4,0),0),-2),"")</f>
        <v/>
      </c>
      <c r="AI22" s="130" t="s">
        <v>164</v>
      </c>
      <c r="AK22" s="130"/>
      <c r="AL22" s="130"/>
      <c r="AM22" s="252"/>
      <c r="AN22" s="131" t="str">
        <f t="shared" si="27"/>
        <v/>
      </c>
      <c r="AO22" s="131" t="str">
        <f t="shared" si="28"/>
        <v/>
      </c>
      <c r="AP22" s="66" t="str">
        <f>IFERROR(ADDRESS(MATCH(AN22,일반단가표!$A$1:$A$23,0),MATCH(AO22,일반단가표!$A$1:$T$1,0)),"")</f>
        <v/>
      </c>
      <c r="AQ22" s="248"/>
      <c r="BK22" s="309"/>
      <c r="BL22" s="309"/>
    </row>
    <row r="23" spans="1:64" ht="21.95" customHeight="1">
      <c r="A23" s="100">
        <v>12</v>
      </c>
      <c r="B23" s="254"/>
      <c r="C23" s="254"/>
      <c r="D23" s="254"/>
      <c r="E23" s="105">
        <f t="shared" si="16"/>
        <v>0</v>
      </c>
      <c r="F23" s="106">
        <f t="shared" si="0"/>
        <v>0</v>
      </c>
      <c r="G23" s="107">
        <f t="shared" si="1"/>
        <v>0</v>
      </c>
      <c r="H23" s="108">
        <f t="shared" si="2"/>
        <v>0</v>
      </c>
      <c r="I23" s="107">
        <f t="shared" si="17"/>
        <v>0</v>
      </c>
      <c r="J23" s="109">
        <f t="shared" si="18"/>
        <v>0</v>
      </c>
      <c r="K23" s="110">
        <f t="shared" si="3"/>
        <v>0</v>
      </c>
      <c r="L23" s="110">
        <f t="shared" si="4"/>
        <v>0</v>
      </c>
      <c r="M23" s="200"/>
      <c r="N23" s="240"/>
      <c r="O23" s="193"/>
      <c r="P23" s="111">
        <f t="shared" si="19"/>
        <v>0</v>
      </c>
      <c r="Q23" s="112">
        <f t="shared" si="20"/>
        <v>44753</v>
      </c>
      <c r="R23" s="112">
        <f t="shared" si="5"/>
        <v>0</v>
      </c>
      <c r="S23" s="113" t="str">
        <f t="shared" si="21"/>
        <v/>
      </c>
      <c r="T23" s="113">
        <f t="shared" si="6"/>
        <v>0</v>
      </c>
      <c r="U23" s="114">
        <f t="shared" si="7"/>
        <v>0</v>
      </c>
      <c r="V23" s="114" t="str">
        <f t="shared" si="8"/>
        <v>/</v>
      </c>
      <c r="W23" s="114" t="str">
        <f t="shared" si="9"/>
        <v>○</v>
      </c>
      <c r="X23" s="114">
        <f t="shared" si="10"/>
        <v>0</v>
      </c>
      <c r="Y23" s="114">
        <f t="shared" si="11"/>
        <v>0</v>
      </c>
      <c r="Z23" s="114">
        <f t="shared" si="12"/>
        <v>0</v>
      </c>
      <c r="AA23" s="114">
        <f t="shared" si="13"/>
        <v>0</v>
      </c>
      <c r="AB23" s="114">
        <f t="shared" si="14"/>
        <v>0</v>
      </c>
      <c r="AC23" s="114">
        <f t="shared" si="22"/>
        <v>0</v>
      </c>
      <c r="AD23" s="114">
        <f t="shared" si="23"/>
        <v>0</v>
      </c>
      <c r="AE23" s="114" t="str">
        <f t="shared" si="15"/>
        <v/>
      </c>
      <c r="AF23" s="114">
        <f t="shared" si="24"/>
        <v>0</v>
      </c>
      <c r="AG23" s="114"/>
      <c r="AH23" s="115" t="str">
        <f ca="1">IFERROR(ROUND(IF(E23&lt;&gt;"불가",INDIRECT($AN$10&amp;"단가표"&amp;"!"&amp;AP23)*VLOOKUP($D$5,데이터!$E$4:$F$13,2,0)*VLOOKUP($D$6,데이터!$A$4:$B$7,2,0)*(1-$AI$4)+IF(NOT(ISERROR(FIND("끈",M23))),+$AJ$4,0),0),-2),"")</f>
        <v/>
      </c>
      <c r="AI23" s="130"/>
      <c r="AK23" s="130"/>
      <c r="AL23" s="130"/>
      <c r="AM23" s="252"/>
      <c r="AN23" s="131" t="str">
        <f t="shared" si="27"/>
        <v/>
      </c>
      <c r="AO23" s="131" t="str">
        <f t="shared" si="28"/>
        <v/>
      </c>
      <c r="AP23" s="66" t="str">
        <f>IFERROR(ADDRESS(MATCH(AN23,일반단가표!$A$1:$A$23,0),MATCH(AO23,일반단가표!$A$1:$T$1,0)),"")</f>
        <v/>
      </c>
      <c r="AQ23" s="248"/>
      <c r="BK23" s="309"/>
      <c r="BL23" s="309"/>
    </row>
    <row r="24" spans="1:64" ht="21.95" customHeight="1">
      <c r="A24" s="100">
        <v>13</v>
      </c>
      <c r="B24" s="253"/>
      <c r="C24" s="254"/>
      <c r="D24" s="254"/>
      <c r="E24" s="105">
        <f t="shared" si="16"/>
        <v>0</v>
      </c>
      <c r="F24" s="106">
        <f t="shared" si="0"/>
        <v>0</v>
      </c>
      <c r="G24" s="107">
        <f t="shared" si="1"/>
        <v>0</v>
      </c>
      <c r="H24" s="108">
        <f t="shared" si="2"/>
        <v>0</v>
      </c>
      <c r="I24" s="107">
        <f t="shared" si="17"/>
        <v>0</v>
      </c>
      <c r="J24" s="109">
        <f t="shared" si="18"/>
        <v>0</v>
      </c>
      <c r="K24" s="110">
        <f t="shared" si="3"/>
        <v>0</v>
      </c>
      <c r="L24" s="110">
        <f t="shared" si="4"/>
        <v>0</v>
      </c>
      <c r="M24" s="200"/>
      <c r="N24" s="240"/>
      <c r="O24" s="193"/>
      <c r="P24" s="111">
        <f t="shared" si="19"/>
        <v>0</v>
      </c>
      <c r="Q24" s="112">
        <f t="shared" si="20"/>
        <v>44753</v>
      </c>
      <c r="R24" s="112">
        <f t="shared" si="5"/>
        <v>0</v>
      </c>
      <c r="S24" s="113" t="str">
        <f t="shared" si="21"/>
        <v/>
      </c>
      <c r="T24" s="113">
        <f t="shared" si="6"/>
        <v>0</v>
      </c>
      <c r="U24" s="114">
        <f t="shared" si="7"/>
        <v>0</v>
      </c>
      <c r="V24" s="114" t="str">
        <f t="shared" si="8"/>
        <v>/</v>
      </c>
      <c r="W24" s="114" t="str">
        <f t="shared" si="9"/>
        <v>○</v>
      </c>
      <c r="X24" s="114">
        <f t="shared" si="10"/>
        <v>0</v>
      </c>
      <c r="Y24" s="114">
        <f t="shared" si="11"/>
        <v>0</v>
      </c>
      <c r="Z24" s="114">
        <f t="shared" si="12"/>
        <v>0</v>
      </c>
      <c r="AA24" s="114">
        <f t="shared" si="13"/>
        <v>0</v>
      </c>
      <c r="AB24" s="114">
        <f t="shared" si="14"/>
        <v>0</v>
      </c>
      <c r="AC24" s="114">
        <f t="shared" si="22"/>
        <v>0</v>
      </c>
      <c r="AD24" s="114">
        <f t="shared" si="23"/>
        <v>0</v>
      </c>
      <c r="AE24" s="114" t="str">
        <f t="shared" si="15"/>
        <v/>
      </c>
      <c r="AF24" s="114">
        <f t="shared" si="24"/>
        <v>0</v>
      </c>
      <c r="AG24" s="114"/>
      <c r="AH24" s="115" t="str">
        <f ca="1">IFERROR(ROUND(IF(E24&lt;&gt;"불가",INDIRECT($AN$10&amp;"단가표"&amp;"!"&amp;AP24)*VLOOKUP($D$5,데이터!$E$4:$F$13,2,0)*VLOOKUP($D$6,데이터!$A$4:$B$7,2,0)*(1-$AI$4)+IF(NOT(ISERROR(FIND("끈",M24))),+$AJ$4,0),0),-2),"")</f>
        <v/>
      </c>
      <c r="AI24" s="130"/>
      <c r="AK24" s="130"/>
      <c r="AL24" s="130"/>
      <c r="AM24" s="252"/>
      <c r="AN24" s="131" t="str">
        <f t="shared" si="27"/>
        <v/>
      </c>
      <c r="AO24" s="131" t="str">
        <f t="shared" si="28"/>
        <v/>
      </c>
      <c r="AP24" s="66" t="str">
        <f>IFERROR(ADDRESS(MATCH(AN24,일반단가표!$A$1:$A$23,0),MATCH(AO24,일반단가표!$A$1:$T$1,0)),"")</f>
        <v/>
      </c>
      <c r="AQ24" s="248"/>
      <c r="BK24" s="309"/>
      <c r="BL24" s="309"/>
    </row>
    <row r="25" spans="1:64" ht="21.95" customHeight="1">
      <c r="A25" s="100">
        <v>14</v>
      </c>
      <c r="B25" s="253"/>
      <c r="C25" s="254"/>
      <c r="D25" s="254"/>
      <c r="E25" s="105">
        <f t="shared" si="16"/>
        <v>0</v>
      </c>
      <c r="F25" s="106">
        <f t="shared" si="0"/>
        <v>0</v>
      </c>
      <c r="G25" s="107">
        <f t="shared" si="1"/>
        <v>0</v>
      </c>
      <c r="H25" s="108">
        <f t="shared" si="2"/>
        <v>0</v>
      </c>
      <c r="I25" s="107">
        <f t="shared" si="17"/>
        <v>0</v>
      </c>
      <c r="J25" s="109">
        <f t="shared" si="18"/>
        <v>0</v>
      </c>
      <c r="K25" s="110">
        <f t="shared" si="3"/>
        <v>0</v>
      </c>
      <c r="L25" s="110">
        <f t="shared" si="4"/>
        <v>0</v>
      </c>
      <c r="M25" s="200"/>
      <c r="N25" s="240"/>
      <c r="O25" s="193"/>
      <c r="P25" s="111">
        <f t="shared" si="19"/>
        <v>0</v>
      </c>
      <c r="Q25" s="112">
        <f t="shared" si="20"/>
        <v>44753</v>
      </c>
      <c r="R25" s="112">
        <f t="shared" si="5"/>
        <v>0</v>
      </c>
      <c r="S25" s="113" t="str">
        <f t="shared" si="21"/>
        <v/>
      </c>
      <c r="T25" s="113">
        <f t="shared" si="6"/>
        <v>0</v>
      </c>
      <c r="U25" s="114">
        <f t="shared" si="7"/>
        <v>0</v>
      </c>
      <c r="V25" s="114" t="str">
        <f t="shared" si="8"/>
        <v>/</v>
      </c>
      <c r="W25" s="114" t="str">
        <f t="shared" si="9"/>
        <v>○</v>
      </c>
      <c r="X25" s="114">
        <f t="shared" si="10"/>
        <v>0</v>
      </c>
      <c r="Y25" s="114">
        <f t="shared" si="11"/>
        <v>0</v>
      </c>
      <c r="Z25" s="114">
        <f t="shared" si="12"/>
        <v>0</v>
      </c>
      <c r="AA25" s="114">
        <f t="shared" si="13"/>
        <v>0</v>
      </c>
      <c r="AB25" s="114">
        <f t="shared" si="14"/>
        <v>0</v>
      </c>
      <c r="AC25" s="114">
        <f t="shared" si="22"/>
        <v>0</v>
      </c>
      <c r="AD25" s="114">
        <f t="shared" si="23"/>
        <v>0</v>
      </c>
      <c r="AE25" s="114" t="str">
        <f t="shared" si="15"/>
        <v/>
      </c>
      <c r="AF25" s="114">
        <f t="shared" si="24"/>
        <v>0</v>
      </c>
      <c r="AG25" s="114"/>
      <c r="AH25" s="115" t="str">
        <f ca="1">IFERROR(ROUND(IF(E25&lt;&gt;"불가",INDIRECT($AN$10&amp;"단가표"&amp;"!"&amp;AP25)*VLOOKUP($D$5,데이터!$E$4:$F$13,2,0)*VLOOKUP($D$6,데이터!$A$4:$B$7,2,0)*(1-$AI$4)+IF(NOT(ISERROR(FIND("끈",M25))),+$AJ$4,0),0),-2),"")</f>
        <v/>
      </c>
      <c r="AI25" s="130"/>
      <c r="AK25" s="130"/>
      <c r="AL25" s="130"/>
      <c r="AM25" s="252"/>
      <c r="AN25" s="131" t="str">
        <f t="shared" si="27"/>
        <v/>
      </c>
      <c r="AO25" s="131" t="str">
        <f t="shared" si="28"/>
        <v/>
      </c>
      <c r="AP25" s="66" t="str">
        <f>IFERROR(ADDRESS(MATCH(AN25,일반단가표!$A$1:$A$23,0),MATCH(AO25,일반단가표!$A$1:$T$1,0)),"")</f>
        <v/>
      </c>
      <c r="AQ25" s="248"/>
      <c r="BK25" s="309"/>
      <c r="BL25" s="309"/>
    </row>
    <row r="26" spans="1:64" ht="21.95" customHeight="1">
      <c r="A26" s="100">
        <v>15</v>
      </c>
      <c r="B26" s="254"/>
      <c r="C26" s="254"/>
      <c r="D26" s="254"/>
      <c r="E26" s="105">
        <f t="shared" si="16"/>
        <v>0</v>
      </c>
      <c r="F26" s="106">
        <f t="shared" si="0"/>
        <v>0</v>
      </c>
      <c r="G26" s="107">
        <f t="shared" si="1"/>
        <v>0</v>
      </c>
      <c r="H26" s="108">
        <f t="shared" si="2"/>
        <v>0</v>
      </c>
      <c r="I26" s="107">
        <f t="shared" si="17"/>
        <v>0</v>
      </c>
      <c r="J26" s="109">
        <f t="shared" si="18"/>
        <v>0</v>
      </c>
      <c r="K26" s="110">
        <f t="shared" si="3"/>
        <v>0</v>
      </c>
      <c r="L26" s="110">
        <f t="shared" si="4"/>
        <v>0</v>
      </c>
      <c r="M26" s="200"/>
      <c r="N26" s="240"/>
      <c r="O26" s="193"/>
      <c r="P26" s="111">
        <f t="shared" si="19"/>
        <v>0</v>
      </c>
      <c r="Q26" s="112">
        <f t="shared" si="20"/>
        <v>44753</v>
      </c>
      <c r="R26" s="112">
        <f t="shared" si="5"/>
        <v>0</v>
      </c>
      <c r="S26" s="113" t="str">
        <f t="shared" si="21"/>
        <v/>
      </c>
      <c r="T26" s="113">
        <f t="shared" si="6"/>
        <v>0</v>
      </c>
      <c r="U26" s="114">
        <f t="shared" si="7"/>
        <v>0</v>
      </c>
      <c r="V26" s="114" t="str">
        <f t="shared" si="8"/>
        <v>/</v>
      </c>
      <c r="W26" s="114" t="str">
        <f t="shared" si="9"/>
        <v>○</v>
      </c>
      <c r="X26" s="114">
        <f t="shared" si="10"/>
        <v>0</v>
      </c>
      <c r="Y26" s="114">
        <f t="shared" si="11"/>
        <v>0</v>
      </c>
      <c r="Z26" s="114">
        <f t="shared" si="12"/>
        <v>0</v>
      </c>
      <c r="AA26" s="114">
        <f t="shared" si="13"/>
        <v>0</v>
      </c>
      <c r="AB26" s="114">
        <f t="shared" si="14"/>
        <v>0</v>
      </c>
      <c r="AC26" s="114">
        <f t="shared" si="22"/>
        <v>0</v>
      </c>
      <c r="AD26" s="114">
        <f t="shared" si="23"/>
        <v>0</v>
      </c>
      <c r="AE26" s="114" t="str">
        <f t="shared" si="15"/>
        <v/>
      </c>
      <c r="AF26" s="114">
        <f t="shared" si="24"/>
        <v>0</v>
      </c>
      <c r="AG26" s="114"/>
      <c r="AH26" s="115" t="str">
        <f ca="1">IFERROR(ROUND(IF(E26&lt;&gt;"불가",INDIRECT($AN$10&amp;"단가표"&amp;"!"&amp;AP26)*VLOOKUP($D$5,데이터!$E$4:$F$13,2,0)*VLOOKUP($D$6,데이터!$A$4:$B$7,2,0)*(1-$AI$4)+IF(NOT(ISERROR(FIND("끈",M26))),+$AJ$4,0),0),-2),"")</f>
        <v/>
      </c>
      <c r="AI26" s="130"/>
      <c r="AK26" s="130"/>
      <c r="AL26" s="130"/>
      <c r="AM26" s="252"/>
      <c r="AN26" s="131" t="str">
        <f t="shared" si="27"/>
        <v/>
      </c>
      <c r="AO26" s="131" t="str">
        <f t="shared" si="28"/>
        <v/>
      </c>
      <c r="AP26" s="66" t="str">
        <f>IFERROR(ADDRESS(MATCH(AN26,일반단가표!$A$1:$A$23,0),MATCH(AO26,일반단가표!$A$1:$T$1,0)),"")</f>
        <v/>
      </c>
      <c r="AQ26" s="248"/>
      <c r="BK26" s="309"/>
      <c r="BL26" s="309"/>
    </row>
    <row r="27" spans="1:64" ht="21.95" customHeight="1">
      <c r="A27" s="100">
        <v>16</v>
      </c>
      <c r="B27" s="253"/>
      <c r="C27" s="254"/>
      <c r="D27" s="254"/>
      <c r="E27" s="105">
        <f t="shared" si="16"/>
        <v>0</v>
      </c>
      <c r="F27" s="106">
        <f t="shared" si="0"/>
        <v>0</v>
      </c>
      <c r="G27" s="107">
        <f t="shared" si="1"/>
        <v>0</v>
      </c>
      <c r="H27" s="108">
        <f t="shared" si="2"/>
        <v>0</v>
      </c>
      <c r="I27" s="107">
        <f t="shared" si="17"/>
        <v>0</v>
      </c>
      <c r="J27" s="109">
        <f t="shared" si="18"/>
        <v>0</v>
      </c>
      <c r="K27" s="110">
        <f t="shared" si="3"/>
        <v>0</v>
      </c>
      <c r="L27" s="110">
        <f t="shared" si="4"/>
        <v>0</v>
      </c>
      <c r="M27" s="200"/>
      <c r="N27" s="240"/>
      <c r="O27" s="193"/>
      <c r="P27" s="111">
        <f t="shared" si="19"/>
        <v>0</v>
      </c>
      <c r="Q27" s="112">
        <f t="shared" si="20"/>
        <v>44753</v>
      </c>
      <c r="R27" s="112">
        <f t="shared" si="5"/>
        <v>0</v>
      </c>
      <c r="S27" s="113" t="str">
        <f t="shared" si="21"/>
        <v/>
      </c>
      <c r="T27" s="113">
        <f t="shared" si="6"/>
        <v>0</v>
      </c>
      <c r="U27" s="114">
        <f t="shared" si="7"/>
        <v>0</v>
      </c>
      <c r="V27" s="114" t="str">
        <f t="shared" si="8"/>
        <v>/</v>
      </c>
      <c r="W27" s="114" t="str">
        <f t="shared" si="9"/>
        <v>○</v>
      </c>
      <c r="X27" s="114">
        <f t="shared" si="10"/>
        <v>0</v>
      </c>
      <c r="Y27" s="114">
        <f t="shared" si="11"/>
        <v>0</v>
      </c>
      <c r="Z27" s="114">
        <f t="shared" si="12"/>
        <v>0</v>
      </c>
      <c r="AA27" s="114">
        <f t="shared" si="13"/>
        <v>0</v>
      </c>
      <c r="AB27" s="114">
        <f t="shared" si="14"/>
        <v>0</v>
      </c>
      <c r="AC27" s="114">
        <f t="shared" si="22"/>
        <v>0</v>
      </c>
      <c r="AD27" s="114">
        <f t="shared" si="23"/>
        <v>0</v>
      </c>
      <c r="AE27" s="114" t="str">
        <f t="shared" si="15"/>
        <v/>
      </c>
      <c r="AF27" s="114">
        <f t="shared" si="24"/>
        <v>0</v>
      </c>
      <c r="AG27" s="114"/>
      <c r="AH27" s="115" t="str">
        <f ca="1">IFERROR(ROUND(IF(E27&lt;&gt;"불가",INDIRECT($AN$10&amp;"단가표"&amp;"!"&amp;AP27)*VLOOKUP($D$5,데이터!$E$4:$F$13,2,0)*VLOOKUP($D$6,데이터!$A$4:$B$7,2,0)*(1-$AI$4)+IF(NOT(ISERROR(FIND("끈",M27))),+$AJ$4,0),0),-2),"")</f>
        <v/>
      </c>
      <c r="AI27" s="130"/>
      <c r="AK27" s="130"/>
      <c r="AL27" s="130"/>
      <c r="AM27" s="252"/>
      <c r="AN27" s="131" t="str">
        <f t="shared" si="27"/>
        <v/>
      </c>
      <c r="AO27" s="131" t="str">
        <f t="shared" si="28"/>
        <v/>
      </c>
      <c r="AP27" s="66" t="str">
        <f>IFERROR(ADDRESS(MATCH(AN27,일반단가표!$A$1:$A$23,0),MATCH(AO27,일반단가표!$A$1:$T$1,0)),"")</f>
        <v/>
      </c>
      <c r="AQ27" s="248"/>
      <c r="BK27" s="309"/>
      <c r="BL27" s="309"/>
    </row>
    <row r="28" spans="1:64" ht="21.95" customHeight="1">
      <c r="A28" s="100">
        <v>17</v>
      </c>
      <c r="B28" s="254"/>
      <c r="C28" s="254"/>
      <c r="D28" s="254"/>
      <c r="E28" s="105">
        <f t="shared" si="16"/>
        <v>0</v>
      </c>
      <c r="F28" s="106">
        <f t="shared" si="0"/>
        <v>0</v>
      </c>
      <c r="G28" s="107">
        <f t="shared" si="1"/>
        <v>0</v>
      </c>
      <c r="H28" s="108">
        <f t="shared" si="2"/>
        <v>0</v>
      </c>
      <c r="I28" s="107">
        <f t="shared" si="17"/>
        <v>0</v>
      </c>
      <c r="J28" s="109">
        <f t="shared" si="18"/>
        <v>0</v>
      </c>
      <c r="K28" s="110">
        <f t="shared" si="3"/>
        <v>0</v>
      </c>
      <c r="L28" s="110">
        <f t="shared" si="4"/>
        <v>0</v>
      </c>
      <c r="M28" s="200"/>
      <c r="N28" s="240"/>
      <c r="O28" s="193"/>
      <c r="P28" s="111">
        <f t="shared" si="19"/>
        <v>0</v>
      </c>
      <c r="Q28" s="112">
        <f t="shared" si="20"/>
        <v>44753</v>
      </c>
      <c r="R28" s="112">
        <f t="shared" si="5"/>
        <v>0</v>
      </c>
      <c r="S28" s="113" t="str">
        <f t="shared" si="21"/>
        <v/>
      </c>
      <c r="T28" s="113">
        <f t="shared" si="6"/>
        <v>0</v>
      </c>
      <c r="U28" s="114">
        <f t="shared" si="7"/>
        <v>0</v>
      </c>
      <c r="V28" s="114" t="str">
        <f t="shared" si="8"/>
        <v>/</v>
      </c>
      <c r="W28" s="114" t="str">
        <f t="shared" si="9"/>
        <v>○</v>
      </c>
      <c r="X28" s="114">
        <f t="shared" si="10"/>
        <v>0</v>
      </c>
      <c r="Y28" s="114">
        <f t="shared" si="11"/>
        <v>0</v>
      </c>
      <c r="Z28" s="114">
        <f t="shared" si="12"/>
        <v>0</v>
      </c>
      <c r="AA28" s="114">
        <f t="shared" si="13"/>
        <v>0</v>
      </c>
      <c r="AB28" s="114">
        <f t="shared" si="14"/>
        <v>0</v>
      </c>
      <c r="AC28" s="114">
        <f t="shared" si="22"/>
        <v>0</v>
      </c>
      <c r="AD28" s="114">
        <f t="shared" si="23"/>
        <v>0</v>
      </c>
      <c r="AE28" s="114" t="str">
        <f t="shared" si="15"/>
        <v/>
      </c>
      <c r="AF28" s="114">
        <f t="shared" si="24"/>
        <v>0</v>
      </c>
      <c r="AG28" s="114"/>
      <c r="AH28" s="115" t="str">
        <f ca="1">IFERROR(ROUND(IF(E28&lt;&gt;"불가",INDIRECT($AN$10&amp;"단가표"&amp;"!"&amp;AP28)*VLOOKUP($D$5,데이터!$E$4:$F$13,2,0)*VLOOKUP($D$6,데이터!$A$4:$B$7,2,0)*(1-$AI$4)+IF(NOT(ISERROR(FIND("끈",M28))),+$AJ$4,0),0),-2),"")</f>
        <v/>
      </c>
      <c r="AI28" s="130"/>
      <c r="AK28" s="130"/>
      <c r="AL28" s="130"/>
      <c r="AM28" s="252"/>
      <c r="AN28" s="131" t="str">
        <f t="shared" si="27"/>
        <v/>
      </c>
      <c r="AO28" s="131" t="str">
        <f t="shared" si="28"/>
        <v/>
      </c>
      <c r="AP28" s="66" t="str">
        <f>IFERROR(ADDRESS(MATCH(AN28,일반단가표!$A$1:$A$23,0),MATCH(AO28,일반단가표!$A$1:$T$1,0)),"")</f>
        <v/>
      </c>
      <c r="AQ28" s="248"/>
      <c r="BK28" s="309"/>
      <c r="BL28" s="309"/>
    </row>
    <row r="29" spans="1:64" ht="21.95" customHeight="1">
      <c r="A29" s="100">
        <v>18</v>
      </c>
      <c r="B29" s="253"/>
      <c r="C29" s="254"/>
      <c r="D29" s="254"/>
      <c r="E29" s="105">
        <f t="shared" si="16"/>
        <v>0</v>
      </c>
      <c r="F29" s="106">
        <f t="shared" si="0"/>
        <v>0</v>
      </c>
      <c r="G29" s="107">
        <f t="shared" si="1"/>
        <v>0</v>
      </c>
      <c r="H29" s="108">
        <f t="shared" si="2"/>
        <v>0</v>
      </c>
      <c r="I29" s="107">
        <f t="shared" si="17"/>
        <v>0</v>
      </c>
      <c r="J29" s="109">
        <f t="shared" si="18"/>
        <v>0</v>
      </c>
      <c r="K29" s="110">
        <f t="shared" si="3"/>
        <v>0</v>
      </c>
      <c r="L29" s="110">
        <f t="shared" si="4"/>
        <v>0</v>
      </c>
      <c r="M29" s="200"/>
      <c r="N29" s="240"/>
      <c r="O29" s="193"/>
      <c r="P29" s="111">
        <f t="shared" si="19"/>
        <v>0</v>
      </c>
      <c r="Q29" s="112">
        <f t="shared" si="20"/>
        <v>44753</v>
      </c>
      <c r="R29" s="112">
        <f t="shared" si="5"/>
        <v>0</v>
      </c>
      <c r="S29" s="113" t="str">
        <f t="shared" si="21"/>
        <v/>
      </c>
      <c r="T29" s="113">
        <f t="shared" si="6"/>
        <v>0</v>
      </c>
      <c r="U29" s="114">
        <f t="shared" si="7"/>
        <v>0</v>
      </c>
      <c r="V29" s="114" t="str">
        <f t="shared" si="8"/>
        <v>/</v>
      </c>
      <c r="W29" s="114" t="str">
        <f t="shared" si="9"/>
        <v>○</v>
      </c>
      <c r="X29" s="114">
        <f t="shared" si="10"/>
        <v>0</v>
      </c>
      <c r="Y29" s="114">
        <f t="shared" si="11"/>
        <v>0</v>
      </c>
      <c r="Z29" s="114">
        <f t="shared" si="12"/>
        <v>0</v>
      </c>
      <c r="AA29" s="114">
        <f t="shared" si="13"/>
        <v>0</v>
      </c>
      <c r="AB29" s="114">
        <f t="shared" si="14"/>
        <v>0</v>
      </c>
      <c r="AC29" s="114">
        <f t="shared" si="22"/>
        <v>0</v>
      </c>
      <c r="AD29" s="114">
        <f t="shared" si="23"/>
        <v>0</v>
      </c>
      <c r="AE29" s="114" t="str">
        <f t="shared" si="15"/>
        <v/>
      </c>
      <c r="AF29" s="114">
        <f t="shared" si="24"/>
        <v>0</v>
      </c>
      <c r="AG29" s="114"/>
      <c r="AH29" s="115" t="str">
        <f ca="1">IFERROR(ROUND(IF(E29&lt;&gt;"불가",INDIRECT($AN$10&amp;"단가표"&amp;"!"&amp;AP29)*VLOOKUP($D$5,데이터!$E$4:$F$13,2,0)*VLOOKUP($D$6,데이터!$A$4:$B$7,2,0)*(1-$AI$4)+IF(NOT(ISERROR(FIND("끈",M29))),+$AJ$4,0),0),-2),"")</f>
        <v/>
      </c>
      <c r="AI29" s="130"/>
      <c r="AK29" s="130"/>
      <c r="AL29" s="130"/>
      <c r="AM29" s="252"/>
      <c r="AN29" s="131" t="str">
        <f t="shared" si="27"/>
        <v/>
      </c>
      <c r="AO29" s="131" t="str">
        <f t="shared" si="28"/>
        <v/>
      </c>
      <c r="AP29" s="66" t="str">
        <f>IFERROR(ADDRESS(MATCH(AN29,일반단가표!$A$1:$A$23,0),MATCH(AO29,일반단가표!$A$1:$T$1,0)),"")</f>
        <v/>
      </c>
      <c r="AQ29" s="248"/>
      <c r="BK29" s="309"/>
      <c r="BL29" s="309"/>
    </row>
    <row r="30" spans="1:64" ht="21.95" customHeight="1">
      <c r="A30" s="100">
        <v>19</v>
      </c>
      <c r="B30" s="253"/>
      <c r="C30" s="254"/>
      <c r="D30" s="254"/>
      <c r="E30" s="105">
        <f t="shared" si="16"/>
        <v>0</v>
      </c>
      <c r="F30" s="106">
        <f t="shared" si="0"/>
        <v>0</v>
      </c>
      <c r="G30" s="107">
        <f t="shared" si="1"/>
        <v>0</v>
      </c>
      <c r="H30" s="108">
        <f t="shared" si="2"/>
        <v>0</v>
      </c>
      <c r="I30" s="107">
        <f t="shared" si="17"/>
        <v>0</v>
      </c>
      <c r="J30" s="109">
        <f t="shared" si="18"/>
        <v>0</v>
      </c>
      <c r="K30" s="110">
        <f t="shared" si="3"/>
        <v>0</v>
      </c>
      <c r="L30" s="110">
        <f t="shared" si="4"/>
        <v>0</v>
      </c>
      <c r="M30" s="200"/>
      <c r="N30" s="240"/>
      <c r="O30" s="193"/>
      <c r="P30" s="111">
        <f t="shared" si="19"/>
        <v>0</v>
      </c>
      <c r="Q30" s="112">
        <f t="shared" si="20"/>
        <v>44753</v>
      </c>
      <c r="R30" s="112">
        <f t="shared" si="5"/>
        <v>0</v>
      </c>
      <c r="S30" s="113" t="str">
        <f t="shared" si="21"/>
        <v/>
      </c>
      <c r="T30" s="113">
        <f t="shared" si="6"/>
        <v>0</v>
      </c>
      <c r="U30" s="114">
        <f t="shared" si="7"/>
        <v>0</v>
      </c>
      <c r="V30" s="114" t="str">
        <f t="shared" si="8"/>
        <v>/</v>
      </c>
      <c r="W30" s="114" t="str">
        <f t="shared" si="9"/>
        <v>○</v>
      </c>
      <c r="X30" s="114">
        <f t="shared" si="10"/>
        <v>0</v>
      </c>
      <c r="Y30" s="114">
        <f t="shared" si="11"/>
        <v>0</v>
      </c>
      <c r="Z30" s="114">
        <f t="shared" si="12"/>
        <v>0</v>
      </c>
      <c r="AA30" s="114">
        <f t="shared" si="13"/>
        <v>0</v>
      </c>
      <c r="AB30" s="114">
        <f t="shared" si="14"/>
        <v>0</v>
      </c>
      <c r="AC30" s="114">
        <f t="shared" si="22"/>
        <v>0</v>
      </c>
      <c r="AD30" s="114">
        <f t="shared" si="23"/>
        <v>0</v>
      </c>
      <c r="AE30" s="114" t="str">
        <f t="shared" si="15"/>
        <v/>
      </c>
      <c r="AF30" s="114">
        <f t="shared" si="24"/>
        <v>0</v>
      </c>
      <c r="AG30" s="114"/>
      <c r="AH30" s="115" t="str">
        <f ca="1">IFERROR(ROUND(IF(E30&lt;&gt;"불가",INDIRECT($AN$10&amp;"단가표"&amp;"!"&amp;AP30)*VLOOKUP($D$5,데이터!$E$4:$F$13,2,0)*VLOOKUP($D$6,데이터!$A$4:$B$7,2,0)*(1-$AI$4)+IF(NOT(ISERROR(FIND("끈",M30))),+$AJ$4,0),0),-2),"")</f>
        <v/>
      </c>
      <c r="AI30" s="130"/>
      <c r="AK30" s="130"/>
      <c r="AL30" s="130"/>
      <c r="AM30" s="252"/>
      <c r="AN30" s="131" t="str">
        <f t="shared" si="27"/>
        <v/>
      </c>
      <c r="AO30" s="131" t="str">
        <f t="shared" si="28"/>
        <v/>
      </c>
      <c r="AP30" s="66" t="str">
        <f>IFERROR(ADDRESS(MATCH(AN30,일반단가표!$A$1:$A$23,0),MATCH(AO30,일반단가표!$A$1:$T$1,0)),"")</f>
        <v/>
      </c>
      <c r="AQ30" s="248"/>
      <c r="BK30" s="309"/>
      <c r="BL30" s="309"/>
    </row>
    <row r="31" spans="1:64" ht="21.95" customHeight="1">
      <c r="A31" s="100">
        <v>20</v>
      </c>
      <c r="B31" s="254"/>
      <c r="C31" s="254"/>
      <c r="D31" s="254"/>
      <c r="E31" s="105">
        <f t="shared" si="16"/>
        <v>0</v>
      </c>
      <c r="F31" s="106">
        <f t="shared" si="0"/>
        <v>0</v>
      </c>
      <c r="G31" s="107">
        <f t="shared" si="1"/>
        <v>0</v>
      </c>
      <c r="H31" s="108">
        <f t="shared" si="2"/>
        <v>0</v>
      </c>
      <c r="I31" s="107">
        <f t="shared" si="17"/>
        <v>0</v>
      </c>
      <c r="J31" s="109">
        <f t="shared" si="18"/>
        <v>0</v>
      </c>
      <c r="K31" s="110">
        <f t="shared" si="3"/>
        <v>0</v>
      </c>
      <c r="L31" s="110">
        <f t="shared" si="4"/>
        <v>0</v>
      </c>
      <c r="M31" s="200"/>
      <c r="N31" s="240"/>
      <c r="O31" s="193"/>
      <c r="P31" s="111">
        <f t="shared" si="19"/>
        <v>0</v>
      </c>
      <c r="Q31" s="112">
        <f t="shared" si="20"/>
        <v>44753</v>
      </c>
      <c r="R31" s="112">
        <f t="shared" si="5"/>
        <v>0</v>
      </c>
      <c r="S31" s="113" t="str">
        <f t="shared" si="21"/>
        <v/>
      </c>
      <c r="T31" s="113">
        <f t="shared" si="6"/>
        <v>0</v>
      </c>
      <c r="U31" s="114">
        <f t="shared" si="7"/>
        <v>0</v>
      </c>
      <c r="V31" s="114" t="str">
        <f t="shared" si="8"/>
        <v>/</v>
      </c>
      <c r="W31" s="114" t="str">
        <f t="shared" si="9"/>
        <v>○</v>
      </c>
      <c r="X31" s="114">
        <f t="shared" si="10"/>
        <v>0</v>
      </c>
      <c r="Y31" s="114">
        <f t="shared" si="11"/>
        <v>0</v>
      </c>
      <c r="Z31" s="114">
        <f t="shared" si="12"/>
        <v>0</v>
      </c>
      <c r="AA31" s="114">
        <f t="shared" si="13"/>
        <v>0</v>
      </c>
      <c r="AB31" s="114">
        <f t="shared" si="14"/>
        <v>0</v>
      </c>
      <c r="AC31" s="114">
        <f t="shared" si="22"/>
        <v>0</v>
      </c>
      <c r="AD31" s="114">
        <f t="shared" si="23"/>
        <v>0</v>
      </c>
      <c r="AE31" s="114" t="str">
        <f t="shared" si="15"/>
        <v/>
      </c>
      <c r="AF31" s="114">
        <f t="shared" si="24"/>
        <v>0</v>
      </c>
      <c r="AG31" s="114"/>
      <c r="AH31" s="115" t="str">
        <f ca="1">IFERROR(ROUND(IF(E31&lt;&gt;"불가",INDIRECT($AN$10&amp;"단가표"&amp;"!"&amp;AP31)*VLOOKUP($D$5,데이터!$E$4:$F$13,2,0)*VLOOKUP($D$6,데이터!$A$4:$B$7,2,0)*(1-$AI$4)+IF(NOT(ISERROR(FIND("끈",M31))),+$AJ$4,0),0),-2),"")</f>
        <v/>
      </c>
      <c r="AI31" s="130"/>
      <c r="AK31" s="130"/>
      <c r="AL31" s="130"/>
      <c r="AM31" s="252"/>
      <c r="AN31" s="131" t="str">
        <f t="shared" si="27"/>
        <v/>
      </c>
      <c r="AO31" s="131" t="str">
        <f t="shared" si="28"/>
        <v/>
      </c>
      <c r="AP31" s="66" t="str">
        <f>IFERROR(ADDRESS(MATCH(AN31,일반단가표!$A$1:$A$23,0),MATCH(AO31,일반단가표!$A$1:$T$1,0)),"")</f>
        <v/>
      </c>
      <c r="AQ31" s="248"/>
      <c r="BK31" s="309"/>
      <c r="BL31" s="309"/>
    </row>
    <row r="32" spans="1:64" ht="21.95" customHeight="1">
      <c r="A32" s="100">
        <v>21</v>
      </c>
      <c r="B32" s="253"/>
      <c r="C32" s="254"/>
      <c r="D32" s="254"/>
      <c r="E32" s="105">
        <f t="shared" si="16"/>
        <v>0</v>
      </c>
      <c r="F32" s="106">
        <f t="shared" si="0"/>
        <v>0</v>
      </c>
      <c r="G32" s="107">
        <f t="shared" si="1"/>
        <v>0</v>
      </c>
      <c r="H32" s="108">
        <f t="shared" si="2"/>
        <v>0</v>
      </c>
      <c r="I32" s="107">
        <f t="shared" si="17"/>
        <v>0</v>
      </c>
      <c r="J32" s="109">
        <f t="shared" si="18"/>
        <v>0</v>
      </c>
      <c r="K32" s="110">
        <f t="shared" si="3"/>
        <v>0</v>
      </c>
      <c r="L32" s="110">
        <f t="shared" si="4"/>
        <v>0</v>
      </c>
      <c r="M32" s="200"/>
      <c r="N32" s="240"/>
      <c r="O32" s="193"/>
      <c r="P32" s="111">
        <f t="shared" si="19"/>
        <v>0</v>
      </c>
      <c r="Q32" s="112">
        <f t="shared" si="20"/>
        <v>44753</v>
      </c>
      <c r="R32" s="112">
        <f t="shared" si="5"/>
        <v>0</v>
      </c>
      <c r="S32" s="113" t="str">
        <f t="shared" si="21"/>
        <v/>
      </c>
      <c r="T32" s="113">
        <f t="shared" si="6"/>
        <v>0</v>
      </c>
      <c r="U32" s="114">
        <f t="shared" si="7"/>
        <v>0</v>
      </c>
      <c r="V32" s="114" t="str">
        <f t="shared" si="8"/>
        <v>/</v>
      </c>
      <c r="W32" s="114" t="str">
        <f t="shared" si="9"/>
        <v>○</v>
      </c>
      <c r="X32" s="114">
        <f t="shared" si="10"/>
        <v>0</v>
      </c>
      <c r="Y32" s="114">
        <f t="shared" si="11"/>
        <v>0</v>
      </c>
      <c r="Z32" s="114">
        <f t="shared" si="12"/>
        <v>0</v>
      </c>
      <c r="AA32" s="114">
        <f t="shared" si="13"/>
        <v>0</v>
      </c>
      <c r="AB32" s="114">
        <f t="shared" si="14"/>
        <v>0</v>
      </c>
      <c r="AC32" s="114">
        <f t="shared" si="22"/>
        <v>0</v>
      </c>
      <c r="AD32" s="114">
        <f t="shared" si="23"/>
        <v>0</v>
      </c>
      <c r="AE32" s="114" t="str">
        <f t="shared" si="15"/>
        <v/>
      </c>
      <c r="AF32" s="114">
        <f t="shared" si="24"/>
        <v>0</v>
      </c>
      <c r="AG32" s="114"/>
      <c r="AH32" s="115" t="str">
        <f ca="1">IFERROR(ROUND(IF(E32&lt;&gt;"불가",INDIRECT($AN$10&amp;"단가표"&amp;"!"&amp;AP32)*VLOOKUP($D$5,데이터!$E$4:$F$13,2,0)*VLOOKUP($D$6,데이터!$A$4:$B$7,2,0)*(1-$AI$4)+IF(NOT(ISERROR(FIND("끈",M32))),+$AJ$4,0),0),-2),"")</f>
        <v/>
      </c>
      <c r="AI32" s="130"/>
      <c r="AK32" s="130"/>
      <c r="AL32" s="130"/>
      <c r="AM32" s="252"/>
      <c r="AN32" s="131" t="str">
        <f t="shared" si="27"/>
        <v/>
      </c>
      <c r="AO32" s="131" t="str">
        <f t="shared" si="28"/>
        <v/>
      </c>
      <c r="AP32" s="66" t="str">
        <f>IFERROR(ADDRESS(MATCH(AN32,일반단가표!$A$1:$A$23,0),MATCH(AO32,일반단가표!$A$1:$T$1,0)),"")</f>
        <v/>
      </c>
      <c r="AQ32" s="248"/>
      <c r="BK32" s="309"/>
      <c r="BL32" s="309"/>
    </row>
    <row r="33" spans="1:64" ht="21.95" customHeight="1">
      <c r="A33" s="100">
        <v>22</v>
      </c>
      <c r="B33" s="254"/>
      <c r="C33" s="254"/>
      <c r="D33" s="254"/>
      <c r="E33" s="105">
        <f t="shared" si="16"/>
        <v>0</v>
      </c>
      <c r="F33" s="106">
        <f t="shared" si="0"/>
        <v>0</v>
      </c>
      <c r="G33" s="107">
        <f t="shared" si="1"/>
        <v>0</v>
      </c>
      <c r="H33" s="108">
        <f t="shared" si="2"/>
        <v>0</v>
      </c>
      <c r="I33" s="107">
        <f t="shared" si="17"/>
        <v>0</v>
      </c>
      <c r="J33" s="109">
        <f t="shared" si="18"/>
        <v>0</v>
      </c>
      <c r="K33" s="110">
        <f t="shared" si="3"/>
        <v>0</v>
      </c>
      <c r="L33" s="110">
        <f t="shared" si="4"/>
        <v>0</v>
      </c>
      <c r="M33" s="200"/>
      <c r="N33" s="240"/>
      <c r="O33" s="193"/>
      <c r="P33" s="111">
        <f t="shared" si="19"/>
        <v>0</v>
      </c>
      <c r="Q33" s="112">
        <f t="shared" si="20"/>
        <v>44753</v>
      </c>
      <c r="R33" s="112">
        <f t="shared" si="5"/>
        <v>0</v>
      </c>
      <c r="S33" s="113" t="str">
        <f t="shared" si="21"/>
        <v/>
      </c>
      <c r="T33" s="113">
        <f t="shared" si="6"/>
        <v>0</v>
      </c>
      <c r="U33" s="114">
        <f t="shared" si="7"/>
        <v>0</v>
      </c>
      <c r="V33" s="114" t="str">
        <f t="shared" si="8"/>
        <v>/</v>
      </c>
      <c r="W33" s="114" t="str">
        <f t="shared" si="9"/>
        <v>○</v>
      </c>
      <c r="X33" s="114">
        <f t="shared" si="10"/>
        <v>0</v>
      </c>
      <c r="Y33" s="114">
        <f t="shared" si="11"/>
        <v>0</v>
      </c>
      <c r="Z33" s="114">
        <f t="shared" si="12"/>
        <v>0</v>
      </c>
      <c r="AA33" s="114">
        <f t="shared" si="13"/>
        <v>0</v>
      </c>
      <c r="AB33" s="114">
        <f t="shared" si="14"/>
        <v>0</v>
      </c>
      <c r="AC33" s="114">
        <f t="shared" si="22"/>
        <v>0</v>
      </c>
      <c r="AD33" s="114">
        <f t="shared" si="23"/>
        <v>0</v>
      </c>
      <c r="AE33" s="114" t="str">
        <f t="shared" si="15"/>
        <v/>
      </c>
      <c r="AF33" s="114">
        <f t="shared" si="24"/>
        <v>0</v>
      </c>
      <c r="AG33" s="114"/>
      <c r="AH33" s="115" t="str">
        <f ca="1">IFERROR(ROUND(IF(E33&lt;&gt;"불가",INDIRECT($AN$10&amp;"단가표"&amp;"!"&amp;AP33)*VLOOKUP($D$5,데이터!$E$4:$F$13,2,0)*VLOOKUP($D$6,데이터!$A$4:$B$7,2,0)*(1-$AI$4)+IF(NOT(ISERROR(FIND("끈",M33))),+$AJ$4,0),0),-2),"")</f>
        <v/>
      </c>
      <c r="AI33" s="130"/>
      <c r="AK33" s="130"/>
      <c r="AL33" s="130"/>
      <c r="AM33" s="252"/>
      <c r="AN33" s="131" t="str">
        <f t="shared" si="27"/>
        <v/>
      </c>
      <c r="AO33" s="131" t="str">
        <f t="shared" si="28"/>
        <v/>
      </c>
      <c r="AP33" s="66" t="str">
        <f>IFERROR(ADDRESS(MATCH(AN33,일반단가표!$A$1:$A$23,0),MATCH(AO33,일반단가표!$A$1:$T$1,0)),"")</f>
        <v/>
      </c>
      <c r="AQ33" s="248"/>
      <c r="BK33" s="309"/>
      <c r="BL33" s="309"/>
    </row>
    <row r="34" spans="1:64" ht="21.95" customHeight="1">
      <c r="A34" s="100">
        <v>23</v>
      </c>
      <c r="B34" s="253"/>
      <c r="C34" s="254"/>
      <c r="D34" s="254"/>
      <c r="E34" s="105">
        <f t="shared" si="16"/>
        <v>0</v>
      </c>
      <c r="F34" s="106">
        <f t="shared" si="0"/>
        <v>0</v>
      </c>
      <c r="G34" s="107">
        <f t="shared" si="1"/>
        <v>0</v>
      </c>
      <c r="H34" s="108">
        <f t="shared" si="2"/>
        <v>0</v>
      </c>
      <c r="I34" s="107">
        <f t="shared" si="17"/>
        <v>0</v>
      </c>
      <c r="J34" s="109">
        <f t="shared" si="18"/>
        <v>0</v>
      </c>
      <c r="K34" s="110">
        <f t="shared" si="3"/>
        <v>0</v>
      </c>
      <c r="L34" s="110">
        <f t="shared" si="4"/>
        <v>0</v>
      </c>
      <c r="M34" s="200"/>
      <c r="N34" s="240"/>
      <c r="O34" s="193"/>
      <c r="P34" s="111">
        <f t="shared" si="19"/>
        <v>0</v>
      </c>
      <c r="Q34" s="112">
        <f t="shared" si="20"/>
        <v>44753</v>
      </c>
      <c r="R34" s="112">
        <f t="shared" si="5"/>
        <v>0</v>
      </c>
      <c r="S34" s="113" t="str">
        <f t="shared" si="21"/>
        <v/>
      </c>
      <c r="T34" s="113">
        <f t="shared" si="6"/>
        <v>0</v>
      </c>
      <c r="U34" s="114">
        <f t="shared" si="7"/>
        <v>0</v>
      </c>
      <c r="V34" s="114" t="str">
        <f t="shared" si="8"/>
        <v>/</v>
      </c>
      <c r="W34" s="114" t="str">
        <f t="shared" si="9"/>
        <v>○</v>
      </c>
      <c r="X34" s="114">
        <f t="shared" si="10"/>
        <v>0</v>
      </c>
      <c r="Y34" s="114">
        <f t="shared" si="11"/>
        <v>0</v>
      </c>
      <c r="Z34" s="114">
        <f t="shared" si="12"/>
        <v>0</v>
      </c>
      <c r="AA34" s="114">
        <f t="shared" si="13"/>
        <v>0</v>
      </c>
      <c r="AB34" s="114">
        <f t="shared" si="14"/>
        <v>0</v>
      </c>
      <c r="AC34" s="114">
        <f t="shared" si="22"/>
        <v>0</v>
      </c>
      <c r="AD34" s="114">
        <f t="shared" si="23"/>
        <v>0</v>
      </c>
      <c r="AE34" s="114" t="str">
        <f t="shared" si="15"/>
        <v/>
      </c>
      <c r="AF34" s="114">
        <f t="shared" si="24"/>
        <v>0</v>
      </c>
      <c r="AG34" s="114"/>
      <c r="AH34" s="115" t="str">
        <f ca="1">IFERROR(ROUND(IF(E34&lt;&gt;"불가",INDIRECT($AN$10&amp;"단가표"&amp;"!"&amp;AP34)*VLOOKUP($D$5,데이터!$E$4:$F$13,2,0)*VLOOKUP($D$6,데이터!$A$4:$B$7,2,0)*(1-$AI$4)+IF(NOT(ISERROR(FIND("끈",M34))),+$AJ$4,0),0),-2),"")</f>
        <v/>
      </c>
      <c r="AI34" s="130"/>
      <c r="AK34" s="130"/>
      <c r="AL34" s="130"/>
      <c r="AM34" s="252"/>
      <c r="AN34" s="131" t="str">
        <f t="shared" si="27"/>
        <v/>
      </c>
      <c r="AO34" s="131" t="str">
        <f t="shared" si="28"/>
        <v/>
      </c>
      <c r="AP34" s="66" t="str">
        <f>IFERROR(ADDRESS(MATCH(AN34,일반단가표!$A$1:$A$23,0),MATCH(AO34,일반단가표!$A$1:$T$1,0)),"")</f>
        <v/>
      </c>
      <c r="AQ34" s="248"/>
      <c r="BK34" s="309"/>
      <c r="BL34" s="309"/>
    </row>
    <row r="35" spans="1:64" ht="21.95" customHeight="1">
      <c r="A35" s="100">
        <v>24</v>
      </c>
      <c r="B35" s="254"/>
      <c r="C35" s="254"/>
      <c r="D35" s="254"/>
      <c r="E35" s="105">
        <f t="shared" si="16"/>
        <v>0</v>
      </c>
      <c r="F35" s="106">
        <f t="shared" si="0"/>
        <v>0</v>
      </c>
      <c r="G35" s="107">
        <f t="shared" si="1"/>
        <v>0</v>
      </c>
      <c r="H35" s="108">
        <f t="shared" si="2"/>
        <v>0</v>
      </c>
      <c r="I35" s="107">
        <f t="shared" si="17"/>
        <v>0</v>
      </c>
      <c r="J35" s="109">
        <f t="shared" si="18"/>
        <v>0</v>
      </c>
      <c r="K35" s="110">
        <f t="shared" si="3"/>
        <v>0</v>
      </c>
      <c r="L35" s="110">
        <f t="shared" si="4"/>
        <v>0</v>
      </c>
      <c r="M35" s="200"/>
      <c r="N35" s="240"/>
      <c r="O35" s="193"/>
      <c r="P35" s="111">
        <f t="shared" si="19"/>
        <v>0</v>
      </c>
      <c r="Q35" s="112">
        <f t="shared" si="20"/>
        <v>44753</v>
      </c>
      <c r="R35" s="112">
        <f t="shared" si="5"/>
        <v>0</v>
      </c>
      <c r="S35" s="113" t="str">
        <f t="shared" si="21"/>
        <v/>
      </c>
      <c r="T35" s="113">
        <f t="shared" si="6"/>
        <v>0</v>
      </c>
      <c r="U35" s="114">
        <f t="shared" si="7"/>
        <v>0</v>
      </c>
      <c r="V35" s="114" t="str">
        <f t="shared" si="8"/>
        <v>/</v>
      </c>
      <c r="W35" s="114" t="str">
        <f t="shared" si="9"/>
        <v>○</v>
      </c>
      <c r="X35" s="114">
        <f t="shared" si="10"/>
        <v>0</v>
      </c>
      <c r="Y35" s="114">
        <f t="shared" si="11"/>
        <v>0</v>
      </c>
      <c r="Z35" s="114">
        <f t="shared" si="12"/>
        <v>0</v>
      </c>
      <c r="AA35" s="114">
        <f t="shared" si="13"/>
        <v>0</v>
      </c>
      <c r="AB35" s="114">
        <f t="shared" si="14"/>
        <v>0</v>
      </c>
      <c r="AC35" s="114">
        <f t="shared" si="22"/>
        <v>0</v>
      </c>
      <c r="AD35" s="114">
        <f t="shared" si="23"/>
        <v>0</v>
      </c>
      <c r="AE35" s="114" t="str">
        <f t="shared" si="15"/>
        <v/>
      </c>
      <c r="AF35" s="114">
        <f t="shared" si="24"/>
        <v>0</v>
      </c>
      <c r="AG35" s="114"/>
      <c r="AH35" s="115" t="str">
        <f ca="1">IFERROR(ROUND(IF(E35&lt;&gt;"불가",INDIRECT($AN$10&amp;"단가표"&amp;"!"&amp;AP35)*VLOOKUP($D$5,데이터!$E$4:$F$13,2,0)*VLOOKUP($D$6,데이터!$A$4:$B$7,2,0)*(1-$AI$4)+IF(NOT(ISERROR(FIND("끈",M35))),+$AJ$4,0),0),-2),"")</f>
        <v/>
      </c>
      <c r="AI35" s="130"/>
      <c r="AK35" s="130"/>
      <c r="AL35" s="130"/>
      <c r="AM35" s="252"/>
      <c r="AN35" s="131" t="str">
        <f t="shared" si="27"/>
        <v/>
      </c>
      <c r="AO35" s="131" t="str">
        <f t="shared" si="28"/>
        <v/>
      </c>
      <c r="AP35" s="66" t="str">
        <f>IFERROR(ADDRESS(MATCH(AN35,일반단가표!$A$1:$A$23,0),MATCH(AO35,일반단가표!$A$1:$T$1,0)),"")</f>
        <v/>
      </c>
      <c r="AQ35" s="248"/>
      <c r="BK35" s="309"/>
      <c r="BL35" s="309"/>
    </row>
    <row r="36" spans="1:64" ht="21.95" customHeight="1">
      <c r="A36" s="100">
        <v>25</v>
      </c>
      <c r="B36" s="253"/>
      <c r="C36" s="254"/>
      <c r="D36" s="254"/>
      <c r="E36" s="105">
        <f t="shared" si="16"/>
        <v>0</v>
      </c>
      <c r="F36" s="106">
        <f t="shared" si="0"/>
        <v>0</v>
      </c>
      <c r="G36" s="107">
        <f t="shared" si="1"/>
        <v>0</v>
      </c>
      <c r="H36" s="108">
        <f t="shared" si="2"/>
        <v>0</v>
      </c>
      <c r="I36" s="107">
        <f t="shared" si="17"/>
        <v>0</v>
      </c>
      <c r="J36" s="109">
        <f t="shared" si="18"/>
        <v>0</v>
      </c>
      <c r="K36" s="110">
        <f t="shared" si="3"/>
        <v>0</v>
      </c>
      <c r="L36" s="110">
        <f t="shared" si="4"/>
        <v>0</v>
      </c>
      <c r="M36" s="200"/>
      <c r="N36" s="240"/>
      <c r="O36" s="193"/>
      <c r="P36" s="111">
        <f t="shared" si="19"/>
        <v>0</v>
      </c>
      <c r="Q36" s="112">
        <f t="shared" si="20"/>
        <v>44753</v>
      </c>
      <c r="R36" s="112">
        <f t="shared" si="5"/>
        <v>0</v>
      </c>
      <c r="S36" s="113" t="str">
        <f t="shared" si="21"/>
        <v/>
      </c>
      <c r="T36" s="113">
        <f t="shared" si="6"/>
        <v>0</v>
      </c>
      <c r="U36" s="114">
        <f t="shared" si="7"/>
        <v>0</v>
      </c>
      <c r="V36" s="114" t="str">
        <f t="shared" si="8"/>
        <v>/</v>
      </c>
      <c r="W36" s="114" t="str">
        <f t="shared" si="9"/>
        <v>○</v>
      </c>
      <c r="X36" s="114">
        <f t="shared" si="10"/>
        <v>0</v>
      </c>
      <c r="Y36" s="114">
        <f t="shared" si="11"/>
        <v>0</v>
      </c>
      <c r="Z36" s="114">
        <f t="shared" si="12"/>
        <v>0</v>
      </c>
      <c r="AA36" s="114">
        <f t="shared" si="13"/>
        <v>0</v>
      </c>
      <c r="AB36" s="114">
        <f t="shared" si="14"/>
        <v>0</v>
      </c>
      <c r="AC36" s="114">
        <f t="shared" si="22"/>
        <v>0</v>
      </c>
      <c r="AD36" s="114">
        <f t="shared" si="23"/>
        <v>0</v>
      </c>
      <c r="AE36" s="114" t="str">
        <f t="shared" si="15"/>
        <v/>
      </c>
      <c r="AF36" s="114">
        <f>$K$8</f>
        <v>0</v>
      </c>
      <c r="AG36" s="114"/>
      <c r="AH36" s="115" t="str">
        <f ca="1">IFERROR(ROUND(IF(E36&lt;&gt;"불가",INDIRECT($AN$10&amp;"단가표"&amp;"!"&amp;AP36)*VLOOKUP($D$5,데이터!$E$4:$F$13,2,0)*VLOOKUP($D$6,데이터!$A$4:$B$7,2,0)*(1-$AI$4)+IF(NOT(ISERROR(FIND("끈",M36))),+$AJ$4,0),0),-2),"")</f>
        <v/>
      </c>
      <c r="AI36" s="130"/>
      <c r="AK36" s="130"/>
      <c r="AL36" s="130"/>
      <c r="AM36" s="252"/>
      <c r="AN36" s="131" t="str">
        <f t="shared" si="27"/>
        <v/>
      </c>
      <c r="AO36" s="131" t="str">
        <f t="shared" si="28"/>
        <v/>
      </c>
      <c r="AP36" s="66" t="str">
        <f>IFERROR(ADDRESS(MATCH(AN36,일반단가표!$A$1:$A$23,0),MATCH(AO36,일반단가표!$A$1:$T$1,0)),"")</f>
        <v/>
      </c>
      <c r="AQ36" s="248"/>
      <c r="BK36" s="309"/>
      <c r="BL36" s="309"/>
    </row>
    <row r="37" spans="1:64" ht="21.95" customHeight="1" thickBot="1">
      <c r="A37" s="100" t="s">
        <v>40</v>
      </c>
      <c r="B37" s="116">
        <f>SUM(B12:B36)</f>
        <v>0</v>
      </c>
      <c r="C37" s="116"/>
      <c r="D37" s="116"/>
      <c r="E37" s="117"/>
      <c r="F37" s="118">
        <f>ROUNDUP(SUMPRODUCT(B12:B36*F12:F36)/6400,0)</f>
        <v>0</v>
      </c>
      <c r="G37" s="119">
        <f>ROUNDUP(SUMPRODUCT(B12:B36*G12:G36)/6400,0)</f>
        <v>0</v>
      </c>
      <c r="H37" s="120">
        <f>ROUNDUP(SUMPRODUCT(B12:B36*H12:H36)/6400,0)</f>
        <v>0</v>
      </c>
      <c r="I37" s="119">
        <f>ROUNDUP(SUMPRODUCT(B12:B36*I12:I36)/6400,0)</f>
        <v>0</v>
      </c>
      <c r="J37" s="121">
        <f>ROUNDUP(SUMPRODUCT(B12:B36*J12:J36)/6400*2,0)</f>
        <v>0</v>
      </c>
      <c r="K37" s="116"/>
      <c r="L37" s="116"/>
      <c r="M37" s="116"/>
      <c r="N37" s="100"/>
      <c r="O37" s="193"/>
      <c r="AH37" s="122"/>
      <c r="AN37" s="131"/>
      <c r="AO37" s="131"/>
      <c r="AQ37" s="248"/>
    </row>
    <row r="38" spans="1:64" ht="14.25" thickTop="1">
      <c r="AQ38" s="248"/>
    </row>
    <row r="39" spans="1:64">
      <c r="AQ39" s="248"/>
    </row>
    <row r="40" spans="1:64">
      <c r="AQ40" s="248"/>
    </row>
    <row r="41" spans="1:64">
      <c r="AQ41" s="248"/>
    </row>
    <row r="42" spans="1:64">
      <c r="AQ42" s="248"/>
    </row>
    <row r="43" spans="1:64">
      <c r="AQ43" s="248"/>
    </row>
    <row r="44" spans="1:64">
      <c r="AQ44" s="248"/>
    </row>
    <row r="45" spans="1:64">
      <c r="AQ45" s="248"/>
    </row>
    <row r="46" spans="1:64">
      <c r="AQ46" s="248"/>
    </row>
    <row r="47" spans="1:64">
      <c r="AQ47" s="248"/>
    </row>
    <row r="48" spans="1:64">
      <c r="AQ48" s="248"/>
    </row>
    <row r="49" spans="43:43">
      <c r="AQ49" s="248"/>
    </row>
    <row r="50" spans="43:43">
      <c r="AQ50" s="248"/>
    </row>
    <row r="51" spans="43:43">
      <c r="AQ51" s="248"/>
    </row>
    <row r="52" spans="43:43">
      <c r="AQ52" s="248"/>
    </row>
    <row r="53" spans="43:43">
      <c r="AQ53" s="248"/>
    </row>
    <row r="54" spans="43:43">
      <c r="AQ54" s="248"/>
    </row>
    <row r="55" spans="43:43">
      <c r="AQ55" s="248"/>
    </row>
    <row r="56" spans="43:43">
      <c r="AQ56" s="248"/>
    </row>
    <row r="57" spans="43:43">
      <c r="AQ57" s="248"/>
    </row>
    <row r="58" spans="43:43">
      <c r="AQ58" s="248"/>
    </row>
    <row r="59" spans="43:43">
      <c r="AQ59" s="248"/>
    </row>
    <row r="60" spans="43:43">
      <c r="AQ60" s="248"/>
    </row>
    <row r="61" spans="43:43">
      <c r="AQ61" s="248"/>
    </row>
    <row r="62" spans="43:43">
      <c r="AQ62" s="248"/>
    </row>
    <row r="63" spans="43:43">
      <c r="AQ63" s="248"/>
    </row>
    <row r="64" spans="43:43">
      <c r="AQ64" s="248"/>
    </row>
    <row r="65" spans="43:43">
      <c r="AQ65" s="248"/>
    </row>
    <row r="66" spans="43:43">
      <c r="AQ66" s="248"/>
    </row>
    <row r="67" spans="43:43">
      <c r="AQ67" s="248"/>
    </row>
    <row r="68" spans="43:43">
      <c r="AQ68" s="248"/>
    </row>
    <row r="69" spans="43:43">
      <c r="AQ69" s="248"/>
    </row>
    <row r="70" spans="43:43">
      <c r="AQ70" s="248"/>
    </row>
    <row r="71" spans="43:43">
      <c r="AQ71" s="248"/>
    </row>
    <row r="72" spans="43:43">
      <c r="AQ72" s="248"/>
    </row>
    <row r="73" spans="43:43">
      <c r="AQ73" s="248"/>
    </row>
    <row r="74" spans="43:43">
      <c r="AQ74" s="248"/>
    </row>
    <row r="75" spans="43:43">
      <c r="AQ75" s="248"/>
    </row>
    <row r="76" spans="43:43">
      <c r="AQ76" s="248"/>
    </row>
    <row r="77" spans="43:43">
      <c r="AQ77" s="248"/>
    </row>
    <row r="78" spans="43:43">
      <c r="AQ78" s="248"/>
    </row>
    <row r="79" spans="43:43">
      <c r="AQ79" s="248"/>
    </row>
    <row r="80" spans="43:43">
      <c r="AQ80" s="248"/>
    </row>
    <row r="81" spans="43:43">
      <c r="AQ81" s="248"/>
    </row>
    <row r="82" spans="43:43">
      <c r="AQ82" s="248"/>
    </row>
    <row r="83" spans="43:43">
      <c r="AQ83" s="248"/>
    </row>
    <row r="84" spans="43:43">
      <c r="AQ84" s="248"/>
    </row>
    <row r="85" spans="43:43">
      <c r="AQ85" s="248"/>
    </row>
    <row r="86" spans="43:43">
      <c r="AQ86" s="268"/>
    </row>
    <row r="87" spans="43:43">
      <c r="AQ87" s="248"/>
    </row>
    <row r="88" spans="43:43">
      <c r="AQ88" s="248"/>
    </row>
    <row r="89" spans="43:43">
      <c r="AQ89" s="248"/>
    </row>
    <row r="90" spans="43:43">
      <c r="AQ90" s="248"/>
    </row>
    <row r="91" spans="43:43">
      <c r="AQ91" s="248"/>
    </row>
    <row r="92" spans="43:43">
      <c r="AQ92" s="248"/>
    </row>
    <row r="93" spans="43:43">
      <c r="AQ93" s="248"/>
    </row>
    <row r="94" spans="43:43">
      <c r="AQ94" s="248"/>
    </row>
    <row r="95" spans="43:43">
      <c r="AQ95" s="248"/>
    </row>
    <row r="96" spans="43:43">
      <c r="AQ96" s="248"/>
    </row>
    <row r="97" spans="43:43">
      <c r="AQ97" s="248"/>
    </row>
    <row r="98" spans="43:43">
      <c r="AQ98" s="248"/>
    </row>
    <row r="99" spans="43:43">
      <c r="AQ99" s="248"/>
    </row>
    <row r="100" spans="43:43">
      <c r="AQ100" s="248"/>
    </row>
    <row r="101" spans="43:43">
      <c r="AQ101" s="248"/>
    </row>
    <row r="102" spans="43:43">
      <c r="AQ102" s="248"/>
    </row>
    <row r="103" spans="43:43">
      <c r="AQ103" s="248"/>
    </row>
    <row r="104" spans="43:43">
      <c r="AQ104" s="248"/>
    </row>
    <row r="105" spans="43:43">
      <c r="AQ105" s="248"/>
    </row>
    <row r="106" spans="43:43">
      <c r="AQ106" s="248"/>
    </row>
    <row r="107" spans="43:43">
      <c r="AQ107" s="248"/>
    </row>
    <row r="108" spans="43:43">
      <c r="AQ108" s="248"/>
    </row>
    <row r="109" spans="43:43">
      <c r="AQ109" s="248"/>
    </row>
    <row r="110" spans="43:43">
      <c r="AQ110" s="248"/>
    </row>
    <row r="111" spans="43:43">
      <c r="AQ111" s="248"/>
    </row>
    <row r="112" spans="43:43">
      <c r="AQ112" s="248"/>
    </row>
    <row r="113" spans="43:43">
      <c r="AQ113" s="248"/>
    </row>
    <row r="114" spans="43:43">
      <c r="AQ114" s="248"/>
    </row>
    <row r="115" spans="43:43">
      <c r="AQ115" s="248"/>
    </row>
    <row r="116" spans="43:43">
      <c r="AQ116" s="248"/>
    </row>
    <row r="117" spans="43:43">
      <c r="AQ117" s="248"/>
    </row>
    <row r="118" spans="43:43">
      <c r="AQ118" s="248"/>
    </row>
    <row r="119" spans="43:43">
      <c r="AQ119" s="248"/>
    </row>
    <row r="120" spans="43:43">
      <c r="AQ120" s="248"/>
    </row>
    <row r="121" spans="43:43">
      <c r="AQ121" s="248"/>
    </row>
    <row r="122" spans="43:43">
      <c r="AQ122" s="248"/>
    </row>
    <row r="123" spans="43:43">
      <c r="AQ123" s="248"/>
    </row>
    <row r="124" spans="43:43">
      <c r="AQ124" s="248"/>
    </row>
    <row r="125" spans="43:43">
      <c r="AQ125" s="248"/>
    </row>
    <row r="126" spans="43:43">
      <c r="AQ126" s="248"/>
    </row>
    <row r="127" spans="43:43">
      <c r="AQ127" s="248"/>
    </row>
    <row r="128" spans="43:43">
      <c r="AQ128" s="248"/>
    </row>
    <row r="129" spans="43:43">
      <c r="AQ129" s="248"/>
    </row>
    <row r="130" spans="43:43">
      <c r="AQ130" s="248"/>
    </row>
    <row r="131" spans="43:43">
      <c r="AQ131" s="248"/>
    </row>
    <row r="132" spans="43:43">
      <c r="AQ132" s="248"/>
    </row>
    <row r="133" spans="43:43">
      <c r="AQ133" s="248"/>
    </row>
    <row r="134" spans="43:43">
      <c r="AQ134" s="248"/>
    </row>
    <row r="135" spans="43:43">
      <c r="AQ135" s="248"/>
    </row>
    <row r="136" spans="43:43">
      <c r="AQ136" s="248"/>
    </row>
    <row r="137" spans="43:43">
      <c r="AQ137" s="248"/>
    </row>
    <row r="138" spans="43:43">
      <c r="AQ138" s="248"/>
    </row>
    <row r="139" spans="43:43">
      <c r="AQ139" s="248"/>
    </row>
    <row r="140" spans="43:43">
      <c r="AQ140" s="248"/>
    </row>
    <row r="141" spans="43:43">
      <c r="AQ141" s="248"/>
    </row>
    <row r="142" spans="43:43">
      <c r="AQ142" s="248"/>
    </row>
    <row r="143" spans="43:43">
      <c r="AQ143" s="248"/>
    </row>
    <row r="144" spans="43:43">
      <c r="AQ144" s="248"/>
    </row>
    <row r="145" spans="43:43">
      <c r="AQ145" s="248"/>
    </row>
    <row r="146" spans="43:43">
      <c r="AQ146" s="248"/>
    </row>
    <row r="147" spans="43:43">
      <c r="AQ147" s="248"/>
    </row>
    <row r="148" spans="43:43">
      <c r="AQ148" s="248"/>
    </row>
    <row r="149" spans="43:43">
      <c r="AQ149" s="248"/>
    </row>
    <row r="150" spans="43:43">
      <c r="AQ150" s="248"/>
    </row>
    <row r="151" spans="43:43">
      <c r="AQ151" s="248"/>
    </row>
    <row r="152" spans="43:43">
      <c r="AQ152" s="248"/>
    </row>
    <row r="153" spans="43:43">
      <c r="AQ153" s="248"/>
    </row>
    <row r="154" spans="43:43">
      <c r="AQ154" s="248"/>
    </row>
    <row r="155" spans="43:43">
      <c r="AQ155" s="248"/>
    </row>
    <row r="156" spans="43:43">
      <c r="AQ156" s="248"/>
    </row>
    <row r="157" spans="43:43">
      <c r="AQ157" s="248"/>
    </row>
    <row r="158" spans="43:43">
      <c r="AQ158" s="248"/>
    </row>
    <row r="159" spans="43:43">
      <c r="AQ159" s="268"/>
    </row>
    <row r="160" spans="43:43">
      <c r="AQ160" s="248"/>
    </row>
    <row r="161" spans="43:43">
      <c r="AQ161" s="248"/>
    </row>
    <row r="162" spans="43:43">
      <c r="AQ162" s="268"/>
    </row>
    <row r="163" spans="43:43">
      <c r="AQ163" s="268"/>
    </row>
    <row r="164" spans="43:43">
      <c r="AQ164" s="248"/>
    </row>
    <row r="165" spans="43:43">
      <c r="AQ165" s="248"/>
    </row>
    <row r="166" spans="43:43">
      <c r="AQ166" s="248"/>
    </row>
    <row r="167" spans="43:43">
      <c r="AQ167" s="248"/>
    </row>
    <row r="168" spans="43:43">
      <c r="AQ168" s="248"/>
    </row>
    <row r="169" spans="43:43">
      <c r="AQ169" s="248"/>
    </row>
    <row r="170" spans="43:43">
      <c r="AQ170" s="248"/>
    </row>
    <row r="171" spans="43:43">
      <c r="AQ171" s="248"/>
    </row>
    <row r="172" spans="43:43">
      <c r="AQ172" s="248"/>
    </row>
    <row r="173" spans="43:43">
      <c r="AQ173" s="248"/>
    </row>
    <row r="174" spans="43:43">
      <c r="AQ174" s="248"/>
    </row>
    <row r="175" spans="43:43">
      <c r="AQ175" s="248"/>
    </row>
    <row r="176" spans="43:43">
      <c r="AQ176" s="248"/>
    </row>
    <row r="177" spans="43:43">
      <c r="AQ177" s="248"/>
    </row>
    <row r="178" spans="43:43">
      <c r="AQ178" s="248"/>
    </row>
    <row r="179" spans="43:43">
      <c r="AQ179" s="248"/>
    </row>
    <row r="180" spans="43:43">
      <c r="AQ180" s="248"/>
    </row>
    <row r="181" spans="43:43">
      <c r="AQ181" s="248"/>
    </row>
    <row r="182" spans="43:43">
      <c r="AQ182" s="248"/>
    </row>
    <row r="183" spans="43:43">
      <c r="AQ183" s="248"/>
    </row>
    <row r="184" spans="43:43">
      <c r="AQ184" s="248"/>
    </row>
    <row r="185" spans="43:43">
      <c r="AQ185" s="248"/>
    </row>
    <row r="186" spans="43:43">
      <c r="AQ186" s="248"/>
    </row>
    <row r="187" spans="43:43">
      <c r="AQ187" s="248"/>
    </row>
    <row r="188" spans="43:43">
      <c r="AQ188" s="248"/>
    </row>
    <row r="189" spans="43:43">
      <c r="AQ189" s="248"/>
    </row>
    <row r="190" spans="43:43">
      <c r="AQ190" s="248"/>
    </row>
    <row r="191" spans="43:43">
      <c r="AQ191" s="248"/>
    </row>
    <row r="192" spans="43:43">
      <c r="AQ192" s="248"/>
    </row>
    <row r="193" spans="43:43">
      <c r="AQ193" s="248"/>
    </row>
    <row r="194" spans="43:43">
      <c r="AQ194" s="248"/>
    </row>
    <row r="195" spans="43:43">
      <c r="AQ195" s="248"/>
    </row>
    <row r="196" spans="43:43">
      <c r="AQ196" s="248"/>
    </row>
    <row r="197" spans="43:43">
      <c r="AQ197" s="248"/>
    </row>
    <row r="198" spans="43:43">
      <c r="AQ198" s="248"/>
    </row>
    <row r="199" spans="43:43">
      <c r="AQ199" s="248"/>
    </row>
    <row r="200" spans="43:43">
      <c r="AQ200" s="248"/>
    </row>
    <row r="201" spans="43:43">
      <c r="AQ201" s="248"/>
    </row>
    <row r="202" spans="43:43">
      <c r="AQ202" s="248"/>
    </row>
    <row r="203" spans="43:43">
      <c r="AQ203" s="248"/>
    </row>
    <row r="204" spans="43:43">
      <c r="AQ204" s="248"/>
    </row>
    <row r="205" spans="43:43">
      <c r="AQ205" s="248"/>
    </row>
    <row r="206" spans="43:43">
      <c r="AQ206" s="248"/>
    </row>
    <row r="207" spans="43:43">
      <c r="AQ207" s="248"/>
    </row>
    <row r="208" spans="43:43">
      <c r="AQ208" s="248"/>
    </row>
    <row r="209" spans="43:43">
      <c r="AQ209" s="248"/>
    </row>
    <row r="210" spans="43:43">
      <c r="AQ210" s="248"/>
    </row>
    <row r="211" spans="43:43">
      <c r="AQ211" s="248"/>
    </row>
    <row r="212" spans="43:43">
      <c r="AQ212" s="248"/>
    </row>
    <row r="213" spans="43:43">
      <c r="AQ213" s="248"/>
    </row>
    <row r="214" spans="43:43">
      <c r="AQ214" s="248"/>
    </row>
    <row r="215" spans="43:43">
      <c r="AQ215" s="248"/>
    </row>
    <row r="216" spans="43:43">
      <c r="AQ216" s="248"/>
    </row>
    <row r="217" spans="43:43">
      <c r="AQ217" s="248"/>
    </row>
    <row r="218" spans="43:43">
      <c r="AQ218" s="248"/>
    </row>
    <row r="219" spans="43:43">
      <c r="AQ219" s="248"/>
    </row>
    <row r="220" spans="43:43">
      <c r="AQ220" s="248"/>
    </row>
    <row r="221" spans="43:43">
      <c r="AQ221" s="248"/>
    </row>
    <row r="222" spans="43:43">
      <c r="AQ222" s="248"/>
    </row>
    <row r="223" spans="43:43">
      <c r="AQ223" s="248"/>
    </row>
    <row r="224" spans="43:43">
      <c r="AQ224" s="248"/>
    </row>
    <row r="225" spans="43:43">
      <c r="AQ225" s="248"/>
    </row>
    <row r="226" spans="43:43">
      <c r="AQ226" s="248"/>
    </row>
    <row r="227" spans="43:43">
      <c r="AQ227" s="248"/>
    </row>
    <row r="228" spans="43:43">
      <c r="AQ228" s="248"/>
    </row>
    <row r="229" spans="43:43">
      <c r="AQ229" s="248"/>
    </row>
    <row r="230" spans="43:43">
      <c r="AQ230" s="248"/>
    </row>
    <row r="231" spans="43:43">
      <c r="AQ231" s="248"/>
    </row>
    <row r="232" spans="43:43">
      <c r="AQ232" s="248"/>
    </row>
    <row r="233" spans="43:43">
      <c r="AQ233" s="248"/>
    </row>
    <row r="234" spans="43:43">
      <c r="AQ234" s="248"/>
    </row>
    <row r="235" spans="43:43">
      <c r="AQ235" s="248"/>
    </row>
    <row r="236" spans="43:43">
      <c r="AQ236" s="248"/>
    </row>
    <row r="237" spans="43:43">
      <c r="AQ237" s="248"/>
    </row>
    <row r="238" spans="43:43">
      <c r="AQ238" s="248"/>
    </row>
    <row r="239" spans="43:43">
      <c r="AQ239" s="248"/>
    </row>
    <row r="240" spans="43:43">
      <c r="AQ240" s="248"/>
    </row>
    <row r="241" spans="43:43">
      <c r="AQ241" s="248"/>
    </row>
    <row r="242" spans="43:43">
      <c r="AQ242" s="248"/>
    </row>
    <row r="243" spans="43:43">
      <c r="AQ243" s="248"/>
    </row>
    <row r="244" spans="43:43">
      <c r="AQ244" s="248"/>
    </row>
    <row r="245" spans="43:43">
      <c r="AQ245" s="248"/>
    </row>
    <row r="246" spans="43:43">
      <c r="AQ246" s="248"/>
    </row>
    <row r="247" spans="43:43">
      <c r="AQ247" s="248"/>
    </row>
    <row r="248" spans="43:43">
      <c r="AQ248" s="248"/>
    </row>
    <row r="249" spans="43:43">
      <c r="AQ249" s="248"/>
    </row>
    <row r="250" spans="43:43">
      <c r="AQ250" s="248"/>
    </row>
    <row r="251" spans="43:43">
      <c r="AQ251" s="248"/>
    </row>
    <row r="252" spans="43:43">
      <c r="AQ252" s="248"/>
    </row>
    <row r="253" spans="43:43">
      <c r="AQ253" s="248"/>
    </row>
    <row r="254" spans="43:43">
      <c r="AQ254" s="248"/>
    </row>
    <row r="255" spans="43:43">
      <c r="AQ255" s="248"/>
    </row>
    <row r="256" spans="43:43">
      <c r="AQ256" s="248"/>
    </row>
    <row r="257" spans="43:43">
      <c r="AQ257" s="248"/>
    </row>
    <row r="258" spans="43:43">
      <c r="AQ258" s="248"/>
    </row>
    <row r="259" spans="43:43">
      <c r="AQ259" s="248"/>
    </row>
    <row r="260" spans="43:43">
      <c r="AQ260" s="248"/>
    </row>
    <row r="261" spans="43:43">
      <c r="AQ261" s="248"/>
    </row>
    <row r="262" spans="43:43">
      <c r="AQ262" s="248"/>
    </row>
    <row r="263" spans="43:43">
      <c r="AQ263" s="248"/>
    </row>
    <row r="264" spans="43:43">
      <c r="AQ264" s="248"/>
    </row>
    <row r="265" spans="43:43">
      <c r="AQ265" s="248"/>
    </row>
    <row r="266" spans="43:43">
      <c r="AQ266" s="248"/>
    </row>
    <row r="267" spans="43:43">
      <c r="AQ267" s="248"/>
    </row>
    <row r="268" spans="43:43">
      <c r="AQ268" s="248"/>
    </row>
    <row r="269" spans="43:43">
      <c r="AQ269" s="248"/>
    </row>
    <row r="270" spans="43:43">
      <c r="AQ270" s="248"/>
    </row>
    <row r="271" spans="43:43">
      <c r="AQ271" s="248"/>
    </row>
    <row r="272" spans="43:43">
      <c r="AQ272" s="248"/>
    </row>
    <row r="273" spans="43:43">
      <c r="AQ273" s="248"/>
    </row>
    <row r="274" spans="43:43">
      <c r="AQ274" s="248"/>
    </row>
    <row r="275" spans="43:43">
      <c r="AQ275" s="248"/>
    </row>
    <row r="276" spans="43:43">
      <c r="AQ276" s="248"/>
    </row>
    <row r="277" spans="43:43">
      <c r="AQ277" s="248"/>
    </row>
    <row r="278" spans="43:43">
      <c r="AQ278" s="248"/>
    </row>
    <row r="279" spans="43:43">
      <c r="AQ279" s="248"/>
    </row>
    <row r="280" spans="43:43">
      <c r="AQ280" s="248"/>
    </row>
    <row r="281" spans="43:43">
      <c r="AQ281" s="248"/>
    </row>
    <row r="282" spans="43:43">
      <c r="AQ282" s="248"/>
    </row>
    <row r="283" spans="43:43">
      <c r="AQ283" s="248"/>
    </row>
    <row r="284" spans="43:43">
      <c r="AQ284" s="248"/>
    </row>
    <row r="285" spans="43:43">
      <c r="AQ285" s="248"/>
    </row>
    <row r="286" spans="43:43">
      <c r="AQ286" s="248"/>
    </row>
    <row r="287" spans="43:43">
      <c r="AQ287" s="248"/>
    </row>
    <row r="288" spans="43:43">
      <c r="AQ288" s="248"/>
    </row>
    <row r="289" spans="43:43">
      <c r="AQ289" s="248"/>
    </row>
    <row r="290" spans="43:43">
      <c r="AQ290" s="248"/>
    </row>
    <row r="291" spans="43:43">
      <c r="AQ291" s="248"/>
    </row>
    <row r="292" spans="43:43">
      <c r="AQ292" s="248"/>
    </row>
    <row r="293" spans="43:43">
      <c r="AQ293" s="248"/>
    </row>
    <row r="294" spans="43:43">
      <c r="AQ294" s="248"/>
    </row>
    <row r="295" spans="43:43">
      <c r="AQ295" s="248"/>
    </row>
    <row r="296" spans="43:43">
      <c r="AQ296" s="248"/>
    </row>
    <row r="297" spans="43:43">
      <c r="AQ297" s="248"/>
    </row>
    <row r="298" spans="43:43">
      <c r="AQ298" s="248"/>
    </row>
    <row r="299" spans="43:43">
      <c r="AQ299" s="248"/>
    </row>
    <row r="300" spans="43:43">
      <c r="AQ300" s="248"/>
    </row>
    <row r="301" spans="43:43">
      <c r="AQ301" s="248"/>
    </row>
    <row r="302" spans="43:43">
      <c r="AQ302" s="268"/>
    </row>
    <row r="303" spans="43:43">
      <c r="AQ303" s="248"/>
    </row>
    <row r="304" spans="43:43">
      <c r="AQ304" s="248"/>
    </row>
    <row r="305" spans="43:43">
      <c r="AQ305" s="248"/>
    </row>
    <row r="306" spans="43:43">
      <c r="AQ306" s="248"/>
    </row>
    <row r="307" spans="43:43">
      <c r="AQ307" s="248"/>
    </row>
    <row r="308" spans="43:43">
      <c r="AQ308" s="248"/>
    </row>
    <row r="309" spans="43:43">
      <c r="AQ309" s="248"/>
    </row>
    <row r="310" spans="43:43">
      <c r="AQ310" s="248"/>
    </row>
    <row r="311" spans="43:43">
      <c r="AQ311" s="248"/>
    </row>
    <row r="312" spans="43:43">
      <c r="AQ312" s="248"/>
    </row>
    <row r="313" spans="43:43">
      <c r="AQ313" s="248"/>
    </row>
    <row r="314" spans="43:43">
      <c r="AQ314" s="248"/>
    </row>
    <row r="315" spans="43:43">
      <c r="AQ315" s="248"/>
    </row>
    <row r="316" spans="43:43">
      <c r="AQ316" s="248"/>
    </row>
    <row r="317" spans="43:43">
      <c r="AQ317" s="248"/>
    </row>
    <row r="318" spans="43:43">
      <c r="AQ318" s="248"/>
    </row>
    <row r="319" spans="43:43">
      <c r="AQ319" s="248"/>
    </row>
    <row r="320" spans="43:43">
      <c r="AQ320" s="248"/>
    </row>
    <row r="321" spans="43:43">
      <c r="AQ321" s="248"/>
    </row>
    <row r="322" spans="43:43">
      <c r="AQ322" s="248"/>
    </row>
    <row r="323" spans="43:43">
      <c r="AQ323" s="248"/>
    </row>
    <row r="324" spans="43:43">
      <c r="AQ324" s="248"/>
    </row>
    <row r="325" spans="43:43">
      <c r="AQ325" s="248"/>
    </row>
    <row r="326" spans="43:43">
      <c r="AQ326" s="268"/>
    </row>
    <row r="327" spans="43:43">
      <c r="AQ327" s="248"/>
    </row>
    <row r="328" spans="43:43">
      <c r="AQ328" s="248"/>
    </row>
    <row r="329" spans="43:43">
      <c r="AQ329" s="248"/>
    </row>
    <row r="330" spans="43:43">
      <c r="AQ330" s="248"/>
    </row>
    <row r="331" spans="43:43">
      <c r="AQ331" s="248"/>
    </row>
    <row r="332" spans="43:43">
      <c r="AQ332" s="248"/>
    </row>
    <row r="333" spans="43:43">
      <c r="AQ333" s="248"/>
    </row>
    <row r="334" spans="43:43">
      <c r="AQ334" s="248"/>
    </row>
    <row r="335" spans="43:43">
      <c r="AQ335" s="248"/>
    </row>
    <row r="336" spans="43:43">
      <c r="AQ336" s="248"/>
    </row>
    <row r="337" spans="43:43">
      <c r="AQ337" s="248"/>
    </row>
    <row r="338" spans="43:43">
      <c r="AQ338" s="248"/>
    </row>
    <row r="339" spans="43:43">
      <c r="AQ339" s="248"/>
    </row>
    <row r="340" spans="43:43">
      <c r="AQ340" s="248"/>
    </row>
    <row r="341" spans="43:43">
      <c r="AQ341" s="248"/>
    </row>
    <row r="342" spans="43:43">
      <c r="AQ342" s="248"/>
    </row>
    <row r="343" spans="43:43">
      <c r="AQ343" s="248"/>
    </row>
    <row r="344" spans="43:43">
      <c r="AQ344" s="248"/>
    </row>
    <row r="345" spans="43:43">
      <c r="AQ345" s="248"/>
    </row>
    <row r="346" spans="43:43">
      <c r="AQ346" s="248"/>
    </row>
    <row r="347" spans="43:43">
      <c r="AQ347" s="248"/>
    </row>
    <row r="348" spans="43:43">
      <c r="AQ348" s="248"/>
    </row>
    <row r="349" spans="43:43">
      <c r="AQ349" s="248"/>
    </row>
    <row r="350" spans="43:43">
      <c r="AQ350" s="248"/>
    </row>
    <row r="351" spans="43:43">
      <c r="AQ351" s="248"/>
    </row>
    <row r="352" spans="43:43">
      <c r="AQ352" s="248"/>
    </row>
    <row r="353" spans="43:43">
      <c r="AQ353" s="248"/>
    </row>
    <row r="354" spans="43:43">
      <c r="AQ354" s="248"/>
    </row>
    <row r="355" spans="43:43">
      <c r="AQ355" s="248"/>
    </row>
    <row r="356" spans="43:43">
      <c r="AQ356" s="248"/>
    </row>
    <row r="357" spans="43:43">
      <c r="AQ357" s="248"/>
    </row>
    <row r="358" spans="43:43">
      <c r="AQ358" s="248"/>
    </row>
    <row r="359" spans="43:43">
      <c r="AQ359" s="248"/>
    </row>
    <row r="360" spans="43:43">
      <c r="AQ360" s="248"/>
    </row>
    <row r="361" spans="43:43">
      <c r="AQ361" s="248"/>
    </row>
    <row r="362" spans="43:43">
      <c r="AQ362" s="268"/>
    </row>
    <row r="363" spans="43:43">
      <c r="AQ363" s="248"/>
    </row>
    <row r="364" spans="43:43">
      <c r="AQ364" s="248"/>
    </row>
    <row r="365" spans="43:43">
      <c r="AQ365" s="248"/>
    </row>
    <row r="366" spans="43:43">
      <c r="AQ366" s="248"/>
    </row>
    <row r="367" spans="43:43">
      <c r="AQ367" s="248"/>
    </row>
    <row r="368" spans="43:43">
      <c r="AQ368" s="248"/>
    </row>
    <row r="369" spans="43:43">
      <c r="AQ369" s="248"/>
    </row>
    <row r="370" spans="43:43">
      <c r="AQ370" s="248"/>
    </row>
    <row r="371" spans="43:43">
      <c r="AQ371" s="248"/>
    </row>
    <row r="372" spans="43:43">
      <c r="AQ372" s="248"/>
    </row>
    <row r="373" spans="43:43">
      <c r="AQ373" s="248"/>
    </row>
    <row r="374" spans="43:43">
      <c r="AQ374" s="248"/>
    </row>
    <row r="375" spans="43:43">
      <c r="AQ375" s="248"/>
    </row>
    <row r="376" spans="43:43">
      <c r="AQ376" s="248"/>
    </row>
    <row r="377" spans="43:43">
      <c r="AQ377" s="248"/>
    </row>
    <row r="378" spans="43:43">
      <c r="AQ378" s="248"/>
    </row>
    <row r="379" spans="43:43">
      <c r="AQ379" s="248"/>
    </row>
    <row r="380" spans="43:43">
      <c r="AQ380" s="248"/>
    </row>
    <row r="381" spans="43:43">
      <c r="AQ381" s="248"/>
    </row>
    <row r="382" spans="43:43">
      <c r="AQ382" s="248"/>
    </row>
    <row r="383" spans="43:43">
      <c r="AQ383" s="248"/>
    </row>
    <row r="384" spans="43:43">
      <c r="AQ384" s="248"/>
    </row>
    <row r="385" spans="43:43">
      <c r="AQ385" s="248"/>
    </row>
    <row r="386" spans="43:43">
      <c r="AQ386" s="248"/>
    </row>
    <row r="387" spans="43:43">
      <c r="AQ387" s="248"/>
    </row>
    <row r="388" spans="43:43">
      <c r="AQ388" s="248"/>
    </row>
    <row r="389" spans="43:43">
      <c r="AQ389" s="248"/>
    </row>
    <row r="390" spans="43:43">
      <c r="AQ390" s="248"/>
    </row>
    <row r="391" spans="43:43">
      <c r="AQ391" s="248"/>
    </row>
    <row r="392" spans="43:43">
      <c r="AQ392" s="248"/>
    </row>
    <row r="393" spans="43:43">
      <c r="AQ393" s="248"/>
    </row>
    <row r="394" spans="43:43">
      <c r="AQ394" s="248"/>
    </row>
    <row r="395" spans="43:43">
      <c r="AQ395" s="248"/>
    </row>
    <row r="396" spans="43:43">
      <c r="AQ396" s="248"/>
    </row>
    <row r="397" spans="43:43">
      <c r="AQ397" s="248"/>
    </row>
    <row r="398" spans="43:43">
      <c r="AQ398" s="268"/>
    </row>
    <row r="399" spans="43:43">
      <c r="AQ399" s="248"/>
    </row>
    <row r="400" spans="43:43">
      <c r="AQ400" s="248"/>
    </row>
    <row r="401" spans="43:43">
      <c r="AQ401" s="248"/>
    </row>
    <row r="402" spans="43:43">
      <c r="AQ402" s="248"/>
    </row>
    <row r="403" spans="43:43">
      <c r="AQ403" s="248"/>
    </row>
    <row r="404" spans="43:43">
      <c r="AQ404" s="248"/>
    </row>
    <row r="405" spans="43:43">
      <c r="AQ405" s="248"/>
    </row>
    <row r="406" spans="43:43">
      <c r="AQ406" s="248"/>
    </row>
    <row r="407" spans="43:43">
      <c r="AQ407" s="248"/>
    </row>
    <row r="408" spans="43:43">
      <c r="AQ408" s="248"/>
    </row>
    <row r="409" spans="43:43">
      <c r="AQ409" s="248"/>
    </row>
    <row r="410" spans="43:43">
      <c r="AQ410" s="248"/>
    </row>
    <row r="411" spans="43:43">
      <c r="AQ411" s="248"/>
    </row>
    <row r="412" spans="43:43">
      <c r="AQ412" s="248"/>
    </row>
    <row r="413" spans="43:43">
      <c r="AQ413" s="248"/>
    </row>
    <row r="414" spans="43:43">
      <c r="AQ414" s="248"/>
    </row>
    <row r="415" spans="43:43">
      <c r="AQ415" s="248"/>
    </row>
    <row r="416" spans="43:43">
      <c r="AQ416" s="248"/>
    </row>
    <row r="417" spans="43:43">
      <c r="AQ417" s="248"/>
    </row>
    <row r="418" spans="43:43">
      <c r="AQ418" s="248"/>
    </row>
    <row r="419" spans="43:43">
      <c r="AQ419" s="248"/>
    </row>
    <row r="420" spans="43:43">
      <c r="AQ420" s="268"/>
    </row>
    <row r="421" spans="43:43">
      <c r="AQ421" s="248"/>
    </row>
    <row r="422" spans="43:43">
      <c r="AQ422" s="248"/>
    </row>
    <row r="423" spans="43:43">
      <c r="AQ423" s="248"/>
    </row>
    <row r="424" spans="43:43">
      <c r="AQ424" s="248"/>
    </row>
    <row r="425" spans="43:43">
      <c r="AQ425" s="248"/>
    </row>
    <row r="426" spans="43:43">
      <c r="AQ426" s="248"/>
    </row>
    <row r="427" spans="43:43">
      <c r="AQ427" s="248"/>
    </row>
    <row r="428" spans="43:43">
      <c r="AQ428" s="248"/>
    </row>
    <row r="429" spans="43:43">
      <c r="AQ429" s="248"/>
    </row>
    <row r="430" spans="43:43">
      <c r="AQ430" s="248"/>
    </row>
    <row r="431" spans="43:43">
      <c r="AQ431" s="248"/>
    </row>
    <row r="432" spans="43:43">
      <c r="AQ432" s="248"/>
    </row>
    <row r="433" spans="43:43">
      <c r="AQ433" s="248"/>
    </row>
    <row r="434" spans="43:43">
      <c r="AQ434" s="248"/>
    </row>
    <row r="435" spans="43:43">
      <c r="AQ435" s="248"/>
    </row>
    <row r="436" spans="43:43">
      <c r="AQ436" s="248"/>
    </row>
    <row r="437" spans="43:43">
      <c r="AQ437" s="248"/>
    </row>
    <row r="438" spans="43:43">
      <c r="AQ438" s="248"/>
    </row>
    <row r="439" spans="43:43">
      <c r="AQ439" s="248"/>
    </row>
    <row r="440" spans="43:43">
      <c r="AQ440" s="248"/>
    </row>
    <row r="441" spans="43:43">
      <c r="AQ441" s="248"/>
    </row>
    <row r="442" spans="43:43">
      <c r="AQ442" s="248"/>
    </row>
    <row r="443" spans="43:43">
      <c r="AQ443" s="248"/>
    </row>
    <row r="444" spans="43:43">
      <c r="AQ444" s="248"/>
    </row>
    <row r="445" spans="43:43">
      <c r="AQ445" s="248"/>
    </row>
    <row r="446" spans="43:43">
      <c r="AQ446" s="248"/>
    </row>
    <row r="447" spans="43:43">
      <c r="AQ447" s="248"/>
    </row>
    <row r="448" spans="43:43">
      <c r="AQ448" s="248"/>
    </row>
    <row r="449" spans="43:43">
      <c r="AQ449" s="248"/>
    </row>
    <row r="450" spans="43:43">
      <c r="AQ450" s="248"/>
    </row>
    <row r="451" spans="43:43">
      <c r="AQ451" s="248"/>
    </row>
    <row r="452" spans="43:43">
      <c r="AQ452" s="248"/>
    </row>
    <row r="453" spans="43:43">
      <c r="AQ453" s="248"/>
    </row>
    <row r="454" spans="43:43">
      <c r="AQ454" s="248"/>
    </row>
    <row r="455" spans="43:43">
      <c r="AQ455" s="248"/>
    </row>
    <row r="456" spans="43:43">
      <c r="AQ456" s="248"/>
    </row>
    <row r="457" spans="43:43">
      <c r="AQ457" s="248"/>
    </row>
    <row r="458" spans="43:43">
      <c r="AQ458" s="248"/>
    </row>
    <row r="459" spans="43:43">
      <c r="AQ459" s="248"/>
    </row>
    <row r="460" spans="43:43">
      <c r="AQ460" s="248"/>
    </row>
    <row r="461" spans="43:43">
      <c r="AQ461" s="248"/>
    </row>
    <row r="462" spans="43:43">
      <c r="AQ462" s="248"/>
    </row>
    <row r="463" spans="43:43">
      <c r="AQ463" s="248"/>
    </row>
    <row r="464" spans="43:43">
      <c r="AQ464" s="248"/>
    </row>
    <row r="465" spans="43:43">
      <c r="AQ465" s="248"/>
    </row>
    <row r="466" spans="43:43">
      <c r="AQ466" s="248"/>
    </row>
    <row r="467" spans="43:43">
      <c r="AQ467" s="248"/>
    </row>
    <row r="468" spans="43:43">
      <c r="AQ468" s="248"/>
    </row>
    <row r="469" spans="43:43">
      <c r="AQ469" s="248"/>
    </row>
    <row r="470" spans="43:43">
      <c r="AQ470" s="248"/>
    </row>
    <row r="471" spans="43:43">
      <c r="AQ471" s="248"/>
    </row>
    <row r="472" spans="43:43">
      <c r="AQ472" s="248"/>
    </row>
    <row r="473" spans="43:43">
      <c r="AQ473" s="248"/>
    </row>
    <row r="474" spans="43:43">
      <c r="AQ474" s="248"/>
    </row>
    <row r="475" spans="43:43">
      <c r="AQ475" s="248"/>
    </row>
    <row r="476" spans="43:43">
      <c r="AQ476" s="248"/>
    </row>
    <row r="477" spans="43:43">
      <c r="AQ477" s="248"/>
    </row>
    <row r="478" spans="43:43">
      <c r="AQ478" s="248"/>
    </row>
    <row r="479" spans="43:43">
      <c r="AQ479" s="248"/>
    </row>
    <row r="480" spans="43:43">
      <c r="AQ480" s="248"/>
    </row>
    <row r="481" spans="43:43">
      <c r="AQ481" s="248"/>
    </row>
    <row r="482" spans="43:43">
      <c r="AQ482" s="248"/>
    </row>
    <row r="483" spans="43:43">
      <c r="AQ483" s="248"/>
    </row>
    <row r="484" spans="43:43">
      <c r="AQ484" s="268"/>
    </row>
    <row r="485" spans="43:43">
      <c r="AQ485" s="248"/>
    </row>
    <row r="486" spans="43:43">
      <c r="AQ486" s="248"/>
    </row>
    <row r="487" spans="43:43">
      <c r="AQ487" s="248"/>
    </row>
    <row r="488" spans="43:43">
      <c r="AQ488" s="248"/>
    </row>
    <row r="489" spans="43:43">
      <c r="AQ489" s="248"/>
    </row>
    <row r="490" spans="43:43">
      <c r="AQ490" s="248"/>
    </row>
    <row r="491" spans="43:43">
      <c r="AQ491" s="248"/>
    </row>
    <row r="492" spans="43:43">
      <c r="AQ492" s="248"/>
    </row>
    <row r="493" spans="43:43">
      <c r="AQ493" s="248"/>
    </row>
    <row r="494" spans="43:43">
      <c r="AQ494" s="248"/>
    </row>
    <row r="495" spans="43:43">
      <c r="AQ495" s="248"/>
    </row>
    <row r="496" spans="43:43">
      <c r="AQ496" s="248"/>
    </row>
    <row r="497" spans="43:43">
      <c r="AQ497" s="248"/>
    </row>
    <row r="498" spans="43:43">
      <c r="AQ498" s="248"/>
    </row>
    <row r="499" spans="43:43">
      <c r="AQ499" s="248"/>
    </row>
    <row r="500" spans="43:43">
      <c r="AQ500" s="248"/>
    </row>
    <row r="501" spans="43:43">
      <c r="AQ501" s="248"/>
    </row>
    <row r="502" spans="43:43">
      <c r="AQ502" s="248"/>
    </row>
    <row r="503" spans="43:43">
      <c r="AQ503" s="248"/>
    </row>
    <row r="504" spans="43:43">
      <c r="AQ504" s="248"/>
    </row>
    <row r="505" spans="43:43">
      <c r="AQ505" s="248"/>
    </row>
    <row r="506" spans="43:43">
      <c r="AQ506" s="248"/>
    </row>
    <row r="507" spans="43:43">
      <c r="AQ507" s="248"/>
    </row>
    <row r="508" spans="43:43">
      <c r="AQ508" s="248"/>
    </row>
    <row r="509" spans="43:43">
      <c r="AQ509" s="248"/>
    </row>
    <row r="510" spans="43:43">
      <c r="AQ510" s="248"/>
    </row>
    <row r="511" spans="43:43">
      <c r="AQ511" s="248"/>
    </row>
    <row r="512" spans="43:43">
      <c r="AQ512" s="248"/>
    </row>
    <row r="513" spans="43:43">
      <c r="AQ513" s="248"/>
    </row>
    <row r="514" spans="43:43">
      <c r="AQ514" s="248"/>
    </row>
    <row r="515" spans="43:43">
      <c r="AQ515" s="248"/>
    </row>
    <row r="516" spans="43:43">
      <c r="AQ516" s="268"/>
    </row>
    <row r="517" spans="43:43">
      <c r="AQ517" s="248"/>
    </row>
    <row r="518" spans="43:43">
      <c r="AQ518" s="268"/>
    </row>
    <row r="519" spans="43:43">
      <c r="AQ519" s="248"/>
    </row>
    <row r="520" spans="43:43">
      <c r="AQ520" s="248"/>
    </row>
    <row r="521" spans="43:43">
      <c r="AQ521" s="248"/>
    </row>
    <row r="522" spans="43:43">
      <c r="AQ522" s="248"/>
    </row>
    <row r="523" spans="43:43">
      <c r="AQ523" s="248"/>
    </row>
    <row r="524" spans="43:43">
      <c r="AQ524" s="248"/>
    </row>
    <row r="525" spans="43:43">
      <c r="AQ525" s="248"/>
    </row>
    <row r="526" spans="43:43">
      <c r="AQ526" s="248"/>
    </row>
    <row r="527" spans="43:43">
      <c r="AQ527" s="248"/>
    </row>
    <row r="528" spans="43:43">
      <c r="AQ528" s="248"/>
    </row>
    <row r="529" spans="43:43">
      <c r="AQ529" s="248"/>
    </row>
    <row r="530" spans="43:43">
      <c r="AQ530" s="248"/>
    </row>
    <row r="531" spans="43:43">
      <c r="AQ531" s="248"/>
    </row>
    <row r="532" spans="43:43">
      <c r="AQ532" s="248"/>
    </row>
    <row r="533" spans="43:43">
      <c r="AQ533" s="248"/>
    </row>
    <row r="534" spans="43:43">
      <c r="AQ534" s="248"/>
    </row>
    <row r="535" spans="43:43">
      <c r="AQ535" s="248"/>
    </row>
    <row r="536" spans="43:43">
      <c r="AQ536" s="248"/>
    </row>
    <row r="537" spans="43:43">
      <c r="AQ537" s="248"/>
    </row>
    <row r="538" spans="43:43">
      <c r="AQ538" s="248"/>
    </row>
    <row r="539" spans="43:43">
      <c r="AQ539" s="248"/>
    </row>
    <row r="540" spans="43:43">
      <c r="AQ540" s="248"/>
    </row>
    <row r="541" spans="43:43">
      <c r="AQ541" s="248"/>
    </row>
    <row r="542" spans="43:43">
      <c r="AQ542" s="248"/>
    </row>
    <row r="543" spans="43:43">
      <c r="AQ543" s="248"/>
    </row>
    <row r="544" spans="43:43">
      <c r="AQ544" s="248"/>
    </row>
    <row r="545" spans="43:43">
      <c r="AQ545" s="248"/>
    </row>
    <row r="546" spans="43:43">
      <c r="AQ546" s="248"/>
    </row>
    <row r="547" spans="43:43">
      <c r="AQ547" s="248"/>
    </row>
    <row r="548" spans="43:43">
      <c r="AQ548" s="248"/>
    </row>
    <row r="549" spans="43:43">
      <c r="AQ549" s="248"/>
    </row>
    <row r="550" spans="43:43">
      <c r="AQ550" s="248"/>
    </row>
    <row r="551" spans="43:43">
      <c r="AQ551" s="248"/>
    </row>
    <row r="552" spans="43:43">
      <c r="AQ552" s="248"/>
    </row>
    <row r="553" spans="43:43">
      <c r="AQ553" s="248"/>
    </row>
    <row r="554" spans="43:43">
      <c r="AQ554" s="248"/>
    </row>
    <row r="555" spans="43:43">
      <c r="AQ555" s="248"/>
    </row>
    <row r="556" spans="43:43">
      <c r="AQ556" s="248"/>
    </row>
    <row r="557" spans="43:43">
      <c r="AQ557" s="248"/>
    </row>
    <row r="558" spans="43:43">
      <c r="AQ558" s="248"/>
    </row>
    <row r="559" spans="43:43">
      <c r="AQ559" s="248"/>
    </row>
    <row r="560" spans="43:43">
      <c r="AQ560" s="248"/>
    </row>
    <row r="561" spans="43:43">
      <c r="AQ561" s="248"/>
    </row>
    <row r="562" spans="43:43">
      <c r="AQ562" s="248"/>
    </row>
    <row r="563" spans="43:43">
      <c r="AQ563" s="248"/>
    </row>
    <row r="564" spans="43:43">
      <c r="AQ564" s="248"/>
    </row>
    <row r="565" spans="43:43">
      <c r="AQ565" s="248"/>
    </row>
    <row r="566" spans="43:43">
      <c r="AQ566" s="248"/>
    </row>
    <row r="567" spans="43:43">
      <c r="AQ567" s="248"/>
    </row>
    <row r="568" spans="43:43">
      <c r="AQ568" s="248"/>
    </row>
    <row r="569" spans="43:43">
      <c r="AQ569" s="248"/>
    </row>
    <row r="570" spans="43:43">
      <c r="AQ570" s="248"/>
    </row>
    <row r="571" spans="43:43">
      <c r="AQ571" s="248"/>
    </row>
    <row r="572" spans="43:43">
      <c r="AQ572" s="248"/>
    </row>
    <row r="573" spans="43:43">
      <c r="AQ573" s="248"/>
    </row>
    <row r="574" spans="43:43">
      <c r="AQ574" s="248"/>
    </row>
    <row r="575" spans="43:43">
      <c r="AQ575" s="248"/>
    </row>
    <row r="576" spans="43:43">
      <c r="AQ576" s="248"/>
    </row>
    <row r="577" spans="43:43">
      <c r="AQ577" s="248"/>
    </row>
    <row r="578" spans="43:43">
      <c r="AQ578" s="248"/>
    </row>
    <row r="579" spans="43:43">
      <c r="AQ579" s="248"/>
    </row>
    <row r="580" spans="43:43">
      <c r="AQ580" s="248"/>
    </row>
    <row r="581" spans="43:43">
      <c r="AQ581" s="248"/>
    </row>
    <row r="582" spans="43:43">
      <c r="AQ582" s="248"/>
    </row>
    <row r="583" spans="43:43">
      <c r="AQ583" s="248"/>
    </row>
    <row r="584" spans="43:43">
      <c r="AQ584" s="248"/>
    </row>
    <row r="585" spans="43:43">
      <c r="AQ585" s="248"/>
    </row>
    <row r="586" spans="43:43">
      <c r="AQ586" s="248"/>
    </row>
    <row r="587" spans="43:43">
      <c r="AQ587" s="248"/>
    </row>
    <row r="588" spans="43:43">
      <c r="AQ588" s="248"/>
    </row>
    <row r="589" spans="43:43">
      <c r="AQ589" s="248"/>
    </row>
    <row r="590" spans="43:43">
      <c r="AQ590" s="248"/>
    </row>
    <row r="591" spans="43:43">
      <c r="AQ591" s="248"/>
    </row>
    <row r="592" spans="43:43">
      <c r="AQ592" s="248"/>
    </row>
    <row r="593" spans="43:43">
      <c r="AQ593" s="248"/>
    </row>
    <row r="594" spans="43:43">
      <c r="AQ594" s="248"/>
    </row>
    <row r="595" spans="43:43">
      <c r="AQ595" s="248"/>
    </row>
    <row r="596" spans="43:43">
      <c r="AQ596" s="248"/>
    </row>
    <row r="597" spans="43:43">
      <c r="AQ597" s="248"/>
    </row>
    <row r="598" spans="43:43">
      <c r="AQ598" s="248"/>
    </row>
    <row r="599" spans="43:43">
      <c r="AQ599" s="248"/>
    </row>
    <row r="600" spans="43:43">
      <c r="AQ600" s="248"/>
    </row>
    <row r="601" spans="43:43">
      <c r="AQ601" s="248"/>
    </row>
    <row r="602" spans="43:43">
      <c r="AQ602" s="248"/>
    </row>
    <row r="603" spans="43:43">
      <c r="AQ603" s="248"/>
    </row>
    <row r="604" spans="43:43">
      <c r="AQ604" s="248"/>
    </row>
    <row r="605" spans="43:43">
      <c r="AQ605" s="248"/>
    </row>
    <row r="606" spans="43:43">
      <c r="AQ606" s="248"/>
    </row>
    <row r="607" spans="43:43">
      <c r="AQ607" s="248"/>
    </row>
    <row r="608" spans="43:43">
      <c r="AQ608" s="248"/>
    </row>
    <row r="609" spans="43:43">
      <c r="AQ609" s="248"/>
    </row>
    <row r="610" spans="43:43">
      <c r="AQ610" s="248"/>
    </row>
    <row r="611" spans="43:43">
      <c r="AQ611" s="248"/>
    </row>
    <row r="612" spans="43:43">
      <c r="AQ612" s="248"/>
    </row>
    <row r="613" spans="43:43">
      <c r="AQ613" s="248"/>
    </row>
    <row r="614" spans="43:43">
      <c r="AQ614" s="248"/>
    </row>
    <row r="615" spans="43:43">
      <c r="AQ615" s="248"/>
    </row>
    <row r="616" spans="43:43">
      <c r="AQ616" s="248"/>
    </row>
    <row r="617" spans="43:43">
      <c r="AQ617" s="248"/>
    </row>
    <row r="618" spans="43:43">
      <c r="AQ618" s="248"/>
    </row>
    <row r="619" spans="43:43">
      <c r="AQ619" s="248"/>
    </row>
    <row r="620" spans="43:43">
      <c r="AQ620" s="248"/>
    </row>
    <row r="621" spans="43:43">
      <c r="AQ621" s="248"/>
    </row>
    <row r="622" spans="43:43">
      <c r="AQ622" s="248"/>
    </row>
    <row r="623" spans="43:43">
      <c r="AQ623" s="248"/>
    </row>
    <row r="624" spans="43:43">
      <c r="AQ624" s="248"/>
    </row>
    <row r="625" spans="43:43">
      <c r="AQ625" s="248"/>
    </row>
    <row r="626" spans="43:43">
      <c r="AQ626" s="248"/>
    </row>
    <row r="627" spans="43:43">
      <c r="AQ627" s="248"/>
    </row>
    <row r="628" spans="43:43">
      <c r="AQ628" s="248"/>
    </row>
    <row r="629" spans="43:43">
      <c r="AQ629" s="248"/>
    </row>
    <row r="630" spans="43:43">
      <c r="AQ630" s="248"/>
    </row>
    <row r="631" spans="43:43">
      <c r="AQ631" s="248"/>
    </row>
    <row r="632" spans="43:43">
      <c r="AQ632" s="248"/>
    </row>
    <row r="633" spans="43:43">
      <c r="AQ633" s="248"/>
    </row>
    <row r="634" spans="43:43">
      <c r="AQ634" s="248"/>
    </row>
    <row r="635" spans="43:43">
      <c r="AQ635" s="248"/>
    </row>
    <row r="636" spans="43:43">
      <c r="AQ636" s="248"/>
    </row>
    <row r="637" spans="43:43">
      <c r="AQ637" s="248"/>
    </row>
    <row r="638" spans="43:43">
      <c r="AQ638" s="248"/>
    </row>
    <row r="639" spans="43:43">
      <c r="AQ639" s="268"/>
    </row>
    <row r="640" spans="43:43">
      <c r="AQ640" s="248"/>
    </row>
    <row r="641" spans="43:43">
      <c r="AQ641" s="248"/>
    </row>
    <row r="642" spans="43:43">
      <c r="AQ642" s="248"/>
    </row>
    <row r="643" spans="43:43">
      <c r="AQ643" s="248"/>
    </row>
    <row r="644" spans="43:43">
      <c r="AQ644" s="248"/>
    </row>
    <row r="645" spans="43:43">
      <c r="AQ645" s="248"/>
    </row>
    <row r="646" spans="43:43">
      <c r="AQ646" s="248"/>
    </row>
    <row r="647" spans="43:43">
      <c r="AQ647" s="248"/>
    </row>
    <row r="648" spans="43:43">
      <c r="AQ648" s="248"/>
    </row>
    <row r="649" spans="43:43">
      <c r="AQ649" s="248"/>
    </row>
    <row r="650" spans="43:43">
      <c r="AQ650" s="248"/>
    </row>
    <row r="651" spans="43:43">
      <c r="AQ651" s="248"/>
    </row>
    <row r="652" spans="43:43">
      <c r="AQ652" s="248"/>
    </row>
    <row r="653" spans="43:43">
      <c r="AQ653" s="248"/>
    </row>
    <row r="654" spans="43:43">
      <c r="AQ654" s="248"/>
    </row>
    <row r="655" spans="43:43">
      <c r="AQ655" s="248"/>
    </row>
    <row r="656" spans="43:43">
      <c r="AQ656" s="248"/>
    </row>
    <row r="657" spans="43:43">
      <c r="AQ657" s="248"/>
    </row>
    <row r="658" spans="43:43">
      <c r="AQ658" s="248"/>
    </row>
    <row r="659" spans="43:43">
      <c r="AQ659" s="248"/>
    </row>
    <row r="660" spans="43:43">
      <c r="AQ660" s="248"/>
    </row>
    <row r="661" spans="43:43">
      <c r="AQ661" s="248"/>
    </row>
    <row r="662" spans="43:43">
      <c r="AQ662" s="248"/>
    </row>
    <row r="663" spans="43:43">
      <c r="AQ663" s="248"/>
    </row>
    <row r="664" spans="43:43">
      <c r="AQ664" s="248"/>
    </row>
    <row r="665" spans="43:43">
      <c r="AQ665" s="248"/>
    </row>
    <row r="666" spans="43:43">
      <c r="AQ666" s="248"/>
    </row>
    <row r="667" spans="43:43">
      <c r="AQ667" s="248"/>
    </row>
    <row r="668" spans="43:43">
      <c r="AQ668" s="248"/>
    </row>
    <row r="669" spans="43:43">
      <c r="AQ669" s="248"/>
    </row>
    <row r="670" spans="43:43">
      <c r="AQ670" s="248"/>
    </row>
    <row r="671" spans="43:43">
      <c r="AQ671" s="248"/>
    </row>
    <row r="672" spans="43:43">
      <c r="AQ672" s="248"/>
    </row>
    <row r="673" spans="43:43">
      <c r="AQ673" s="248"/>
    </row>
    <row r="674" spans="43:43">
      <c r="AQ674" s="248"/>
    </row>
    <row r="675" spans="43:43">
      <c r="AQ675" s="248"/>
    </row>
    <row r="676" spans="43:43">
      <c r="AQ676" s="248"/>
    </row>
    <row r="677" spans="43:43">
      <c r="AQ677" s="248"/>
    </row>
    <row r="678" spans="43:43">
      <c r="AQ678" s="248"/>
    </row>
    <row r="679" spans="43:43">
      <c r="AQ679" s="248"/>
    </row>
    <row r="680" spans="43:43">
      <c r="AQ680" s="248"/>
    </row>
    <row r="681" spans="43:43">
      <c r="AQ681" s="248"/>
    </row>
    <row r="682" spans="43:43">
      <c r="AQ682" s="248"/>
    </row>
    <row r="683" spans="43:43">
      <c r="AQ683" s="248"/>
    </row>
    <row r="684" spans="43:43">
      <c r="AQ684" s="248"/>
    </row>
    <row r="685" spans="43:43">
      <c r="AQ685" s="248"/>
    </row>
    <row r="686" spans="43:43">
      <c r="AQ686" s="248"/>
    </row>
    <row r="687" spans="43:43">
      <c r="AQ687" s="248"/>
    </row>
    <row r="688" spans="43:43">
      <c r="AQ688" s="248"/>
    </row>
    <row r="689" spans="43:43">
      <c r="AQ689" s="248"/>
    </row>
    <row r="690" spans="43:43">
      <c r="AQ690" s="248"/>
    </row>
    <row r="691" spans="43:43">
      <c r="AQ691" s="248"/>
    </row>
    <row r="692" spans="43:43">
      <c r="AQ692" s="248"/>
    </row>
    <row r="693" spans="43:43">
      <c r="AQ693" s="248"/>
    </row>
    <row r="694" spans="43:43">
      <c r="AQ694" s="248"/>
    </row>
    <row r="695" spans="43:43">
      <c r="AQ695" s="248"/>
    </row>
    <row r="696" spans="43:43">
      <c r="AQ696" s="248"/>
    </row>
    <row r="697" spans="43:43">
      <c r="AQ697" s="248"/>
    </row>
    <row r="698" spans="43:43">
      <c r="AQ698" s="248"/>
    </row>
    <row r="699" spans="43:43">
      <c r="AQ699" s="248"/>
    </row>
    <row r="700" spans="43:43">
      <c r="AQ700" s="248"/>
    </row>
    <row r="701" spans="43:43">
      <c r="AQ701" s="248"/>
    </row>
    <row r="702" spans="43:43">
      <c r="AQ702" s="248"/>
    </row>
    <row r="703" spans="43:43">
      <c r="AQ703" s="248"/>
    </row>
    <row r="704" spans="43:43">
      <c r="AQ704" s="248"/>
    </row>
    <row r="705" spans="43:43">
      <c r="AQ705" s="248"/>
    </row>
    <row r="706" spans="43:43">
      <c r="AQ706" s="248"/>
    </row>
    <row r="707" spans="43:43">
      <c r="AQ707" s="248"/>
    </row>
    <row r="708" spans="43:43">
      <c r="AQ708" s="248"/>
    </row>
    <row r="709" spans="43:43">
      <c r="AQ709" s="248"/>
    </row>
    <row r="710" spans="43:43">
      <c r="AQ710" s="248"/>
    </row>
    <row r="711" spans="43:43">
      <c r="AQ711" s="248"/>
    </row>
    <row r="712" spans="43:43">
      <c r="AQ712" s="248"/>
    </row>
    <row r="713" spans="43:43">
      <c r="AQ713" s="248"/>
    </row>
    <row r="714" spans="43:43">
      <c r="AQ714" s="248"/>
    </row>
    <row r="715" spans="43:43">
      <c r="AQ715" s="248"/>
    </row>
    <row r="716" spans="43:43">
      <c r="AQ716" s="248"/>
    </row>
    <row r="717" spans="43:43">
      <c r="AQ717" s="248"/>
    </row>
    <row r="718" spans="43:43">
      <c r="AQ718" s="248"/>
    </row>
    <row r="719" spans="43:43">
      <c r="AQ719" s="248"/>
    </row>
    <row r="720" spans="43:43">
      <c r="AQ720" s="248"/>
    </row>
    <row r="721" spans="43:43">
      <c r="AQ721" s="248"/>
    </row>
    <row r="722" spans="43:43">
      <c r="AQ722" s="248"/>
    </row>
    <row r="723" spans="43:43">
      <c r="AQ723" s="248"/>
    </row>
    <row r="724" spans="43:43">
      <c r="AQ724" s="248"/>
    </row>
    <row r="725" spans="43:43">
      <c r="AQ725" s="268"/>
    </row>
    <row r="726" spans="43:43">
      <c r="AQ726" s="248"/>
    </row>
    <row r="727" spans="43:43">
      <c r="AQ727" s="248"/>
    </row>
    <row r="728" spans="43:43">
      <c r="AQ728" s="248"/>
    </row>
    <row r="729" spans="43:43">
      <c r="AQ729" s="248"/>
    </row>
    <row r="730" spans="43:43">
      <c r="AQ730" s="248"/>
    </row>
    <row r="731" spans="43:43">
      <c r="AQ731" s="248"/>
    </row>
    <row r="732" spans="43:43">
      <c r="AQ732" s="248"/>
    </row>
    <row r="733" spans="43:43">
      <c r="AQ733" s="248"/>
    </row>
    <row r="734" spans="43:43">
      <c r="AQ734" s="248"/>
    </row>
    <row r="735" spans="43:43">
      <c r="AQ735" s="248"/>
    </row>
    <row r="736" spans="43:43">
      <c r="AQ736" s="248"/>
    </row>
    <row r="737" spans="43:43">
      <c r="AQ737" s="248"/>
    </row>
    <row r="738" spans="43:43">
      <c r="AQ738" s="248"/>
    </row>
    <row r="739" spans="43:43">
      <c r="AQ739" s="248"/>
    </row>
    <row r="740" spans="43:43">
      <c r="AQ740" s="248"/>
    </row>
    <row r="741" spans="43:43">
      <c r="AQ741" s="248"/>
    </row>
    <row r="742" spans="43:43">
      <c r="AQ742" s="248"/>
    </row>
    <row r="743" spans="43:43">
      <c r="AQ743" s="248"/>
    </row>
    <row r="744" spans="43:43">
      <c r="AQ744" s="248"/>
    </row>
    <row r="745" spans="43:43">
      <c r="AQ745" s="248"/>
    </row>
    <row r="746" spans="43:43">
      <c r="AQ746" s="248"/>
    </row>
    <row r="747" spans="43:43">
      <c r="AQ747" s="248"/>
    </row>
    <row r="748" spans="43:43">
      <c r="AQ748" s="248"/>
    </row>
    <row r="749" spans="43:43">
      <c r="AQ749" s="248"/>
    </row>
    <row r="750" spans="43:43">
      <c r="AQ750" s="248"/>
    </row>
    <row r="751" spans="43:43">
      <c r="AQ751" s="248"/>
    </row>
    <row r="752" spans="43:43">
      <c r="AQ752" s="248"/>
    </row>
    <row r="753" spans="43:43">
      <c r="AQ753" s="248"/>
    </row>
    <row r="754" spans="43:43">
      <c r="AQ754" s="248"/>
    </row>
    <row r="755" spans="43:43">
      <c r="AQ755" s="248"/>
    </row>
    <row r="756" spans="43:43">
      <c r="AQ756" s="248"/>
    </row>
    <row r="757" spans="43:43">
      <c r="AQ757" s="248"/>
    </row>
    <row r="758" spans="43:43">
      <c r="AQ758" s="248"/>
    </row>
    <row r="759" spans="43:43">
      <c r="AQ759" s="248"/>
    </row>
    <row r="760" spans="43:43">
      <c r="AQ760" s="248"/>
    </row>
    <row r="761" spans="43:43">
      <c r="AQ761" s="248"/>
    </row>
    <row r="762" spans="43:43">
      <c r="AQ762" s="248"/>
    </row>
    <row r="763" spans="43:43">
      <c r="AQ763" s="248"/>
    </row>
    <row r="764" spans="43:43">
      <c r="AQ764" s="248"/>
    </row>
    <row r="765" spans="43:43">
      <c r="AQ765" s="248"/>
    </row>
    <row r="766" spans="43:43">
      <c r="AQ766" s="248"/>
    </row>
    <row r="767" spans="43:43">
      <c r="AQ767" s="248"/>
    </row>
    <row r="768" spans="43:43">
      <c r="AQ768" s="248"/>
    </row>
    <row r="769" spans="43:43">
      <c r="AQ769" s="248"/>
    </row>
    <row r="770" spans="43:43">
      <c r="AQ770" s="248"/>
    </row>
    <row r="771" spans="43:43">
      <c r="AQ771" s="248"/>
    </row>
    <row r="772" spans="43:43">
      <c r="AQ772" s="248"/>
    </row>
    <row r="773" spans="43:43">
      <c r="AQ773" s="248"/>
    </row>
    <row r="774" spans="43:43">
      <c r="AQ774" s="248"/>
    </row>
    <row r="775" spans="43:43">
      <c r="AQ775" s="248"/>
    </row>
    <row r="776" spans="43:43">
      <c r="AQ776" s="248"/>
    </row>
    <row r="777" spans="43:43">
      <c r="AQ777" s="248"/>
    </row>
    <row r="778" spans="43:43">
      <c r="AQ778" s="248"/>
    </row>
    <row r="779" spans="43:43">
      <c r="AQ779" s="248"/>
    </row>
    <row r="780" spans="43:43">
      <c r="AQ780" s="248"/>
    </row>
    <row r="781" spans="43:43">
      <c r="AQ781" s="248"/>
    </row>
    <row r="782" spans="43:43">
      <c r="AQ782" s="248"/>
    </row>
    <row r="783" spans="43:43">
      <c r="AQ783" s="248"/>
    </row>
    <row r="784" spans="43:43">
      <c r="AQ784" s="248"/>
    </row>
    <row r="785" spans="43:43">
      <c r="AQ785" s="248"/>
    </row>
    <row r="786" spans="43:43">
      <c r="AQ786" s="248"/>
    </row>
    <row r="787" spans="43:43">
      <c r="AQ787" s="248"/>
    </row>
    <row r="788" spans="43:43">
      <c r="AQ788" s="248"/>
    </row>
    <row r="789" spans="43:43">
      <c r="AQ789" s="248"/>
    </row>
    <row r="790" spans="43:43">
      <c r="AQ790" s="248"/>
    </row>
    <row r="791" spans="43:43">
      <c r="AQ791" s="248"/>
    </row>
    <row r="792" spans="43:43">
      <c r="AQ792" s="248"/>
    </row>
    <row r="793" spans="43:43">
      <c r="AQ793" s="248"/>
    </row>
    <row r="794" spans="43:43">
      <c r="AQ794" s="248"/>
    </row>
    <row r="795" spans="43:43">
      <c r="AQ795" s="248"/>
    </row>
    <row r="796" spans="43:43">
      <c r="AQ796" s="248"/>
    </row>
    <row r="797" spans="43:43">
      <c r="AQ797" s="248"/>
    </row>
    <row r="798" spans="43:43">
      <c r="AQ798" s="248"/>
    </row>
    <row r="799" spans="43:43">
      <c r="AQ799" s="248"/>
    </row>
    <row r="800" spans="43:43">
      <c r="AQ800" s="248"/>
    </row>
    <row r="801" spans="43:43">
      <c r="AQ801" s="248"/>
    </row>
    <row r="802" spans="43:43">
      <c r="AQ802" s="248"/>
    </row>
    <row r="803" spans="43:43">
      <c r="AQ803" s="248"/>
    </row>
    <row r="804" spans="43:43">
      <c r="AQ804" s="248"/>
    </row>
    <row r="805" spans="43:43">
      <c r="AQ805" s="248"/>
    </row>
    <row r="806" spans="43:43">
      <c r="AQ806" s="248"/>
    </row>
    <row r="807" spans="43:43">
      <c r="AQ807" s="248"/>
    </row>
    <row r="808" spans="43:43">
      <c r="AQ808" s="248"/>
    </row>
    <row r="809" spans="43:43">
      <c r="AQ809" s="248"/>
    </row>
    <row r="810" spans="43:43">
      <c r="AQ810" s="248"/>
    </row>
    <row r="811" spans="43:43">
      <c r="AQ811" s="248"/>
    </row>
    <row r="812" spans="43:43">
      <c r="AQ812" s="248"/>
    </row>
    <row r="813" spans="43:43">
      <c r="AQ813" s="268"/>
    </row>
    <row r="814" spans="43:43">
      <c r="AQ814" s="248"/>
    </row>
    <row r="815" spans="43:43">
      <c r="AQ815" s="248"/>
    </row>
    <row r="816" spans="43:43">
      <c r="AQ816" s="248"/>
    </row>
    <row r="817" spans="43:43">
      <c r="AQ817" s="248"/>
    </row>
    <row r="818" spans="43:43">
      <c r="AQ818" s="248"/>
    </row>
    <row r="819" spans="43:43">
      <c r="AQ819" s="248"/>
    </row>
    <row r="820" spans="43:43">
      <c r="AQ820" s="248"/>
    </row>
    <row r="821" spans="43:43">
      <c r="AQ821" s="248"/>
    </row>
    <row r="822" spans="43:43">
      <c r="AQ822" s="248"/>
    </row>
    <row r="823" spans="43:43">
      <c r="AQ823" s="248"/>
    </row>
    <row r="824" spans="43:43">
      <c r="AQ824" s="248"/>
    </row>
    <row r="825" spans="43:43">
      <c r="AQ825" s="248"/>
    </row>
    <row r="826" spans="43:43">
      <c r="AQ826" s="248"/>
    </row>
    <row r="827" spans="43:43">
      <c r="AQ827" s="248"/>
    </row>
    <row r="828" spans="43:43">
      <c r="AQ828" s="248"/>
    </row>
    <row r="829" spans="43:43">
      <c r="AQ829" s="248"/>
    </row>
    <row r="830" spans="43:43">
      <c r="AQ830" s="248"/>
    </row>
    <row r="831" spans="43:43">
      <c r="AQ831" s="248"/>
    </row>
    <row r="832" spans="43:43">
      <c r="AQ832" s="248"/>
    </row>
    <row r="833" spans="43:43">
      <c r="AQ833" s="268"/>
    </row>
    <row r="834" spans="43:43">
      <c r="AQ834" s="248"/>
    </row>
    <row r="835" spans="43:43">
      <c r="AQ835" s="248"/>
    </row>
    <row r="836" spans="43:43">
      <c r="AQ836" s="248"/>
    </row>
    <row r="837" spans="43:43">
      <c r="AQ837" s="248"/>
    </row>
    <row r="838" spans="43:43">
      <c r="AQ838" s="248"/>
    </row>
    <row r="839" spans="43:43">
      <c r="AQ839" s="248"/>
    </row>
    <row r="840" spans="43:43">
      <c r="AQ840" s="248"/>
    </row>
    <row r="841" spans="43:43">
      <c r="AQ841" s="248"/>
    </row>
    <row r="842" spans="43:43">
      <c r="AQ842" s="248"/>
    </row>
    <row r="843" spans="43:43">
      <c r="AQ843" s="248"/>
    </row>
    <row r="844" spans="43:43">
      <c r="AQ844" s="248"/>
    </row>
    <row r="845" spans="43:43">
      <c r="AQ845" s="248"/>
    </row>
    <row r="846" spans="43:43">
      <c r="AQ846" s="248"/>
    </row>
    <row r="847" spans="43:43">
      <c r="AQ847" s="248"/>
    </row>
    <row r="848" spans="43:43">
      <c r="AQ848" s="248"/>
    </row>
    <row r="849" spans="43:43">
      <c r="AQ849" s="248"/>
    </row>
    <row r="850" spans="43:43">
      <c r="AQ850" s="248"/>
    </row>
    <row r="851" spans="43:43">
      <c r="AQ851" s="248"/>
    </row>
    <row r="852" spans="43:43">
      <c r="AQ852" s="248"/>
    </row>
    <row r="853" spans="43:43">
      <c r="AQ853" s="248"/>
    </row>
    <row r="854" spans="43:43">
      <c r="AQ854" s="248"/>
    </row>
    <row r="855" spans="43:43">
      <c r="AQ855" s="248"/>
    </row>
    <row r="856" spans="43:43">
      <c r="AQ856" s="248"/>
    </row>
    <row r="857" spans="43:43">
      <c r="AQ857" s="248"/>
    </row>
    <row r="858" spans="43:43">
      <c r="AQ858" s="248"/>
    </row>
    <row r="859" spans="43:43">
      <c r="AQ859" s="248"/>
    </row>
    <row r="860" spans="43:43">
      <c r="AQ860" s="248"/>
    </row>
    <row r="861" spans="43:43">
      <c r="AQ861" s="248"/>
    </row>
    <row r="862" spans="43:43">
      <c r="AQ862" s="248"/>
    </row>
    <row r="863" spans="43:43">
      <c r="AQ863" s="248"/>
    </row>
    <row r="864" spans="43:43">
      <c r="AQ864" s="248"/>
    </row>
    <row r="865" spans="43:43">
      <c r="AQ865" s="248"/>
    </row>
    <row r="866" spans="43:43">
      <c r="AQ866" s="248"/>
    </row>
    <row r="867" spans="43:43">
      <c r="AQ867" s="248"/>
    </row>
    <row r="868" spans="43:43">
      <c r="AQ868" s="248"/>
    </row>
    <row r="869" spans="43:43">
      <c r="AQ869" s="248"/>
    </row>
    <row r="870" spans="43:43">
      <c r="AQ870" s="248"/>
    </row>
    <row r="871" spans="43:43">
      <c r="AQ871" s="248"/>
    </row>
    <row r="872" spans="43:43">
      <c r="AQ872" s="248"/>
    </row>
    <row r="873" spans="43:43">
      <c r="AQ873" s="248"/>
    </row>
    <row r="874" spans="43:43">
      <c r="AQ874" s="248"/>
    </row>
    <row r="875" spans="43:43">
      <c r="AQ875" s="248"/>
    </row>
    <row r="876" spans="43:43">
      <c r="AQ876" s="248"/>
    </row>
    <row r="877" spans="43:43">
      <c r="AQ877" s="248"/>
    </row>
    <row r="878" spans="43:43">
      <c r="AQ878" s="248"/>
    </row>
    <row r="879" spans="43:43">
      <c r="AQ879" s="248"/>
    </row>
    <row r="880" spans="43:43">
      <c r="AQ880" s="248"/>
    </row>
    <row r="881" spans="43:43">
      <c r="AQ881" s="248"/>
    </row>
    <row r="882" spans="43:43">
      <c r="AQ882" s="248"/>
    </row>
    <row r="883" spans="43:43">
      <c r="AQ883" s="248"/>
    </row>
    <row r="884" spans="43:43">
      <c r="AQ884" s="248"/>
    </row>
    <row r="885" spans="43:43">
      <c r="AQ885" s="248"/>
    </row>
    <row r="886" spans="43:43">
      <c r="AQ886" s="248"/>
    </row>
    <row r="887" spans="43:43">
      <c r="AQ887" s="248"/>
    </row>
    <row r="888" spans="43:43">
      <c r="AQ888" s="248"/>
    </row>
    <row r="889" spans="43:43">
      <c r="AQ889" s="248"/>
    </row>
    <row r="890" spans="43:43">
      <c r="AQ890" s="248"/>
    </row>
    <row r="891" spans="43:43">
      <c r="AQ891" s="248"/>
    </row>
    <row r="892" spans="43:43">
      <c r="AQ892" s="248"/>
    </row>
    <row r="893" spans="43:43">
      <c r="AQ893" s="248"/>
    </row>
    <row r="894" spans="43:43">
      <c r="AQ894" s="248"/>
    </row>
    <row r="895" spans="43:43">
      <c r="AQ895" s="248"/>
    </row>
    <row r="896" spans="43:43">
      <c r="AQ896" s="248"/>
    </row>
    <row r="897" spans="43:43">
      <c r="AQ897" s="248"/>
    </row>
    <row r="898" spans="43:43">
      <c r="AQ898" s="248"/>
    </row>
    <row r="899" spans="43:43">
      <c r="AQ899" s="248"/>
    </row>
    <row r="900" spans="43:43">
      <c r="AQ900" s="248"/>
    </row>
    <row r="901" spans="43:43">
      <c r="AQ901" s="248"/>
    </row>
    <row r="902" spans="43:43">
      <c r="AQ902" s="248"/>
    </row>
    <row r="903" spans="43:43">
      <c r="AQ903" s="248"/>
    </row>
    <row r="904" spans="43:43">
      <c r="AQ904" s="248"/>
    </row>
    <row r="905" spans="43:43">
      <c r="AQ905" s="248"/>
    </row>
    <row r="906" spans="43:43">
      <c r="AQ906" s="248"/>
    </row>
    <row r="907" spans="43:43">
      <c r="AQ907" s="248"/>
    </row>
    <row r="908" spans="43:43">
      <c r="AQ908" s="248"/>
    </row>
    <row r="909" spans="43:43">
      <c r="AQ909" s="248"/>
    </row>
    <row r="910" spans="43:43">
      <c r="AQ910" s="248"/>
    </row>
    <row r="911" spans="43:43">
      <c r="AQ911" s="248"/>
    </row>
    <row r="912" spans="43:43">
      <c r="AQ912" s="248"/>
    </row>
    <row r="913" spans="43:43">
      <c r="AQ913" s="248"/>
    </row>
    <row r="914" spans="43:43">
      <c r="AQ914" s="248"/>
    </row>
    <row r="915" spans="43:43">
      <c r="AQ915" s="248"/>
    </row>
    <row r="916" spans="43:43">
      <c r="AQ916" s="248"/>
    </row>
    <row r="917" spans="43:43">
      <c r="AQ917" s="248"/>
    </row>
    <row r="918" spans="43:43">
      <c r="AQ918" s="248"/>
    </row>
    <row r="919" spans="43:43">
      <c r="AQ919" s="248"/>
    </row>
    <row r="920" spans="43:43">
      <c r="AQ920" s="248"/>
    </row>
    <row r="921" spans="43:43">
      <c r="AQ921" s="248"/>
    </row>
    <row r="922" spans="43:43">
      <c r="AQ922" s="248"/>
    </row>
    <row r="923" spans="43:43">
      <c r="AQ923" s="248"/>
    </row>
    <row r="924" spans="43:43">
      <c r="AQ924" s="248"/>
    </row>
    <row r="925" spans="43:43">
      <c r="AQ925" s="248"/>
    </row>
    <row r="926" spans="43:43">
      <c r="AQ926" s="248"/>
    </row>
    <row r="927" spans="43:43">
      <c r="AQ927" s="248"/>
    </row>
    <row r="928" spans="43:43">
      <c r="AQ928" s="248"/>
    </row>
    <row r="929" spans="43:43">
      <c r="AQ929" s="248"/>
    </row>
    <row r="930" spans="43:43">
      <c r="AQ930" s="248"/>
    </row>
    <row r="931" spans="43:43">
      <c r="AQ931" s="248"/>
    </row>
    <row r="932" spans="43:43">
      <c r="AQ932" s="248"/>
    </row>
    <row r="933" spans="43:43">
      <c r="AQ933" s="248"/>
    </row>
    <row r="934" spans="43:43">
      <c r="AQ934" s="248"/>
    </row>
    <row r="935" spans="43:43">
      <c r="AQ935" s="248"/>
    </row>
    <row r="936" spans="43:43">
      <c r="AQ936" s="268"/>
    </row>
    <row r="937" spans="43:43">
      <c r="AQ937" s="248"/>
    </row>
    <row r="938" spans="43:43">
      <c r="AQ938" s="248"/>
    </row>
    <row r="939" spans="43:43">
      <c r="AQ939" s="248"/>
    </row>
    <row r="940" spans="43:43">
      <c r="AQ940" s="248"/>
    </row>
    <row r="941" spans="43:43">
      <c r="AQ941" s="248"/>
    </row>
    <row r="942" spans="43:43">
      <c r="AQ942" s="248"/>
    </row>
    <row r="943" spans="43:43">
      <c r="AQ943" s="248"/>
    </row>
    <row r="944" spans="43:43">
      <c r="AQ944" s="248"/>
    </row>
    <row r="945" spans="43:43">
      <c r="AQ945" s="248"/>
    </row>
    <row r="946" spans="43:43">
      <c r="AQ946" s="268"/>
    </row>
    <row r="947" spans="43:43">
      <c r="AQ947" s="248"/>
    </row>
    <row r="948" spans="43:43">
      <c r="AQ948" s="248"/>
    </row>
    <row r="949" spans="43:43">
      <c r="AQ949" s="248"/>
    </row>
    <row r="950" spans="43:43">
      <c r="AQ950" s="248"/>
    </row>
    <row r="951" spans="43:43">
      <c r="AQ951" s="248"/>
    </row>
    <row r="952" spans="43:43">
      <c r="AQ952" s="248"/>
    </row>
    <row r="953" spans="43:43">
      <c r="AQ953" s="248"/>
    </row>
    <row r="954" spans="43:43">
      <c r="AQ954" s="248"/>
    </row>
    <row r="955" spans="43:43">
      <c r="AQ955" s="248"/>
    </row>
    <row r="956" spans="43:43">
      <c r="AQ956" s="248"/>
    </row>
    <row r="957" spans="43:43">
      <c r="AQ957" s="248"/>
    </row>
    <row r="958" spans="43:43">
      <c r="AQ958" s="248"/>
    </row>
    <row r="959" spans="43:43">
      <c r="AQ959" s="248"/>
    </row>
    <row r="960" spans="43:43">
      <c r="AQ960" s="248"/>
    </row>
    <row r="961" spans="43:43">
      <c r="AQ961" s="268"/>
    </row>
    <row r="962" spans="43:43">
      <c r="AQ962" s="248"/>
    </row>
    <row r="963" spans="43:43">
      <c r="AQ963" s="248"/>
    </row>
    <row r="964" spans="43:43">
      <c r="AQ964" s="248"/>
    </row>
    <row r="965" spans="43:43">
      <c r="AQ965" s="248"/>
    </row>
    <row r="966" spans="43:43">
      <c r="AQ966" s="248"/>
    </row>
    <row r="967" spans="43:43">
      <c r="AQ967" s="248"/>
    </row>
    <row r="968" spans="43:43">
      <c r="AQ968" s="248"/>
    </row>
    <row r="969" spans="43:43">
      <c r="AQ969" s="248"/>
    </row>
    <row r="970" spans="43:43">
      <c r="AQ970" s="248"/>
    </row>
    <row r="971" spans="43:43">
      <c r="AQ971" s="248"/>
    </row>
    <row r="972" spans="43:43">
      <c r="AQ972" s="248"/>
    </row>
    <row r="973" spans="43:43">
      <c r="AQ973" s="248"/>
    </row>
    <row r="974" spans="43:43">
      <c r="AQ974" s="248"/>
    </row>
    <row r="975" spans="43:43">
      <c r="AQ975" s="248"/>
    </row>
    <row r="976" spans="43:43">
      <c r="AQ976" s="248"/>
    </row>
    <row r="977" spans="43:43">
      <c r="AQ977" s="248"/>
    </row>
    <row r="978" spans="43:43">
      <c r="AQ978" s="248"/>
    </row>
    <row r="979" spans="43:43">
      <c r="AQ979" s="248"/>
    </row>
    <row r="980" spans="43:43">
      <c r="AQ980" s="248"/>
    </row>
    <row r="981" spans="43:43">
      <c r="AQ981" s="248"/>
    </row>
    <row r="982" spans="43:43">
      <c r="AQ982" s="248"/>
    </row>
    <row r="983" spans="43:43">
      <c r="AQ983" s="248"/>
    </row>
    <row r="984" spans="43:43">
      <c r="AQ984" s="248"/>
    </row>
    <row r="985" spans="43:43">
      <c r="AQ985" s="248"/>
    </row>
    <row r="986" spans="43:43">
      <c r="AQ986" s="248"/>
    </row>
    <row r="987" spans="43:43">
      <c r="AQ987" s="248"/>
    </row>
    <row r="988" spans="43:43">
      <c r="AQ988" s="248"/>
    </row>
    <row r="989" spans="43:43">
      <c r="AQ989" s="248"/>
    </row>
    <row r="990" spans="43:43">
      <c r="AQ990" s="248"/>
    </row>
    <row r="991" spans="43:43">
      <c r="AQ991" s="248"/>
    </row>
    <row r="992" spans="43:43">
      <c r="AQ992" s="248"/>
    </row>
    <row r="993" spans="43:43">
      <c r="AQ993" s="248"/>
    </row>
    <row r="994" spans="43:43">
      <c r="AQ994" s="248"/>
    </row>
    <row r="995" spans="43:43">
      <c r="AQ995" s="248"/>
    </row>
    <row r="996" spans="43:43">
      <c r="AQ996" s="248"/>
    </row>
    <row r="997" spans="43:43">
      <c r="AQ997" s="248"/>
    </row>
    <row r="998" spans="43:43">
      <c r="AQ998" s="248"/>
    </row>
    <row r="999" spans="43:43">
      <c r="AQ999" s="248"/>
    </row>
    <row r="1000" spans="43:43">
      <c r="AQ1000" s="248"/>
    </row>
    <row r="1001" spans="43:43">
      <c r="AQ1001" s="248"/>
    </row>
    <row r="1002" spans="43:43">
      <c r="AQ1002" s="248"/>
    </row>
    <row r="1003" spans="43:43">
      <c r="AQ1003" s="248"/>
    </row>
    <row r="1004" spans="43:43">
      <c r="AQ1004" s="248"/>
    </row>
    <row r="1005" spans="43:43">
      <c r="AQ1005" s="248"/>
    </row>
    <row r="1006" spans="43:43">
      <c r="AQ1006" s="248"/>
    </row>
    <row r="1007" spans="43:43">
      <c r="AQ1007" s="248"/>
    </row>
    <row r="1008" spans="43:43">
      <c r="AQ1008" s="248"/>
    </row>
    <row r="1009" spans="43:43">
      <c r="AQ1009" s="248"/>
    </row>
    <row r="1010" spans="43:43">
      <c r="AQ1010" s="248"/>
    </row>
    <row r="1011" spans="43:43">
      <c r="AQ1011" s="248"/>
    </row>
    <row r="1012" spans="43:43">
      <c r="AQ1012" s="248"/>
    </row>
    <row r="1013" spans="43:43">
      <c r="AQ1013" s="248"/>
    </row>
    <row r="1014" spans="43:43">
      <c r="AQ1014" s="248"/>
    </row>
    <row r="1015" spans="43:43">
      <c r="AQ1015" s="268"/>
    </row>
    <row r="1016" spans="43:43">
      <c r="AQ1016" s="248"/>
    </row>
    <row r="1017" spans="43:43">
      <c r="AQ1017" s="248"/>
    </row>
    <row r="1018" spans="43:43">
      <c r="AQ1018" s="248"/>
    </row>
    <row r="1019" spans="43:43">
      <c r="AQ1019" s="248"/>
    </row>
    <row r="1020" spans="43:43">
      <c r="AQ1020" s="248"/>
    </row>
    <row r="1021" spans="43:43">
      <c r="AQ1021" s="248"/>
    </row>
    <row r="1022" spans="43:43">
      <c r="AQ1022" s="248"/>
    </row>
    <row r="1023" spans="43:43">
      <c r="AQ1023" s="248"/>
    </row>
    <row r="1024" spans="43:43">
      <c r="AQ1024" s="248"/>
    </row>
    <row r="1025" spans="43:43">
      <c r="AQ1025" s="248"/>
    </row>
    <row r="1026" spans="43:43">
      <c r="AQ1026" s="248"/>
    </row>
    <row r="1027" spans="43:43">
      <c r="AQ1027" s="248"/>
    </row>
    <row r="1028" spans="43:43">
      <c r="AQ1028" s="248"/>
    </row>
    <row r="1029" spans="43:43">
      <c r="AQ1029" s="248"/>
    </row>
    <row r="1030" spans="43:43">
      <c r="AQ1030" s="248"/>
    </row>
    <row r="1031" spans="43:43">
      <c r="AQ1031" s="248"/>
    </row>
    <row r="1032" spans="43:43">
      <c r="AQ1032" s="248"/>
    </row>
    <row r="1033" spans="43:43">
      <c r="AQ1033" s="248"/>
    </row>
    <row r="1034" spans="43:43">
      <c r="AQ1034" s="248"/>
    </row>
    <row r="1035" spans="43:43">
      <c r="AQ1035" s="248"/>
    </row>
    <row r="1036" spans="43:43">
      <c r="AQ1036" s="248"/>
    </row>
    <row r="1037" spans="43:43">
      <c r="AQ1037" s="248"/>
    </row>
    <row r="1038" spans="43:43">
      <c r="AQ1038" s="248"/>
    </row>
    <row r="1039" spans="43:43">
      <c r="AQ1039" s="248"/>
    </row>
    <row r="1040" spans="43:43">
      <c r="AQ1040" s="248"/>
    </row>
    <row r="1041" spans="43:43">
      <c r="AQ1041" s="248"/>
    </row>
    <row r="1042" spans="43:43">
      <c r="AQ1042" s="248"/>
    </row>
    <row r="1043" spans="43:43">
      <c r="AQ1043" s="248"/>
    </row>
    <row r="1044" spans="43:43">
      <c r="AQ1044" s="248"/>
    </row>
    <row r="1045" spans="43:43">
      <c r="AQ1045" s="248"/>
    </row>
    <row r="1046" spans="43:43">
      <c r="AQ1046" s="248"/>
    </row>
    <row r="1047" spans="43:43">
      <c r="AQ1047" s="248"/>
    </row>
    <row r="1048" spans="43:43">
      <c r="AQ1048" s="248"/>
    </row>
    <row r="1049" spans="43:43">
      <c r="AQ1049" s="248"/>
    </row>
    <row r="1050" spans="43:43">
      <c r="AQ1050" s="248"/>
    </row>
    <row r="1051" spans="43:43">
      <c r="AQ1051" s="248"/>
    </row>
    <row r="1052" spans="43:43">
      <c r="AQ1052" s="268"/>
    </row>
    <row r="1053" spans="43:43">
      <c r="AQ1053" s="248"/>
    </row>
    <row r="1054" spans="43:43">
      <c r="AQ1054" s="248"/>
    </row>
    <row r="1055" spans="43:43">
      <c r="AQ1055" s="248"/>
    </row>
    <row r="1056" spans="43:43">
      <c r="AQ1056" s="248"/>
    </row>
    <row r="1057" spans="43:43">
      <c r="AQ1057" s="248"/>
    </row>
    <row r="1058" spans="43:43">
      <c r="AQ1058" s="268"/>
    </row>
    <row r="1059" spans="43:43">
      <c r="AQ1059" s="248"/>
    </row>
    <row r="1060" spans="43:43">
      <c r="AQ1060" s="248"/>
    </row>
    <row r="1061" spans="43:43">
      <c r="AQ1061" s="248"/>
    </row>
    <row r="1062" spans="43:43">
      <c r="AQ1062" s="248"/>
    </row>
    <row r="1063" spans="43:43">
      <c r="AQ1063" s="248"/>
    </row>
    <row r="1064" spans="43:43">
      <c r="AQ1064" s="248"/>
    </row>
    <row r="1065" spans="43:43">
      <c r="AQ1065" s="248"/>
    </row>
    <row r="1066" spans="43:43">
      <c r="AQ1066" s="248"/>
    </row>
    <row r="1067" spans="43:43">
      <c r="AQ1067" s="248"/>
    </row>
    <row r="1068" spans="43:43">
      <c r="AQ1068" s="248"/>
    </row>
    <row r="1069" spans="43:43">
      <c r="AQ1069" s="248"/>
    </row>
    <row r="1070" spans="43:43">
      <c r="AQ1070" s="268"/>
    </row>
    <row r="1071" spans="43:43">
      <c r="AQ1071" s="248"/>
    </row>
    <row r="1072" spans="43:43">
      <c r="AQ1072" s="248"/>
    </row>
    <row r="1073" spans="43:43">
      <c r="AQ1073" s="248"/>
    </row>
    <row r="1074" spans="43:43">
      <c r="AQ1074" s="248"/>
    </row>
    <row r="1075" spans="43:43">
      <c r="AQ1075" s="248"/>
    </row>
    <row r="1076" spans="43:43">
      <c r="AQ1076" s="248"/>
    </row>
    <row r="1077" spans="43:43">
      <c r="AQ1077" s="248"/>
    </row>
    <row r="1078" spans="43:43">
      <c r="AQ1078" s="248"/>
    </row>
    <row r="1079" spans="43:43">
      <c r="AQ1079" s="248"/>
    </row>
    <row r="1080" spans="43:43">
      <c r="AQ1080" s="248"/>
    </row>
    <row r="1081" spans="43:43">
      <c r="AQ1081" s="248"/>
    </row>
    <row r="1082" spans="43:43">
      <c r="AQ1082" s="248"/>
    </row>
    <row r="1083" spans="43:43">
      <c r="AQ1083" s="248"/>
    </row>
    <row r="1084" spans="43:43">
      <c r="AQ1084" s="248"/>
    </row>
    <row r="1085" spans="43:43">
      <c r="AQ1085" s="248"/>
    </row>
    <row r="1086" spans="43:43">
      <c r="AQ1086" s="248"/>
    </row>
    <row r="1087" spans="43:43">
      <c r="AQ1087" s="248"/>
    </row>
    <row r="1088" spans="43:43">
      <c r="AQ1088" s="248"/>
    </row>
    <row r="1089" spans="43:43">
      <c r="AQ1089" s="248"/>
    </row>
    <row r="1090" spans="43:43">
      <c r="AQ1090" s="248"/>
    </row>
    <row r="1091" spans="43:43">
      <c r="AQ1091" s="248"/>
    </row>
    <row r="1092" spans="43:43">
      <c r="AQ1092" s="248"/>
    </row>
    <row r="1093" spans="43:43">
      <c r="AQ1093" s="248"/>
    </row>
    <row r="1094" spans="43:43">
      <c r="AQ1094" s="248"/>
    </row>
    <row r="1095" spans="43:43">
      <c r="AQ1095" s="248"/>
    </row>
    <row r="1096" spans="43:43">
      <c r="AQ1096" s="248"/>
    </row>
    <row r="1097" spans="43:43">
      <c r="AQ1097" s="248"/>
    </row>
    <row r="1098" spans="43:43">
      <c r="AQ1098" s="248"/>
    </row>
    <row r="1099" spans="43:43">
      <c r="AQ1099" s="248"/>
    </row>
    <row r="1100" spans="43:43">
      <c r="AQ1100" s="248"/>
    </row>
    <row r="1101" spans="43:43">
      <c r="AQ1101" s="248"/>
    </row>
    <row r="1102" spans="43:43">
      <c r="AQ1102" s="248"/>
    </row>
    <row r="1103" spans="43:43">
      <c r="AQ1103" s="248"/>
    </row>
    <row r="1104" spans="43:43">
      <c r="AQ1104" s="248"/>
    </row>
    <row r="1105" spans="43:43">
      <c r="AQ1105" s="248"/>
    </row>
    <row r="1106" spans="43:43">
      <c r="AQ1106" s="248"/>
    </row>
    <row r="1107" spans="43:43">
      <c r="AQ1107" s="248"/>
    </row>
    <row r="1108" spans="43:43">
      <c r="AQ1108" s="248"/>
    </row>
    <row r="1109" spans="43:43">
      <c r="AQ1109" s="248"/>
    </row>
    <row r="1110" spans="43:43">
      <c r="AQ1110" s="248"/>
    </row>
    <row r="1111" spans="43:43">
      <c r="AQ1111" s="248"/>
    </row>
    <row r="1112" spans="43:43">
      <c r="AQ1112" s="248"/>
    </row>
    <row r="1113" spans="43:43">
      <c r="AQ1113" s="248"/>
    </row>
    <row r="1114" spans="43:43">
      <c r="AQ1114" s="248"/>
    </row>
    <row r="1115" spans="43:43">
      <c r="AQ1115" s="248"/>
    </row>
    <row r="1116" spans="43:43">
      <c r="AQ1116" s="248"/>
    </row>
    <row r="1117" spans="43:43">
      <c r="AQ1117" s="248"/>
    </row>
    <row r="1118" spans="43:43">
      <c r="AQ1118" s="248"/>
    </row>
    <row r="1119" spans="43:43">
      <c r="AQ1119" s="248"/>
    </row>
    <row r="1120" spans="43:43">
      <c r="AQ1120" s="248"/>
    </row>
    <row r="1121" spans="43:43">
      <c r="AQ1121" s="248"/>
    </row>
    <row r="1122" spans="43:43">
      <c r="AQ1122" s="248"/>
    </row>
    <row r="1123" spans="43:43">
      <c r="AQ1123" s="248"/>
    </row>
    <row r="1124" spans="43:43">
      <c r="AQ1124" s="248"/>
    </row>
    <row r="1125" spans="43:43">
      <c r="AQ1125" s="248"/>
    </row>
    <row r="1126" spans="43:43">
      <c r="AQ1126" s="248"/>
    </row>
    <row r="1127" spans="43:43">
      <c r="AQ1127" s="248"/>
    </row>
    <row r="1128" spans="43:43">
      <c r="AQ1128" s="248"/>
    </row>
    <row r="1129" spans="43:43">
      <c r="AQ1129" s="248"/>
    </row>
    <row r="1130" spans="43:43">
      <c r="AQ1130" s="248"/>
    </row>
    <row r="1131" spans="43:43">
      <c r="AQ1131" s="248"/>
    </row>
    <row r="1132" spans="43:43">
      <c r="AQ1132" s="248"/>
    </row>
    <row r="1133" spans="43:43">
      <c r="AQ1133" s="248"/>
    </row>
    <row r="1134" spans="43:43">
      <c r="AQ1134" s="248"/>
    </row>
    <row r="1135" spans="43:43">
      <c r="AQ1135" s="248"/>
    </row>
    <row r="1136" spans="43:43">
      <c r="AQ1136" s="248"/>
    </row>
    <row r="1137" spans="43:43">
      <c r="AQ1137" s="248"/>
    </row>
    <row r="1138" spans="43:43">
      <c r="AQ1138" s="248"/>
    </row>
    <row r="1139" spans="43:43">
      <c r="AQ1139" s="248"/>
    </row>
    <row r="1140" spans="43:43">
      <c r="AQ1140" s="248"/>
    </row>
    <row r="1141" spans="43:43">
      <c r="AQ1141" s="248"/>
    </row>
    <row r="1142" spans="43:43">
      <c r="AQ1142" s="248"/>
    </row>
    <row r="1143" spans="43:43">
      <c r="AQ1143" s="248"/>
    </row>
    <row r="1144" spans="43:43">
      <c r="AQ1144" s="248"/>
    </row>
    <row r="1145" spans="43:43">
      <c r="AQ1145" s="248"/>
    </row>
    <row r="1146" spans="43:43">
      <c r="AQ1146" s="248"/>
    </row>
    <row r="1147" spans="43:43">
      <c r="AQ1147" s="248"/>
    </row>
    <row r="1148" spans="43:43">
      <c r="AQ1148" s="248"/>
    </row>
    <row r="1149" spans="43:43">
      <c r="AQ1149" s="248"/>
    </row>
    <row r="1150" spans="43:43">
      <c r="AQ1150" s="248"/>
    </row>
    <row r="1151" spans="43:43">
      <c r="AQ1151" s="248"/>
    </row>
    <row r="1152" spans="43:43">
      <c r="AQ1152" s="248"/>
    </row>
    <row r="1153" spans="43:43">
      <c r="AQ1153" s="248"/>
    </row>
    <row r="1154" spans="43:43">
      <c r="AQ1154" s="248"/>
    </row>
    <row r="1155" spans="43:43">
      <c r="AQ1155" s="248"/>
    </row>
    <row r="1156" spans="43:43">
      <c r="AQ1156" s="248"/>
    </row>
    <row r="1157" spans="43:43">
      <c r="AQ1157" s="248"/>
    </row>
    <row r="1158" spans="43:43">
      <c r="AQ1158" s="248"/>
    </row>
    <row r="1159" spans="43:43">
      <c r="AQ1159" s="268"/>
    </row>
    <row r="1160" spans="43:43">
      <c r="AQ1160" s="248"/>
    </row>
    <row r="1161" spans="43:43">
      <c r="AQ1161" s="248"/>
    </row>
    <row r="1162" spans="43:43">
      <c r="AQ1162" s="248"/>
    </row>
    <row r="1163" spans="43:43">
      <c r="AQ1163" s="248"/>
    </row>
    <row r="1164" spans="43:43">
      <c r="AQ1164" s="248"/>
    </row>
    <row r="1165" spans="43:43">
      <c r="AQ1165" s="248"/>
    </row>
    <row r="1166" spans="43:43">
      <c r="AQ1166" s="248"/>
    </row>
    <row r="1167" spans="43:43">
      <c r="AQ1167" s="248"/>
    </row>
    <row r="1168" spans="43:43">
      <c r="AQ1168" s="268"/>
    </row>
    <row r="1169" spans="43:43">
      <c r="AQ1169" s="248"/>
    </row>
    <row r="1170" spans="43:43">
      <c r="AQ1170" s="248"/>
    </row>
    <row r="1171" spans="43:43">
      <c r="AQ1171" s="248"/>
    </row>
    <row r="1172" spans="43:43">
      <c r="AQ1172" s="248"/>
    </row>
    <row r="1173" spans="43:43">
      <c r="AQ1173" s="248"/>
    </row>
    <row r="1174" spans="43:43">
      <c r="AQ1174" s="248"/>
    </row>
    <row r="1175" spans="43:43">
      <c r="AQ1175" s="268"/>
    </row>
    <row r="1176" spans="43:43">
      <c r="AQ1176" s="248"/>
    </row>
    <row r="1177" spans="43:43">
      <c r="AQ1177" s="248"/>
    </row>
    <row r="1178" spans="43:43">
      <c r="AQ1178" s="248"/>
    </row>
    <row r="1179" spans="43:43">
      <c r="AQ1179" s="248"/>
    </row>
    <row r="1180" spans="43:43">
      <c r="AQ1180" s="248"/>
    </row>
    <row r="1181" spans="43:43">
      <c r="AQ1181" s="248"/>
    </row>
    <row r="1182" spans="43:43">
      <c r="AQ1182" s="248"/>
    </row>
    <row r="1183" spans="43:43">
      <c r="AQ1183" s="248"/>
    </row>
    <row r="1184" spans="43:43">
      <c r="AQ1184" s="248"/>
    </row>
    <row r="1185" spans="43:43">
      <c r="AQ1185" s="248"/>
    </row>
    <row r="1186" spans="43:43">
      <c r="AQ1186" s="248"/>
    </row>
    <row r="1187" spans="43:43">
      <c r="AQ1187" s="248"/>
    </row>
    <row r="1188" spans="43:43">
      <c r="AQ1188" s="248"/>
    </row>
    <row r="1189" spans="43:43">
      <c r="AQ1189" s="248"/>
    </row>
    <row r="1190" spans="43:43">
      <c r="AQ1190" s="248"/>
    </row>
    <row r="1191" spans="43:43">
      <c r="AQ1191" s="248"/>
    </row>
    <row r="1192" spans="43:43">
      <c r="AQ1192" s="268"/>
    </row>
    <row r="1193" spans="43:43">
      <c r="AQ1193" s="248"/>
    </row>
    <row r="1194" spans="43:43">
      <c r="AQ1194" s="248"/>
    </row>
    <row r="1195" spans="43:43">
      <c r="AQ1195" s="248"/>
    </row>
    <row r="1196" spans="43:43">
      <c r="AQ1196" s="248"/>
    </row>
    <row r="1197" spans="43:43">
      <c r="AQ1197" s="248"/>
    </row>
    <row r="1198" spans="43:43">
      <c r="AQ1198" s="248"/>
    </row>
    <row r="1199" spans="43:43">
      <c r="AQ1199" s="248"/>
    </row>
    <row r="1200" spans="43:43">
      <c r="AQ1200" s="248"/>
    </row>
    <row r="1201" spans="43:43">
      <c r="AQ1201" s="248"/>
    </row>
    <row r="1202" spans="43:43">
      <c r="AQ1202" s="248"/>
    </row>
    <row r="1203" spans="43:43">
      <c r="AQ1203" s="248"/>
    </row>
    <row r="1204" spans="43:43">
      <c r="AQ1204" s="248"/>
    </row>
    <row r="1205" spans="43:43">
      <c r="AQ1205" s="248"/>
    </row>
    <row r="1206" spans="43:43">
      <c r="AQ1206" s="248"/>
    </row>
    <row r="1207" spans="43:43">
      <c r="AQ1207" s="248"/>
    </row>
    <row r="1208" spans="43:43">
      <c r="AQ1208" s="248"/>
    </row>
    <row r="1209" spans="43:43">
      <c r="AQ1209" s="248"/>
    </row>
    <row r="1210" spans="43:43">
      <c r="AQ1210" s="248"/>
    </row>
    <row r="1211" spans="43:43">
      <c r="AQ1211" s="248"/>
    </row>
    <row r="1212" spans="43:43">
      <c r="AQ1212" s="248"/>
    </row>
    <row r="1213" spans="43:43">
      <c r="AQ1213" s="248"/>
    </row>
    <row r="1214" spans="43:43">
      <c r="AQ1214" s="248"/>
    </row>
    <row r="1215" spans="43:43">
      <c r="AQ1215" s="248"/>
    </row>
    <row r="1216" spans="43:43">
      <c r="AQ1216" s="248"/>
    </row>
    <row r="1217" spans="43:43">
      <c r="AQ1217" s="248"/>
    </row>
    <row r="1218" spans="43:43">
      <c r="AQ1218" s="248"/>
    </row>
    <row r="1219" spans="43:43">
      <c r="AQ1219" s="248"/>
    </row>
    <row r="1220" spans="43:43">
      <c r="AQ1220" s="248"/>
    </row>
    <row r="1221" spans="43:43">
      <c r="AQ1221" s="248"/>
    </row>
    <row r="1222" spans="43:43">
      <c r="AQ1222" s="248"/>
    </row>
    <row r="1223" spans="43:43">
      <c r="AQ1223" s="248"/>
    </row>
    <row r="1224" spans="43:43">
      <c r="AQ1224" s="248"/>
    </row>
    <row r="1225" spans="43:43">
      <c r="AQ1225" s="248"/>
    </row>
    <row r="1226" spans="43:43">
      <c r="AQ1226" s="248"/>
    </row>
    <row r="1227" spans="43:43">
      <c r="AQ1227" s="248"/>
    </row>
    <row r="1228" spans="43:43">
      <c r="AQ1228" s="248"/>
    </row>
    <row r="1229" spans="43:43">
      <c r="AQ1229" s="248"/>
    </row>
    <row r="1230" spans="43:43">
      <c r="AQ1230" s="248"/>
    </row>
    <row r="1231" spans="43:43">
      <c r="AQ1231" s="248"/>
    </row>
    <row r="1232" spans="43:43">
      <c r="AQ1232" s="248"/>
    </row>
    <row r="1233" spans="43:43">
      <c r="AQ1233" s="248"/>
    </row>
    <row r="1234" spans="43:43">
      <c r="AQ1234" s="248"/>
    </row>
    <row r="1235" spans="43:43">
      <c r="AQ1235" s="248"/>
    </row>
    <row r="1236" spans="43:43">
      <c r="AQ1236" s="248"/>
    </row>
    <row r="1237" spans="43:43">
      <c r="AQ1237" s="248"/>
    </row>
    <row r="1238" spans="43:43">
      <c r="AQ1238" s="248"/>
    </row>
    <row r="1239" spans="43:43">
      <c r="AQ1239" s="248"/>
    </row>
    <row r="1240" spans="43:43">
      <c r="AQ1240" s="268"/>
    </row>
    <row r="1241" spans="43:43">
      <c r="AQ1241" s="248"/>
    </row>
    <row r="1242" spans="43:43">
      <c r="AQ1242" s="268"/>
    </row>
    <row r="1243" spans="43:43">
      <c r="AQ1243" s="248"/>
    </row>
    <row r="1244" spans="43:43">
      <c r="AQ1244" s="248"/>
    </row>
    <row r="1245" spans="43:43">
      <c r="AQ1245" s="248"/>
    </row>
    <row r="1246" spans="43:43">
      <c r="AQ1246" s="248"/>
    </row>
    <row r="1247" spans="43:43">
      <c r="AQ1247" s="248"/>
    </row>
    <row r="1248" spans="43:43">
      <c r="AQ1248" s="248"/>
    </row>
    <row r="1249" spans="43:43">
      <c r="AQ1249" s="248"/>
    </row>
    <row r="1250" spans="43:43">
      <c r="AQ1250" s="248"/>
    </row>
    <row r="1251" spans="43:43">
      <c r="AQ1251" s="248"/>
    </row>
    <row r="1252" spans="43:43">
      <c r="AQ1252" s="248"/>
    </row>
    <row r="1253" spans="43:43">
      <c r="AQ1253" s="248"/>
    </row>
    <row r="1254" spans="43:43">
      <c r="AQ1254" s="248"/>
    </row>
    <row r="1255" spans="43:43">
      <c r="AQ1255" s="248"/>
    </row>
    <row r="1256" spans="43:43">
      <c r="AQ1256" s="268"/>
    </row>
    <row r="1257" spans="43:43">
      <c r="AQ1257" s="248"/>
    </row>
    <row r="1258" spans="43:43">
      <c r="AQ1258" s="248"/>
    </row>
    <row r="1259" spans="43:43">
      <c r="AQ1259" s="248"/>
    </row>
    <row r="1260" spans="43:43">
      <c r="AQ1260" s="248"/>
    </row>
    <row r="1261" spans="43:43">
      <c r="AQ1261" s="248"/>
    </row>
    <row r="1262" spans="43:43">
      <c r="AQ1262" s="248"/>
    </row>
    <row r="1263" spans="43:43">
      <c r="AQ1263" s="248"/>
    </row>
    <row r="1264" spans="43:43">
      <c r="AQ1264" s="248"/>
    </row>
    <row r="1265" spans="43:43">
      <c r="AQ1265" s="248"/>
    </row>
    <row r="1266" spans="43:43">
      <c r="AQ1266" s="248"/>
    </row>
    <row r="1267" spans="43:43">
      <c r="AQ1267" s="248"/>
    </row>
    <row r="1268" spans="43:43">
      <c r="AQ1268" s="248"/>
    </row>
    <row r="1269" spans="43:43">
      <c r="AQ1269" s="248"/>
    </row>
    <row r="1270" spans="43:43">
      <c r="AQ1270" s="248"/>
    </row>
    <row r="1271" spans="43:43">
      <c r="AQ1271" s="248"/>
    </row>
    <row r="1272" spans="43:43">
      <c r="AQ1272" s="248"/>
    </row>
    <row r="1273" spans="43:43">
      <c r="AQ1273" s="248"/>
    </row>
    <row r="1274" spans="43:43">
      <c r="AQ1274" s="248"/>
    </row>
    <row r="1275" spans="43:43">
      <c r="AQ1275" s="248"/>
    </row>
    <row r="1276" spans="43:43">
      <c r="AQ1276" s="248"/>
    </row>
    <row r="1277" spans="43:43">
      <c r="AQ1277" s="248"/>
    </row>
    <row r="1278" spans="43:43">
      <c r="AQ1278" s="248"/>
    </row>
    <row r="1279" spans="43:43">
      <c r="AQ1279" s="248"/>
    </row>
    <row r="1280" spans="43:43">
      <c r="AQ1280" s="248"/>
    </row>
    <row r="1281" spans="43:43">
      <c r="AQ1281" s="248"/>
    </row>
    <row r="1282" spans="43:43">
      <c r="AQ1282" s="248"/>
    </row>
    <row r="1283" spans="43:43">
      <c r="AQ1283" s="248"/>
    </row>
    <row r="1284" spans="43:43">
      <c r="AQ1284" s="248"/>
    </row>
    <row r="1285" spans="43:43">
      <c r="AQ1285" s="248"/>
    </row>
    <row r="1286" spans="43:43">
      <c r="AQ1286" s="248"/>
    </row>
    <row r="1287" spans="43:43">
      <c r="AQ1287" s="248"/>
    </row>
    <row r="1288" spans="43:43">
      <c r="AQ1288" s="248"/>
    </row>
    <row r="1289" spans="43:43">
      <c r="AQ1289" s="248"/>
    </row>
    <row r="1290" spans="43:43">
      <c r="AQ1290" s="248"/>
    </row>
    <row r="1291" spans="43:43">
      <c r="AQ1291" s="248"/>
    </row>
    <row r="1292" spans="43:43">
      <c r="AQ1292" s="248"/>
    </row>
    <row r="1293" spans="43:43">
      <c r="AQ1293" s="248"/>
    </row>
    <row r="1294" spans="43:43">
      <c r="AQ1294" s="248"/>
    </row>
    <row r="1295" spans="43:43">
      <c r="AQ1295" s="248"/>
    </row>
    <row r="1296" spans="43:43">
      <c r="AQ1296" s="248"/>
    </row>
    <row r="1297" spans="43:43">
      <c r="AQ1297" s="248"/>
    </row>
    <row r="1298" spans="43:43">
      <c r="AQ1298" s="248"/>
    </row>
    <row r="1299" spans="43:43">
      <c r="AQ1299" s="248"/>
    </row>
    <row r="1300" spans="43:43">
      <c r="AQ1300" s="248"/>
    </row>
    <row r="1301" spans="43:43">
      <c r="AQ1301" s="248"/>
    </row>
    <row r="1302" spans="43:43">
      <c r="AQ1302" s="248"/>
    </row>
    <row r="1303" spans="43:43">
      <c r="AQ1303" s="248"/>
    </row>
    <row r="1304" spans="43:43">
      <c r="AQ1304" s="268"/>
    </row>
    <row r="1305" spans="43:43">
      <c r="AQ1305" s="248"/>
    </row>
    <row r="1306" spans="43:43">
      <c r="AQ1306" s="248"/>
    </row>
    <row r="1307" spans="43:43">
      <c r="AQ1307" s="248"/>
    </row>
    <row r="1308" spans="43:43">
      <c r="AQ1308" s="248"/>
    </row>
    <row r="1309" spans="43:43">
      <c r="AQ1309" s="248"/>
    </row>
    <row r="1310" spans="43:43">
      <c r="AQ1310" s="248"/>
    </row>
    <row r="1311" spans="43:43">
      <c r="AQ1311" s="248"/>
    </row>
    <row r="1312" spans="43:43">
      <c r="AQ1312" s="248"/>
    </row>
    <row r="1313" spans="43:43">
      <c r="AQ1313" s="248"/>
    </row>
    <row r="1314" spans="43:43">
      <c r="AQ1314" s="248"/>
    </row>
    <row r="1315" spans="43:43">
      <c r="AQ1315" s="248"/>
    </row>
    <row r="1316" spans="43:43">
      <c r="AQ1316" s="248"/>
    </row>
    <row r="1317" spans="43:43">
      <c r="AQ1317" s="248"/>
    </row>
    <row r="1318" spans="43:43">
      <c r="AQ1318" s="248"/>
    </row>
    <row r="1319" spans="43:43">
      <c r="AQ1319" s="248"/>
    </row>
    <row r="1320" spans="43:43">
      <c r="AQ1320" s="248"/>
    </row>
    <row r="1321" spans="43:43">
      <c r="AQ1321" s="248"/>
    </row>
    <row r="1322" spans="43:43">
      <c r="AQ1322" s="248"/>
    </row>
    <row r="1323" spans="43:43">
      <c r="AQ1323" s="268"/>
    </row>
    <row r="1324" spans="43:43">
      <c r="AQ1324" s="248"/>
    </row>
    <row r="1325" spans="43:43">
      <c r="AQ1325" s="248"/>
    </row>
    <row r="1326" spans="43:43">
      <c r="AQ1326" s="268"/>
    </row>
    <row r="1327" spans="43:43">
      <c r="AQ1327" s="248"/>
    </row>
    <row r="1328" spans="43:43">
      <c r="AQ1328" s="248"/>
    </row>
    <row r="1329" spans="43:43">
      <c r="AQ1329" s="248"/>
    </row>
    <row r="1330" spans="43:43">
      <c r="AQ1330" s="248"/>
    </row>
    <row r="1331" spans="43:43">
      <c r="AQ1331" s="248"/>
    </row>
    <row r="1332" spans="43:43">
      <c r="AQ1332" s="248"/>
    </row>
    <row r="1333" spans="43:43">
      <c r="AQ1333" s="248"/>
    </row>
    <row r="1334" spans="43:43">
      <c r="AQ1334" s="248"/>
    </row>
    <row r="1335" spans="43:43">
      <c r="AQ1335" s="248"/>
    </row>
    <row r="1336" spans="43:43">
      <c r="AQ1336" s="248"/>
    </row>
    <row r="1337" spans="43:43">
      <c r="AQ1337" s="248"/>
    </row>
    <row r="1338" spans="43:43">
      <c r="AQ1338" s="248"/>
    </row>
    <row r="1339" spans="43:43">
      <c r="AQ1339" s="248"/>
    </row>
    <row r="1340" spans="43:43">
      <c r="AQ1340" s="248"/>
    </row>
    <row r="1341" spans="43:43">
      <c r="AQ1341" s="248"/>
    </row>
    <row r="1342" spans="43:43">
      <c r="AQ1342" s="248"/>
    </row>
    <row r="1343" spans="43:43">
      <c r="AQ1343" s="248"/>
    </row>
    <row r="1344" spans="43:43">
      <c r="AQ1344" s="248"/>
    </row>
    <row r="1345" spans="43:43">
      <c r="AQ1345" s="248"/>
    </row>
    <row r="1346" spans="43:43">
      <c r="AQ1346" s="248"/>
    </row>
    <row r="1347" spans="43:43">
      <c r="AQ1347" s="248"/>
    </row>
    <row r="1348" spans="43:43">
      <c r="AQ1348" s="248"/>
    </row>
    <row r="1349" spans="43:43">
      <c r="AQ1349" s="248"/>
    </row>
    <row r="1350" spans="43:43">
      <c r="AQ1350" s="248"/>
    </row>
    <row r="1351" spans="43:43">
      <c r="AQ1351" s="248"/>
    </row>
    <row r="1352" spans="43:43">
      <c r="AQ1352" s="248"/>
    </row>
    <row r="1353" spans="43:43">
      <c r="AQ1353" s="248"/>
    </row>
    <row r="1354" spans="43:43">
      <c r="AQ1354" s="248"/>
    </row>
    <row r="1355" spans="43:43">
      <c r="AQ1355" s="248"/>
    </row>
    <row r="1356" spans="43:43">
      <c r="AQ1356" s="248"/>
    </row>
    <row r="1357" spans="43:43">
      <c r="AQ1357" s="248"/>
    </row>
    <row r="1358" spans="43:43">
      <c r="AQ1358" s="248"/>
    </row>
    <row r="1359" spans="43:43">
      <c r="AQ1359" s="248"/>
    </row>
    <row r="1360" spans="43:43">
      <c r="AQ1360" s="248"/>
    </row>
    <row r="1361" spans="43:43">
      <c r="AQ1361" s="248"/>
    </row>
    <row r="1362" spans="43:43">
      <c r="AQ1362" s="248"/>
    </row>
    <row r="1363" spans="43:43">
      <c r="AQ1363" s="248"/>
    </row>
    <row r="1364" spans="43:43">
      <c r="AQ1364" s="248"/>
    </row>
    <row r="1365" spans="43:43">
      <c r="AQ1365" s="248"/>
    </row>
    <row r="1366" spans="43:43">
      <c r="AQ1366" s="248"/>
    </row>
    <row r="1367" spans="43:43">
      <c r="AQ1367" s="248"/>
    </row>
    <row r="1368" spans="43:43">
      <c r="AQ1368" s="248"/>
    </row>
    <row r="1369" spans="43:43">
      <c r="AQ1369" s="248"/>
    </row>
    <row r="1370" spans="43:43">
      <c r="AQ1370" s="248"/>
    </row>
    <row r="1371" spans="43:43">
      <c r="AQ1371" s="248"/>
    </row>
    <row r="1372" spans="43:43">
      <c r="AQ1372" s="248"/>
    </row>
    <row r="1373" spans="43:43">
      <c r="AQ1373" s="248"/>
    </row>
    <row r="1374" spans="43:43">
      <c r="AQ1374" s="248"/>
    </row>
    <row r="1375" spans="43:43">
      <c r="AQ1375" s="248"/>
    </row>
    <row r="1376" spans="43:43">
      <c r="AQ1376" s="248"/>
    </row>
    <row r="1377" spans="43:43">
      <c r="AQ1377" s="248"/>
    </row>
    <row r="1378" spans="43:43">
      <c r="AQ1378" s="248"/>
    </row>
    <row r="1379" spans="43:43">
      <c r="AQ1379" s="248"/>
    </row>
    <row r="1380" spans="43:43">
      <c r="AQ1380" s="248"/>
    </row>
    <row r="1381" spans="43:43">
      <c r="AQ1381" s="248"/>
    </row>
    <row r="1382" spans="43:43">
      <c r="AQ1382" s="248"/>
    </row>
    <row r="1383" spans="43:43">
      <c r="AQ1383" s="248"/>
    </row>
    <row r="1384" spans="43:43">
      <c r="AQ1384" s="248"/>
    </row>
    <row r="1385" spans="43:43">
      <c r="AQ1385" s="248"/>
    </row>
    <row r="1386" spans="43:43">
      <c r="AQ1386" s="248"/>
    </row>
    <row r="1387" spans="43:43">
      <c r="AQ1387" s="248"/>
    </row>
    <row r="1388" spans="43:43">
      <c r="AQ1388" s="248"/>
    </row>
    <row r="1389" spans="43:43">
      <c r="AQ1389" s="248"/>
    </row>
    <row r="1390" spans="43:43">
      <c r="AQ1390" s="248"/>
    </row>
    <row r="1391" spans="43:43">
      <c r="AQ1391" s="248"/>
    </row>
    <row r="1392" spans="43:43">
      <c r="AQ1392" s="248"/>
    </row>
    <row r="1393" spans="43:43">
      <c r="AQ1393" s="248"/>
    </row>
    <row r="1394" spans="43:43">
      <c r="AQ1394" s="248"/>
    </row>
    <row r="1395" spans="43:43">
      <c r="AQ1395" s="248"/>
    </row>
    <row r="1396" spans="43:43">
      <c r="AQ1396" s="248"/>
    </row>
    <row r="1397" spans="43:43">
      <c r="AQ1397" s="248"/>
    </row>
    <row r="1398" spans="43:43">
      <c r="AQ1398" s="248"/>
    </row>
    <row r="1399" spans="43:43">
      <c r="AQ1399" s="248"/>
    </row>
    <row r="1400" spans="43:43">
      <c r="AQ1400" s="248"/>
    </row>
    <row r="1401" spans="43:43">
      <c r="AQ1401" s="248"/>
    </row>
    <row r="1402" spans="43:43">
      <c r="AQ1402" s="248"/>
    </row>
    <row r="1403" spans="43:43">
      <c r="AQ1403" s="248"/>
    </row>
    <row r="1404" spans="43:43">
      <c r="AQ1404" s="268"/>
    </row>
    <row r="1405" spans="43:43">
      <c r="AQ1405" s="248"/>
    </row>
    <row r="1406" spans="43:43">
      <c r="AQ1406" s="248"/>
    </row>
    <row r="1407" spans="43:43">
      <c r="AQ1407" s="248"/>
    </row>
    <row r="1408" spans="43:43">
      <c r="AQ1408" s="248"/>
    </row>
    <row r="1409" spans="43:43">
      <c r="AQ1409" s="248"/>
    </row>
    <row r="1410" spans="43:43">
      <c r="AQ1410" s="248"/>
    </row>
    <row r="1411" spans="43:43">
      <c r="AQ1411" s="248"/>
    </row>
    <row r="1412" spans="43:43">
      <c r="AQ1412" s="248"/>
    </row>
    <row r="1413" spans="43:43">
      <c r="AQ1413" s="248"/>
    </row>
    <row r="1414" spans="43:43">
      <c r="AQ1414" s="248"/>
    </row>
    <row r="1415" spans="43:43">
      <c r="AQ1415" s="248"/>
    </row>
    <row r="1416" spans="43:43">
      <c r="AQ1416" s="248"/>
    </row>
    <row r="1417" spans="43:43">
      <c r="AQ1417" s="248"/>
    </row>
    <row r="1418" spans="43:43">
      <c r="AQ1418" s="248"/>
    </row>
    <row r="1419" spans="43:43">
      <c r="AQ1419" s="248"/>
    </row>
    <row r="1420" spans="43:43">
      <c r="AQ1420" s="248"/>
    </row>
    <row r="1421" spans="43:43">
      <c r="AQ1421" s="248"/>
    </row>
    <row r="1422" spans="43:43">
      <c r="AQ1422" s="248"/>
    </row>
    <row r="1423" spans="43:43">
      <c r="AQ1423" s="248"/>
    </row>
    <row r="1424" spans="43:43">
      <c r="AQ1424" s="248"/>
    </row>
    <row r="1425" spans="43:43">
      <c r="AQ1425" s="248"/>
    </row>
    <row r="1426" spans="43:43">
      <c r="AQ1426" s="248"/>
    </row>
    <row r="1427" spans="43:43">
      <c r="AQ1427" s="248"/>
    </row>
    <row r="1428" spans="43:43">
      <c r="AQ1428" s="248"/>
    </row>
    <row r="1429" spans="43:43">
      <c r="AQ1429" s="248"/>
    </row>
    <row r="1430" spans="43:43">
      <c r="AQ1430" s="248"/>
    </row>
    <row r="1431" spans="43:43">
      <c r="AQ1431" s="248"/>
    </row>
    <row r="1432" spans="43:43">
      <c r="AQ1432" s="248"/>
    </row>
    <row r="1433" spans="43:43">
      <c r="AQ1433" s="248"/>
    </row>
    <row r="1434" spans="43:43">
      <c r="AQ1434" s="248"/>
    </row>
    <row r="1435" spans="43:43">
      <c r="AQ1435" s="248"/>
    </row>
    <row r="1436" spans="43:43">
      <c r="AQ1436" s="248"/>
    </row>
    <row r="1437" spans="43:43">
      <c r="AQ1437" s="248"/>
    </row>
    <row r="1438" spans="43:43">
      <c r="AQ1438" s="248"/>
    </row>
    <row r="1439" spans="43:43">
      <c r="AQ1439" s="248"/>
    </row>
    <row r="1440" spans="43:43">
      <c r="AQ1440" s="248"/>
    </row>
    <row r="1441" spans="43:43">
      <c r="AQ1441" s="248"/>
    </row>
    <row r="1442" spans="43:43">
      <c r="AQ1442" s="248"/>
    </row>
    <row r="1443" spans="43:43">
      <c r="AQ1443" s="248"/>
    </row>
    <row r="1444" spans="43:43">
      <c r="AQ1444" s="248"/>
    </row>
    <row r="1445" spans="43:43">
      <c r="AQ1445" s="248"/>
    </row>
    <row r="1446" spans="43:43">
      <c r="AQ1446" s="248"/>
    </row>
    <row r="1447" spans="43:43">
      <c r="AQ1447" s="248"/>
    </row>
    <row r="1448" spans="43:43">
      <c r="AQ1448" s="248"/>
    </row>
    <row r="1449" spans="43:43">
      <c r="AQ1449" s="248"/>
    </row>
    <row r="1450" spans="43:43">
      <c r="AQ1450" s="248"/>
    </row>
    <row r="1451" spans="43:43">
      <c r="AQ1451" s="248"/>
    </row>
    <row r="1452" spans="43:43">
      <c r="AQ1452" s="248"/>
    </row>
    <row r="1453" spans="43:43">
      <c r="AQ1453" s="248"/>
    </row>
    <row r="1454" spans="43:43">
      <c r="AQ1454" s="248"/>
    </row>
    <row r="1455" spans="43:43">
      <c r="AQ1455" s="248"/>
    </row>
    <row r="1456" spans="43:43">
      <c r="AQ1456" s="248"/>
    </row>
    <row r="1457" spans="43:43">
      <c r="AQ1457" s="248"/>
    </row>
    <row r="1458" spans="43:43">
      <c r="AQ1458" s="248"/>
    </row>
    <row r="1459" spans="43:43">
      <c r="AQ1459" s="248"/>
    </row>
    <row r="1460" spans="43:43">
      <c r="AQ1460" s="248"/>
    </row>
    <row r="1461" spans="43:43">
      <c r="AQ1461" s="248"/>
    </row>
    <row r="1462" spans="43:43">
      <c r="AQ1462" s="248"/>
    </row>
    <row r="1463" spans="43:43">
      <c r="AQ1463" s="248"/>
    </row>
    <row r="1464" spans="43:43">
      <c r="AQ1464" s="248"/>
    </row>
    <row r="1465" spans="43:43">
      <c r="AQ1465" s="248"/>
    </row>
    <row r="1466" spans="43:43">
      <c r="AQ1466" s="248"/>
    </row>
    <row r="1467" spans="43:43">
      <c r="AQ1467" s="248"/>
    </row>
    <row r="1468" spans="43:43">
      <c r="AQ1468" s="248"/>
    </row>
    <row r="1469" spans="43:43">
      <c r="AQ1469" s="248"/>
    </row>
    <row r="1470" spans="43:43">
      <c r="AQ1470" s="248"/>
    </row>
    <row r="1471" spans="43:43">
      <c r="AQ1471" s="248"/>
    </row>
    <row r="1472" spans="43:43">
      <c r="AQ1472" s="248"/>
    </row>
    <row r="1473" spans="43:43">
      <c r="AQ1473" s="248"/>
    </row>
    <row r="1474" spans="43:43">
      <c r="AQ1474" s="248"/>
    </row>
    <row r="1475" spans="43:43">
      <c r="AQ1475" s="248"/>
    </row>
    <row r="1476" spans="43:43">
      <c r="AQ1476" s="248"/>
    </row>
    <row r="1477" spans="43:43">
      <c r="AQ1477" s="248"/>
    </row>
    <row r="1478" spans="43:43">
      <c r="AQ1478" s="248"/>
    </row>
    <row r="1479" spans="43:43">
      <c r="AQ1479" s="248"/>
    </row>
    <row r="1480" spans="43:43">
      <c r="AQ1480" s="248"/>
    </row>
    <row r="1481" spans="43:43">
      <c r="AQ1481" s="248"/>
    </row>
    <row r="1482" spans="43:43">
      <c r="AQ1482" s="248"/>
    </row>
    <row r="1483" spans="43:43">
      <c r="AQ1483" s="248"/>
    </row>
    <row r="1484" spans="43:43">
      <c r="AQ1484" s="248"/>
    </row>
    <row r="1485" spans="43:43">
      <c r="AQ1485" s="248"/>
    </row>
    <row r="1486" spans="43:43">
      <c r="AQ1486" s="248"/>
    </row>
    <row r="1487" spans="43:43">
      <c r="AQ1487" s="248"/>
    </row>
    <row r="1488" spans="43:43">
      <c r="AQ1488" s="248"/>
    </row>
    <row r="1489" spans="43:43">
      <c r="AQ1489" s="248"/>
    </row>
    <row r="1490" spans="43:43">
      <c r="AQ1490" s="248"/>
    </row>
    <row r="1491" spans="43:43">
      <c r="AQ1491" s="248"/>
    </row>
    <row r="1492" spans="43:43">
      <c r="AQ1492" s="248"/>
    </row>
    <row r="1493" spans="43:43">
      <c r="AQ1493" s="248"/>
    </row>
    <row r="1494" spans="43:43">
      <c r="AQ1494" s="248"/>
    </row>
    <row r="1495" spans="43:43">
      <c r="AQ1495" s="248"/>
    </row>
    <row r="1496" spans="43:43">
      <c r="AQ1496" s="248"/>
    </row>
    <row r="1497" spans="43:43">
      <c r="AQ1497" s="248"/>
    </row>
    <row r="1498" spans="43:43">
      <c r="AQ1498" s="248"/>
    </row>
    <row r="1499" spans="43:43">
      <c r="AQ1499" s="248"/>
    </row>
    <row r="1500" spans="43:43">
      <c r="AQ1500" s="268"/>
    </row>
    <row r="1501" spans="43:43">
      <c r="AQ1501" s="248"/>
    </row>
    <row r="1502" spans="43:43">
      <c r="AQ1502" s="248"/>
    </row>
    <row r="1503" spans="43:43">
      <c r="AQ1503" s="248"/>
    </row>
    <row r="1504" spans="43:43">
      <c r="AQ1504" s="248"/>
    </row>
    <row r="1505" spans="43:43">
      <c r="AQ1505" s="248"/>
    </row>
    <row r="1506" spans="43:43">
      <c r="AQ1506" s="248"/>
    </row>
    <row r="1507" spans="43:43">
      <c r="AQ1507" s="248"/>
    </row>
    <row r="1508" spans="43:43">
      <c r="AQ1508" s="268"/>
    </row>
    <row r="1509" spans="43:43">
      <c r="AQ1509" s="248"/>
    </row>
    <row r="1510" spans="43:43">
      <c r="AQ1510" s="248"/>
    </row>
    <row r="1511" spans="43:43">
      <c r="AQ1511" s="248"/>
    </row>
    <row r="1512" spans="43:43">
      <c r="AQ1512" s="248"/>
    </row>
    <row r="1513" spans="43:43">
      <c r="AQ1513" s="248"/>
    </row>
    <row r="1514" spans="43:43">
      <c r="AQ1514" s="248"/>
    </row>
    <row r="1515" spans="43:43">
      <c r="AQ1515" s="248"/>
    </row>
    <row r="1516" spans="43:43">
      <c r="AQ1516" s="248"/>
    </row>
    <row r="1517" spans="43:43">
      <c r="AQ1517" s="248"/>
    </row>
    <row r="1518" spans="43:43">
      <c r="AQ1518" s="248"/>
    </row>
    <row r="1519" spans="43:43">
      <c r="AQ1519" s="248"/>
    </row>
    <row r="1520" spans="43:43">
      <c r="AQ1520" s="248"/>
    </row>
    <row r="1521" spans="43:43">
      <c r="AQ1521" s="248"/>
    </row>
    <row r="1522" spans="43:43">
      <c r="AQ1522" s="248"/>
    </row>
    <row r="1523" spans="43:43">
      <c r="AQ1523" s="248"/>
    </row>
    <row r="1524" spans="43:43">
      <c r="AQ1524" s="248"/>
    </row>
    <row r="1525" spans="43:43">
      <c r="AQ1525" s="248"/>
    </row>
    <row r="1526" spans="43:43">
      <c r="AQ1526" s="248"/>
    </row>
    <row r="1527" spans="43:43">
      <c r="AQ1527" s="248"/>
    </row>
    <row r="1528" spans="43:43">
      <c r="AQ1528" s="248"/>
    </row>
    <row r="1529" spans="43:43">
      <c r="AQ1529" s="248"/>
    </row>
    <row r="1530" spans="43:43">
      <c r="AQ1530" s="248"/>
    </row>
    <row r="1531" spans="43:43">
      <c r="AQ1531" s="248"/>
    </row>
    <row r="1532" spans="43:43">
      <c r="AQ1532" s="248"/>
    </row>
    <row r="1533" spans="43:43">
      <c r="AQ1533" s="248"/>
    </row>
    <row r="1534" spans="43:43">
      <c r="AQ1534" s="248"/>
    </row>
    <row r="1535" spans="43:43">
      <c r="AQ1535" s="248"/>
    </row>
    <row r="1536" spans="43:43">
      <c r="AQ1536" s="248"/>
    </row>
    <row r="1537" spans="43:43">
      <c r="AQ1537" s="248"/>
    </row>
    <row r="1538" spans="43:43">
      <c r="AQ1538" s="248"/>
    </row>
    <row r="1539" spans="43:43">
      <c r="AQ1539" s="248"/>
    </row>
    <row r="1540" spans="43:43">
      <c r="AQ1540" s="248"/>
    </row>
    <row r="1541" spans="43:43">
      <c r="AQ1541" s="248"/>
    </row>
    <row r="1542" spans="43:43">
      <c r="AQ1542" s="248"/>
    </row>
    <row r="1543" spans="43:43">
      <c r="AQ1543" s="248"/>
    </row>
    <row r="1544" spans="43:43">
      <c r="AQ1544" s="248"/>
    </row>
    <row r="1545" spans="43:43">
      <c r="AQ1545" s="248"/>
    </row>
    <row r="1546" spans="43:43">
      <c r="AQ1546" s="248"/>
    </row>
    <row r="1547" spans="43:43">
      <c r="AQ1547" s="248"/>
    </row>
    <row r="1548" spans="43:43">
      <c r="AQ1548" s="248"/>
    </row>
    <row r="1549" spans="43:43">
      <c r="AQ1549" s="248"/>
    </row>
    <row r="1550" spans="43:43">
      <c r="AQ1550" s="248"/>
    </row>
    <row r="1551" spans="43:43">
      <c r="AQ1551" s="248"/>
    </row>
    <row r="1552" spans="43:43">
      <c r="AQ1552" s="248"/>
    </row>
    <row r="1553" spans="43:43">
      <c r="AQ1553" s="248"/>
    </row>
    <row r="1554" spans="43:43">
      <c r="AQ1554" s="248"/>
    </row>
    <row r="1555" spans="43:43">
      <c r="AQ1555" s="248"/>
    </row>
    <row r="1556" spans="43:43">
      <c r="AQ1556" s="248"/>
    </row>
    <row r="1557" spans="43:43">
      <c r="AQ1557" s="248"/>
    </row>
    <row r="1558" spans="43:43">
      <c r="AQ1558" s="248"/>
    </row>
    <row r="1559" spans="43:43">
      <c r="AQ1559" s="248"/>
    </row>
    <row r="1560" spans="43:43">
      <c r="AQ1560" s="248"/>
    </row>
    <row r="1561" spans="43:43">
      <c r="AQ1561" s="248"/>
    </row>
    <row r="1562" spans="43:43">
      <c r="AQ1562" s="248"/>
    </row>
    <row r="1563" spans="43:43">
      <c r="AQ1563" s="248"/>
    </row>
    <row r="1564" spans="43:43">
      <c r="AQ1564" s="248"/>
    </row>
    <row r="1565" spans="43:43">
      <c r="AQ1565" s="248"/>
    </row>
    <row r="1566" spans="43:43">
      <c r="AQ1566" s="248"/>
    </row>
    <row r="1567" spans="43:43">
      <c r="AQ1567" s="248"/>
    </row>
    <row r="1568" spans="43:43">
      <c r="AQ1568" s="248"/>
    </row>
    <row r="1569" spans="43:43">
      <c r="AQ1569" s="248"/>
    </row>
    <row r="1570" spans="43:43">
      <c r="AQ1570" s="248"/>
    </row>
    <row r="1571" spans="43:43">
      <c r="AQ1571" s="248"/>
    </row>
    <row r="1572" spans="43:43">
      <c r="AQ1572" s="248"/>
    </row>
    <row r="1573" spans="43:43">
      <c r="AQ1573" s="248"/>
    </row>
    <row r="1574" spans="43:43">
      <c r="AQ1574" s="248"/>
    </row>
    <row r="1575" spans="43:43">
      <c r="AQ1575" s="248"/>
    </row>
    <row r="1576" spans="43:43">
      <c r="AQ1576" s="248"/>
    </row>
    <row r="1577" spans="43:43">
      <c r="AQ1577" s="248"/>
    </row>
    <row r="1578" spans="43:43">
      <c r="AQ1578" s="248"/>
    </row>
    <row r="1579" spans="43:43">
      <c r="AQ1579" s="248"/>
    </row>
    <row r="1580" spans="43:43">
      <c r="AQ1580" s="248"/>
    </row>
    <row r="1581" spans="43:43">
      <c r="AQ1581" s="248"/>
    </row>
    <row r="1582" spans="43:43">
      <c r="AQ1582" s="248"/>
    </row>
    <row r="1583" spans="43:43">
      <c r="AQ1583" s="248"/>
    </row>
    <row r="1584" spans="43:43">
      <c r="AQ1584" s="248"/>
    </row>
    <row r="1585" spans="43:43">
      <c r="AQ1585" s="248"/>
    </row>
    <row r="1586" spans="43:43">
      <c r="AQ1586" s="248"/>
    </row>
    <row r="1587" spans="43:43">
      <c r="AQ1587" s="248"/>
    </row>
    <row r="1588" spans="43:43">
      <c r="AQ1588" s="268"/>
    </row>
    <row r="1589" spans="43:43">
      <c r="AQ1589" s="248"/>
    </row>
    <row r="1590" spans="43:43">
      <c r="AQ1590" s="248"/>
    </row>
    <row r="1591" spans="43:43">
      <c r="AQ1591" s="248"/>
    </row>
    <row r="1592" spans="43:43">
      <c r="AQ1592" s="248"/>
    </row>
    <row r="1593" spans="43:43">
      <c r="AQ1593" s="248"/>
    </row>
    <row r="1594" spans="43:43">
      <c r="AQ1594" s="248"/>
    </row>
    <row r="1595" spans="43:43">
      <c r="AQ1595" s="248"/>
    </row>
    <row r="1596" spans="43:43">
      <c r="AQ1596" s="248"/>
    </row>
    <row r="1597" spans="43:43">
      <c r="AQ1597" s="248"/>
    </row>
    <row r="1598" spans="43:43">
      <c r="AQ1598" s="248"/>
    </row>
    <row r="1599" spans="43:43">
      <c r="AQ1599" s="248"/>
    </row>
    <row r="1600" spans="43:43">
      <c r="AQ1600" s="248"/>
    </row>
    <row r="1601" spans="43:43">
      <c r="AQ1601" s="248"/>
    </row>
    <row r="1602" spans="43:43">
      <c r="AQ1602" s="248"/>
    </row>
    <row r="1603" spans="43:43">
      <c r="AQ1603" s="248"/>
    </row>
    <row r="1604" spans="43:43">
      <c r="AQ1604" s="248"/>
    </row>
    <row r="1605" spans="43:43">
      <c r="AQ1605" s="268"/>
    </row>
    <row r="1606" spans="43:43">
      <c r="AQ1606" s="248"/>
    </row>
    <row r="1607" spans="43:43">
      <c r="AQ1607" s="248"/>
    </row>
    <row r="1608" spans="43:43">
      <c r="AQ1608" s="248"/>
    </row>
    <row r="1609" spans="43:43">
      <c r="AQ1609" s="248"/>
    </row>
    <row r="1610" spans="43:43">
      <c r="AQ1610" s="248"/>
    </row>
    <row r="1611" spans="43:43">
      <c r="AQ1611" s="248"/>
    </row>
    <row r="1612" spans="43:43">
      <c r="AQ1612" s="248"/>
    </row>
    <row r="1613" spans="43:43">
      <c r="AQ1613" s="248"/>
    </row>
    <row r="1614" spans="43:43">
      <c r="AQ1614" s="248"/>
    </row>
    <row r="1615" spans="43:43">
      <c r="AQ1615" s="248"/>
    </row>
    <row r="1616" spans="43:43">
      <c r="AQ1616" s="248"/>
    </row>
    <row r="1617" spans="43:43">
      <c r="AQ1617" s="248"/>
    </row>
    <row r="1618" spans="43:43">
      <c r="AQ1618" s="248"/>
    </row>
    <row r="1619" spans="43:43">
      <c r="AQ1619" s="248"/>
    </row>
    <row r="1620" spans="43:43">
      <c r="AQ1620" s="248"/>
    </row>
    <row r="1621" spans="43:43">
      <c r="AQ1621" s="248"/>
    </row>
    <row r="1622" spans="43:43">
      <c r="AQ1622" s="248"/>
    </row>
    <row r="1623" spans="43:43">
      <c r="AQ1623" s="248"/>
    </row>
    <row r="1624" spans="43:43">
      <c r="AQ1624" s="248"/>
    </row>
    <row r="1625" spans="43:43">
      <c r="AQ1625" s="248"/>
    </row>
    <row r="1626" spans="43:43">
      <c r="AQ1626" s="248"/>
    </row>
    <row r="1627" spans="43:43">
      <c r="AQ1627" s="248"/>
    </row>
    <row r="1628" spans="43:43">
      <c r="AQ1628" s="248"/>
    </row>
    <row r="1629" spans="43:43">
      <c r="AQ1629" s="248"/>
    </row>
    <row r="1630" spans="43:43">
      <c r="AQ1630" s="248"/>
    </row>
    <row r="1631" spans="43:43">
      <c r="AQ1631" s="248"/>
    </row>
    <row r="1632" spans="43:43">
      <c r="AQ1632" s="248"/>
    </row>
    <row r="1633" spans="43:43">
      <c r="AQ1633" s="248"/>
    </row>
    <row r="1634" spans="43:43">
      <c r="AQ1634" s="248"/>
    </row>
    <row r="1635" spans="43:43">
      <c r="AQ1635" s="248"/>
    </row>
    <row r="1636" spans="43:43">
      <c r="AQ1636" s="248"/>
    </row>
    <row r="1637" spans="43:43">
      <c r="AQ1637" s="248"/>
    </row>
    <row r="1638" spans="43:43">
      <c r="AQ1638" s="248"/>
    </row>
    <row r="1639" spans="43:43">
      <c r="AQ1639" s="248"/>
    </row>
    <row r="1640" spans="43:43">
      <c r="AQ1640" s="248"/>
    </row>
    <row r="1641" spans="43:43">
      <c r="AQ1641" s="248"/>
    </row>
    <row r="1642" spans="43:43">
      <c r="AQ1642" s="248"/>
    </row>
    <row r="1643" spans="43:43">
      <c r="AQ1643" s="248"/>
    </row>
    <row r="1644" spans="43:43">
      <c r="AQ1644" s="248"/>
    </row>
    <row r="1645" spans="43:43">
      <c r="AQ1645" s="248"/>
    </row>
    <row r="1646" spans="43:43">
      <c r="AQ1646" s="248"/>
    </row>
    <row r="1647" spans="43:43">
      <c r="AQ1647" s="248"/>
    </row>
    <row r="1648" spans="43:43">
      <c r="AQ1648" s="248"/>
    </row>
    <row r="1649" spans="43:43">
      <c r="AQ1649" s="248"/>
    </row>
    <row r="1650" spans="43:43">
      <c r="AQ1650" s="248"/>
    </row>
    <row r="1651" spans="43:43">
      <c r="AQ1651" s="248"/>
    </row>
    <row r="1652" spans="43:43">
      <c r="AQ1652" s="248"/>
    </row>
    <row r="1653" spans="43:43">
      <c r="AQ1653" s="248"/>
    </row>
    <row r="1654" spans="43:43">
      <c r="AQ1654" s="248"/>
    </row>
    <row r="1655" spans="43:43">
      <c r="AQ1655" s="248"/>
    </row>
    <row r="1656" spans="43:43">
      <c r="AQ1656" s="248"/>
    </row>
    <row r="1657" spans="43:43">
      <c r="AQ1657" s="248"/>
    </row>
    <row r="1658" spans="43:43">
      <c r="AQ1658" s="248"/>
    </row>
    <row r="1659" spans="43:43">
      <c r="AQ1659" s="248"/>
    </row>
    <row r="1660" spans="43:43">
      <c r="AQ1660" s="248"/>
    </row>
    <row r="1661" spans="43:43">
      <c r="AQ1661" s="248"/>
    </row>
    <row r="1662" spans="43:43">
      <c r="AQ1662" s="248"/>
    </row>
    <row r="1663" spans="43:43">
      <c r="AQ1663" s="248"/>
    </row>
    <row r="1664" spans="43:43">
      <c r="AQ1664" s="248"/>
    </row>
    <row r="1665" spans="43:43">
      <c r="AQ1665" s="248"/>
    </row>
    <row r="1666" spans="43:43">
      <c r="AQ1666" s="248"/>
    </row>
    <row r="1667" spans="43:43">
      <c r="AQ1667" s="248"/>
    </row>
    <row r="1668" spans="43:43">
      <c r="AQ1668" s="248"/>
    </row>
    <row r="1669" spans="43:43">
      <c r="AQ1669" s="248"/>
    </row>
    <row r="1670" spans="43:43">
      <c r="AQ1670" s="248"/>
    </row>
    <row r="1671" spans="43:43">
      <c r="AQ1671" s="248"/>
    </row>
    <row r="1672" spans="43:43">
      <c r="AQ1672" s="248"/>
    </row>
    <row r="1673" spans="43:43">
      <c r="AQ1673" s="248"/>
    </row>
    <row r="1674" spans="43:43">
      <c r="AQ1674" s="248"/>
    </row>
    <row r="1675" spans="43:43">
      <c r="AQ1675" s="248"/>
    </row>
    <row r="1676" spans="43:43">
      <c r="AQ1676" s="248"/>
    </row>
    <row r="1677" spans="43:43">
      <c r="AQ1677" s="248"/>
    </row>
    <row r="1678" spans="43:43">
      <c r="AQ1678" s="248"/>
    </row>
    <row r="1679" spans="43:43">
      <c r="AQ1679" s="248"/>
    </row>
    <row r="1680" spans="43:43">
      <c r="AQ1680" s="248"/>
    </row>
    <row r="1681" spans="43:43">
      <c r="AQ1681" s="268"/>
    </row>
    <row r="1682" spans="43:43">
      <c r="AQ1682" s="248"/>
    </row>
    <row r="1683" spans="43:43">
      <c r="AQ1683" s="248"/>
    </row>
    <row r="1684" spans="43:43">
      <c r="AQ1684" s="248"/>
    </row>
    <row r="1685" spans="43:43">
      <c r="AQ1685" s="248"/>
    </row>
    <row r="1686" spans="43:43">
      <c r="AQ1686" s="248"/>
    </row>
    <row r="1687" spans="43:43">
      <c r="AQ1687" s="248"/>
    </row>
    <row r="1688" spans="43:43">
      <c r="AQ1688" s="248"/>
    </row>
    <row r="1689" spans="43:43">
      <c r="AQ1689" s="248"/>
    </row>
    <row r="1690" spans="43:43">
      <c r="AQ1690" s="248"/>
    </row>
    <row r="1691" spans="43:43">
      <c r="AQ1691" s="248"/>
    </row>
    <row r="1692" spans="43:43">
      <c r="AQ1692" s="248"/>
    </row>
    <row r="1693" spans="43:43">
      <c r="AQ1693" s="248"/>
    </row>
    <row r="1694" spans="43:43">
      <c r="AQ1694" s="248"/>
    </row>
    <row r="1695" spans="43:43">
      <c r="AQ1695" s="248"/>
    </row>
    <row r="1696" spans="43:43">
      <c r="AQ1696" s="248"/>
    </row>
    <row r="1697" spans="43:43">
      <c r="AQ1697" s="248"/>
    </row>
    <row r="1698" spans="43:43">
      <c r="AQ1698" s="248"/>
    </row>
    <row r="1699" spans="43:43">
      <c r="AQ1699" s="248"/>
    </row>
    <row r="1700" spans="43:43">
      <c r="AQ1700" s="248"/>
    </row>
    <row r="1701" spans="43:43">
      <c r="AQ1701" s="248"/>
    </row>
    <row r="1702" spans="43:43">
      <c r="AQ1702" s="248"/>
    </row>
    <row r="1703" spans="43:43">
      <c r="AQ1703" s="248"/>
    </row>
    <row r="1704" spans="43:43">
      <c r="AQ1704" s="248"/>
    </row>
    <row r="1705" spans="43:43">
      <c r="AQ1705" s="248"/>
    </row>
    <row r="1706" spans="43:43">
      <c r="AQ1706" s="248"/>
    </row>
    <row r="1707" spans="43:43">
      <c r="AQ1707" s="248"/>
    </row>
    <row r="1708" spans="43:43">
      <c r="AQ1708" s="248"/>
    </row>
    <row r="1709" spans="43:43">
      <c r="AQ1709" s="248"/>
    </row>
    <row r="1710" spans="43:43">
      <c r="AQ1710" s="248"/>
    </row>
    <row r="1711" spans="43:43">
      <c r="AQ1711" s="248"/>
    </row>
    <row r="1712" spans="43:43">
      <c r="AQ1712" s="248"/>
    </row>
    <row r="1713" spans="43:43">
      <c r="AQ1713" s="248"/>
    </row>
    <row r="1714" spans="43:43">
      <c r="AQ1714" s="248"/>
    </row>
    <row r="1715" spans="43:43">
      <c r="AQ1715" s="248"/>
    </row>
    <row r="1716" spans="43:43">
      <c r="AQ1716" s="248"/>
    </row>
    <row r="1717" spans="43:43">
      <c r="AQ1717" s="248"/>
    </row>
    <row r="1718" spans="43:43">
      <c r="AQ1718" s="248"/>
    </row>
    <row r="1719" spans="43:43">
      <c r="AQ1719" s="248"/>
    </row>
    <row r="1720" spans="43:43">
      <c r="AQ1720" s="248"/>
    </row>
    <row r="1721" spans="43:43">
      <c r="AQ1721" s="248"/>
    </row>
    <row r="1722" spans="43:43">
      <c r="AQ1722" s="248"/>
    </row>
    <row r="1723" spans="43:43">
      <c r="AQ1723" s="248"/>
    </row>
    <row r="1724" spans="43:43">
      <c r="AQ1724" s="248"/>
    </row>
    <row r="1725" spans="43:43">
      <c r="AQ1725" s="248"/>
    </row>
    <row r="1726" spans="43:43">
      <c r="AQ1726" s="248"/>
    </row>
    <row r="1727" spans="43:43">
      <c r="AQ1727" s="248"/>
    </row>
    <row r="1728" spans="43:43">
      <c r="AQ1728" s="248"/>
    </row>
    <row r="1729" spans="43:43">
      <c r="AQ1729" s="248"/>
    </row>
    <row r="1730" spans="43:43">
      <c r="AQ1730" s="248"/>
    </row>
    <row r="1731" spans="43:43">
      <c r="AQ1731" s="248"/>
    </row>
    <row r="1732" spans="43:43">
      <c r="AQ1732" s="248"/>
    </row>
    <row r="1733" spans="43:43">
      <c r="AQ1733" s="248"/>
    </row>
    <row r="1734" spans="43:43">
      <c r="AQ1734" s="268"/>
    </row>
    <row r="1735" spans="43:43">
      <c r="AQ1735" s="248"/>
    </row>
    <row r="1736" spans="43:43">
      <c r="AQ1736" s="248"/>
    </row>
    <row r="1737" spans="43:43">
      <c r="AQ1737" s="248"/>
    </row>
    <row r="1738" spans="43:43">
      <c r="AQ1738" s="248"/>
    </row>
    <row r="1739" spans="43:43">
      <c r="AQ1739" s="248"/>
    </row>
    <row r="1740" spans="43:43">
      <c r="AQ1740" s="248"/>
    </row>
    <row r="1741" spans="43:43">
      <c r="AQ1741" s="248"/>
    </row>
    <row r="1742" spans="43:43">
      <c r="AQ1742" s="248"/>
    </row>
    <row r="1743" spans="43:43">
      <c r="AQ1743" s="248"/>
    </row>
    <row r="1744" spans="43:43">
      <c r="AQ1744" s="248"/>
    </row>
    <row r="1745" spans="43:43">
      <c r="AQ1745" s="248"/>
    </row>
    <row r="1746" spans="43:43">
      <c r="AQ1746" s="248"/>
    </row>
    <row r="1747" spans="43:43">
      <c r="AQ1747" s="248"/>
    </row>
    <row r="1748" spans="43:43">
      <c r="AQ1748" s="248"/>
    </row>
    <row r="1749" spans="43:43">
      <c r="AQ1749" s="248"/>
    </row>
    <row r="1750" spans="43:43">
      <c r="AQ1750" s="248"/>
    </row>
    <row r="1751" spans="43:43">
      <c r="AQ1751" s="248"/>
    </row>
    <row r="1752" spans="43:43">
      <c r="AQ1752" s="248"/>
    </row>
    <row r="1753" spans="43:43">
      <c r="AQ1753" s="248"/>
    </row>
    <row r="1754" spans="43:43">
      <c r="AQ1754" s="248"/>
    </row>
    <row r="1755" spans="43:43">
      <c r="AQ1755" s="248"/>
    </row>
    <row r="1756" spans="43:43">
      <c r="AQ1756" s="248"/>
    </row>
    <row r="1757" spans="43:43">
      <c r="AQ1757" s="248"/>
    </row>
    <row r="1758" spans="43:43">
      <c r="AQ1758" s="248"/>
    </row>
    <row r="1759" spans="43:43">
      <c r="AQ1759" s="248"/>
    </row>
    <row r="1760" spans="43:43">
      <c r="AQ1760" s="248"/>
    </row>
    <row r="1761" spans="43:43">
      <c r="AQ1761" s="248"/>
    </row>
    <row r="1762" spans="43:43">
      <c r="AQ1762" s="248"/>
    </row>
    <row r="1763" spans="43:43">
      <c r="AQ1763" s="248"/>
    </row>
    <row r="1764" spans="43:43">
      <c r="AQ1764" s="248"/>
    </row>
    <row r="1765" spans="43:43">
      <c r="AQ1765" s="248"/>
    </row>
    <row r="1766" spans="43:43">
      <c r="AQ1766" s="248"/>
    </row>
    <row r="1767" spans="43:43">
      <c r="AQ1767" s="248"/>
    </row>
    <row r="1768" spans="43:43">
      <c r="AQ1768" s="248"/>
    </row>
    <row r="1769" spans="43:43">
      <c r="AQ1769" s="248"/>
    </row>
    <row r="1770" spans="43:43">
      <c r="AQ1770" s="248"/>
    </row>
    <row r="1771" spans="43:43">
      <c r="AQ1771" s="268"/>
    </row>
    <row r="1772" spans="43:43">
      <c r="AQ1772" s="248"/>
    </row>
    <row r="1773" spans="43:43">
      <c r="AQ1773" s="248"/>
    </row>
    <row r="1774" spans="43:43">
      <c r="AQ1774" s="248"/>
    </row>
    <row r="1775" spans="43:43">
      <c r="AQ1775" s="248"/>
    </row>
    <row r="1776" spans="43:43">
      <c r="AQ1776" s="248"/>
    </row>
    <row r="1777" spans="43:43">
      <c r="AQ1777" s="248"/>
    </row>
    <row r="1778" spans="43:43">
      <c r="AQ1778" s="248"/>
    </row>
    <row r="1779" spans="43:43">
      <c r="AQ1779" s="248"/>
    </row>
    <row r="1780" spans="43:43">
      <c r="AQ1780" s="248"/>
    </row>
    <row r="1781" spans="43:43">
      <c r="AQ1781" s="248"/>
    </row>
    <row r="1782" spans="43:43">
      <c r="AQ1782" s="248"/>
    </row>
    <row r="1783" spans="43:43">
      <c r="AQ1783" s="248"/>
    </row>
    <row r="1784" spans="43:43">
      <c r="AQ1784" s="248"/>
    </row>
    <row r="1785" spans="43:43">
      <c r="AQ1785" s="248"/>
    </row>
    <row r="1786" spans="43:43">
      <c r="AQ1786" s="248"/>
    </row>
    <row r="1787" spans="43:43">
      <c r="AQ1787" s="248"/>
    </row>
    <row r="1788" spans="43:43">
      <c r="AQ1788" s="248"/>
    </row>
    <row r="1789" spans="43:43">
      <c r="AQ1789" s="248"/>
    </row>
    <row r="1790" spans="43:43">
      <c r="AQ1790" s="248"/>
    </row>
    <row r="1791" spans="43:43">
      <c r="AQ1791" s="248"/>
    </row>
    <row r="1792" spans="43:43">
      <c r="AQ1792" s="248"/>
    </row>
    <row r="1793" spans="43:43">
      <c r="AQ1793" s="268"/>
    </row>
    <row r="1794" spans="43:43">
      <c r="AQ1794" s="248"/>
    </row>
    <row r="1795" spans="43:43">
      <c r="AQ1795" s="248"/>
    </row>
    <row r="1796" spans="43:43">
      <c r="AQ1796" s="248"/>
    </row>
    <row r="1797" spans="43:43">
      <c r="AQ1797" s="248"/>
    </row>
    <row r="1798" spans="43:43">
      <c r="AQ1798" s="248"/>
    </row>
    <row r="1799" spans="43:43">
      <c r="AQ1799" s="248"/>
    </row>
    <row r="1800" spans="43:43">
      <c r="AQ1800" s="248"/>
    </row>
    <row r="1801" spans="43:43">
      <c r="AQ1801" s="248"/>
    </row>
    <row r="1802" spans="43:43">
      <c r="AQ1802" s="248"/>
    </row>
    <row r="1803" spans="43:43">
      <c r="AQ1803" s="248"/>
    </row>
    <row r="1804" spans="43:43">
      <c r="AQ1804" s="248"/>
    </row>
    <row r="1805" spans="43:43">
      <c r="AQ1805" s="248"/>
    </row>
    <row r="1806" spans="43:43">
      <c r="AQ1806" s="248"/>
    </row>
    <row r="1807" spans="43:43">
      <c r="AQ1807" s="248"/>
    </row>
    <row r="1808" spans="43:43">
      <c r="AQ1808" s="248"/>
    </row>
    <row r="1809" spans="43:43">
      <c r="AQ1809" s="248"/>
    </row>
    <row r="1810" spans="43:43">
      <c r="AQ1810" s="248"/>
    </row>
    <row r="1811" spans="43:43">
      <c r="AQ1811" s="248"/>
    </row>
    <row r="1812" spans="43:43">
      <c r="AQ1812" s="248"/>
    </row>
    <row r="1813" spans="43:43">
      <c r="AQ1813" s="248"/>
    </row>
    <row r="1814" spans="43:43">
      <c r="AQ1814" s="248"/>
    </row>
    <row r="1815" spans="43:43">
      <c r="AQ1815" s="248"/>
    </row>
    <row r="1816" spans="43:43">
      <c r="AQ1816" s="248"/>
    </row>
    <row r="1817" spans="43:43">
      <c r="AQ1817" s="248"/>
    </row>
    <row r="1818" spans="43:43">
      <c r="AQ1818" s="248"/>
    </row>
    <row r="1819" spans="43:43">
      <c r="AQ1819" s="248"/>
    </row>
    <row r="1820" spans="43:43">
      <c r="AQ1820" s="248"/>
    </row>
    <row r="1821" spans="43:43">
      <c r="AQ1821" s="248"/>
    </row>
    <row r="1822" spans="43:43">
      <c r="AQ1822" s="248"/>
    </row>
    <row r="1823" spans="43:43">
      <c r="AQ1823" s="248"/>
    </row>
    <row r="1824" spans="43:43">
      <c r="AQ1824" s="248"/>
    </row>
    <row r="1825" spans="43:43">
      <c r="AQ1825" s="248"/>
    </row>
    <row r="1826" spans="43:43">
      <c r="AQ1826" s="248"/>
    </row>
    <row r="1827" spans="43:43">
      <c r="AQ1827" s="248"/>
    </row>
    <row r="1828" spans="43:43">
      <c r="AQ1828" s="248"/>
    </row>
    <row r="1829" spans="43:43">
      <c r="AQ1829" s="248"/>
    </row>
    <row r="1830" spans="43:43">
      <c r="AQ1830" s="248"/>
    </row>
    <row r="1831" spans="43:43">
      <c r="AQ1831" s="248"/>
    </row>
    <row r="1832" spans="43:43">
      <c r="AQ1832" s="248"/>
    </row>
    <row r="1833" spans="43:43">
      <c r="AQ1833" s="248"/>
    </row>
    <row r="1834" spans="43:43">
      <c r="AQ1834" s="248"/>
    </row>
    <row r="1835" spans="43:43">
      <c r="AQ1835" s="248"/>
    </row>
    <row r="1836" spans="43:43">
      <c r="AQ1836" s="248"/>
    </row>
    <row r="1837" spans="43:43">
      <c r="AQ1837" s="248"/>
    </row>
    <row r="1838" spans="43:43">
      <c r="AQ1838" s="248"/>
    </row>
    <row r="1839" spans="43:43">
      <c r="AQ1839" s="248"/>
    </row>
    <row r="1840" spans="43:43">
      <c r="AQ1840" s="248"/>
    </row>
  </sheetData>
  <sheetProtection algorithmName="SHA-512" hashValue="vgPxcgLqao+PQKMKpLohKU35jeQRmm7zjo7CbjOT5ege96K8iCQXYutC/2u042jQSOc7PiHfecfCaHE/D8GqtA==" saltValue="0QFm0bxDHeB9iLTasnh10w==" spinCount="100000" sheet="1" objects="1" scenarios="1" formatCells="0"/>
  <protectedRanges>
    <protectedRange sqref="E5" name="범위9"/>
    <protectedRange sqref="C8:N8" name="범위7"/>
    <protectedRange sqref="AI4:AJ4 A6" name="범위5"/>
    <protectedRange sqref="AJ1" name="범위3"/>
    <protectedRange sqref="F2 D4:D5 D6:E6 M1 N2:N4 K2:K6 D8 B13:D36 M12:N36" name="범위1"/>
    <protectedRange sqref="E9 E12:L36" name="범위2"/>
    <protectedRange sqref="E6:G6" name="범위4"/>
    <protectedRange sqref="AW6" name="범위6"/>
    <protectedRange sqref="B12:D12" name="범위1_2"/>
  </protectedRanges>
  <dataConsolidate/>
  <mergeCells count="53">
    <mergeCell ref="A1:F1"/>
    <mergeCell ref="A6:B6"/>
    <mergeCell ref="A2:B2"/>
    <mergeCell ref="F2:G2"/>
    <mergeCell ref="D4:G4"/>
    <mergeCell ref="D3:G3"/>
    <mergeCell ref="A3:B4"/>
    <mergeCell ref="A5:B5"/>
    <mergeCell ref="E6:G6"/>
    <mergeCell ref="K6:N6"/>
    <mergeCell ref="K1:L1"/>
    <mergeCell ref="I5:J5"/>
    <mergeCell ref="K10:L10"/>
    <mergeCell ref="I4:J4"/>
    <mergeCell ref="I6:J6"/>
    <mergeCell ref="I1:J1"/>
    <mergeCell ref="L3:M3"/>
    <mergeCell ref="I10:I11"/>
    <mergeCell ref="K5:N5"/>
    <mergeCell ref="M10:M11"/>
    <mergeCell ref="N10:N11"/>
    <mergeCell ref="L2:M2"/>
    <mergeCell ref="I2:J2"/>
    <mergeCell ref="I3:J3"/>
    <mergeCell ref="L4:M4"/>
    <mergeCell ref="R2:S2"/>
    <mergeCell ref="R3:S3"/>
    <mergeCell ref="R4:T4"/>
    <mergeCell ref="AI6:AJ8"/>
    <mergeCell ref="AH10:AH11"/>
    <mergeCell ref="AI9:AJ9"/>
    <mergeCell ref="BK12:BL36"/>
    <mergeCell ref="AS2:BI2"/>
    <mergeCell ref="AV5:AZ5"/>
    <mergeCell ref="AW6:AZ6"/>
    <mergeCell ref="BE6:BH6"/>
    <mergeCell ref="AT8:AV8"/>
    <mergeCell ref="AW8:BF8"/>
    <mergeCell ref="BG8:BH8"/>
    <mergeCell ref="A9:C9"/>
    <mergeCell ref="A10:A11"/>
    <mergeCell ref="Q10:AG10"/>
    <mergeCell ref="E9:N9"/>
    <mergeCell ref="A8:B8"/>
    <mergeCell ref="B10:B11"/>
    <mergeCell ref="J10:J11"/>
    <mergeCell ref="F10:F11"/>
    <mergeCell ref="H10:H11"/>
    <mergeCell ref="E10:E11"/>
    <mergeCell ref="C8:J8"/>
    <mergeCell ref="K8:N8"/>
    <mergeCell ref="C10:D10"/>
    <mergeCell ref="G10:G11"/>
  </mergeCells>
  <phoneticPr fontId="1" type="noConversion"/>
  <conditionalFormatting sqref="E12:E36">
    <cfRule type="expression" dxfId="36" priority="44">
      <formula>$E12:$E33="70"</formula>
    </cfRule>
    <cfRule type="expression" dxfId="35" priority="45">
      <formula>$E12:$E33="60"</formula>
    </cfRule>
    <cfRule type="expression" dxfId="34" priority="46">
      <formula>$E12:$E33="50"</formula>
    </cfRule>
  </conditionalFormatting>
  <conditionalFormatting sqref="E12:E36">
    <cfRule type="expression" dxfId="33" priority="47">
      <formula>$E12:$E36="70"</formula>
    </cfRule>
    <cfRule type="expression" dxfId="32" priority="48">
      <formula>$E12:$E36="60"</formula>
    </cfRule>
    <cfRule type="expression" dxfId="31" priority="49">
      <formula>$E12:$E36="50"</formula>
    </cfRule>
  </conditionalFormatting>
  <conditionalFormatting sqref="E31:E33">
    <cfRule type="expression" dxfId="30" priority="41">
      <formula>$E31:$E52="70"</formula>
    </cfRule>
    <cfRule type="expression" dxfId="29" priority="42">
      <formula>$E31:$E52="60"</formula>
    </cfRule>
    <cfRule type="expression" dxfId="28" priority="43">
      <formula>$E31:$E52="50"</formula>
    </cfRule>
  </conditionalFormatting>
  <conditionalFormatting sqref="E12:E36">
    <cfRule type="containsText" dxfId="27" priority="39" stopIfTrue="1" operator="containsText" text="불가">
      <formula>NOT(ISERROR(SEARCH("불가",E12)))</formula>
    </cfRule>
  </conditionalFormatting>
  <conditionalFormatting sqref="N3:O3">
    <cfRule type="expression" dxfId="26" priority="37" stopIfTrue="1">
      <formula>AND(OR($D$5="G-3",$D$5="GC-3",$D$5="G-4",$D$5="GC-4"),$N$3="")</formula>
    </cfRule>
  </conditionalFormatting>
  <conditionalFormatting sqref="D2">
    <cfRule type="expression" dxfId="25" priority="34">
      <formula>OR(WEEKDAY($D$2)=1,WEEKDAY($D$2)=7)</formula>
    </cfRule>
  </conditionalFormatting>
  <conditionalFormatting sqref="F2:G2">
    <cfRule type="expression" dxfId="24" priority="28">
      <formula>OR(WEEKDAY($F$2)=1,WEEKDAY($F$2)=7)</formula>
    </cfRule>
    <cfRule type="expression" dxfId="23" priority="32">
      <formula>$F$2&lt;$D$2</formula>
    </cfRule>
  </conditionalFormatting>
  <conditionalFormatting sqref="D3:G3">
    <cfRule type="expression" dxfId="22" priority="27">
      <formula>$D$3=""</formula>
    </cfRule>
  </conditionalFormatting>
  <conditionalFormatting sqref="D4:G4">
    <cfRule type="expression" dxfId="21" priority="26">
      <formula>$D$4=""</formula>
    </cfRule>
  </conditionalFormatting>
  <conditionalFormatting sqref="D5">
    <cfRule type="expression" dxfId="20" priority="25">
      <formula>$D$5=""</formula>
    </cfRule>
  </conditionalFormatting>
  <conditionalFormatting sqref="D6">
    <cfRule type="expression" dxfId="19" priority="24">
      <formula>$D$6=""</formula>
    </cfRule>
  </conditionalFormatting>
  <conditionalFormatting sqref="E6:G6">
    <cfRule type="expression" dxfId="18" priority="23">
      <formula>AND($D$6="특이",$E$6="")</formula>
    </cfRule>
  </conditionalFormatting>
  <conditionalFormatting sqref="M1">
    <cfRule type="expression" dxfId="17" priority="22">
      <formula>$M$1=""</formula>
    </cfRule>
  </conditionalFormatting>
  <conditionalFormatting sqref="K2">
    <cfRule type="expression" dxfId="16" priority="21">
      <formula>$K$2=""</formula>
    </cfRule>
  </conditionalFormatting>
  <conditionalFormatting sqref="N2">
    <cfRule type="expression" dxfId="15" priority="20">
      <formula>$N$2=""</formula>
    </cfRule>
  </conditionalFormatting>
  <conditionalFormatting sqref="K4">
    <cfRule type="expression" dxfId="14" priority="19">
      <formula>$K$4=""</formula>
    </cfRule>
  </conditionalFormatting>
  <conditionalFormatting sqref="N4">
    <cfRule type="expression" dxfId="13" priority="18">
      <formula>$N$4=""</formula>
    </cfRule>
  </conditionalFormatting>
  <conditionalFormatting sqref="K5:N5">
    <cfRule type="expression" dxfId="12" priority="17">
      <formula>$K$5=""</formula>
    </cfRule>
  </conditionalFormatting>
  <conditionalFormatting sqref="K6:N6">
    <cfRule type="expression" dxfId="11" priority="9">
      <formula>$N$4="직배송"</formula>
    </cfRule>
    <cfRule type="expression" dxfId="10" priority="16">
      <formula>$K$6=""</formula>
    </cfRule>
  </conditionalFormatting>
  <conditionalFormatting sqref="AV6">
    <cfRule type="expression" dxfId="9" priority="12">
      <formula>AV6="신규"</formula>
    </cfRule>
  </conditionalFormatting>
  <conditionalFormatting sqref="AV5:AZ5">
    <cfRule type="expression" dxfId="8" priority="10">
      <formula>AV6="신규"</formula>
    </cfRule>
  </conditionalFormatting>
  <conditionalFormatting sqref="C8:J8">
    <cfRule type="expression" dxfId="7" priority="6">
      <formula>$N$4="직배송"</formula>
    </cfRule>
    <cfRule type="expression" dxfId="6" priority="7">
      <formula>$C$8=""</formula>
    </cfRule>
  </conditionalFormatting>
  <conditionalFormatting sqref="AI6:AJ8">
    <cfRule type="expression" dxfId="5" priority="3">
      <formula>AND($D$4&lt;&gt;$BI$8,$AV$5="",$D$4&lt;&gt;"")</formula>
    </cfRule>
    <cfRule type="expression" dxfId="4" priority="4">
      <formula>AND($D$5&lt;&gt;"E-4",$D$5&lt;&gt;"EC-4",$D$5&lt;&gt;"GC-4",$D$5&lt;&gt;"CC-4",$D$5&lt;&gt;"G-4",$D$5&lt;&gt;"L-4",$D$5&lt;&gt;"C-4",$D$5&lt;&gt;"CC-4",$E$5="피스홀")</formula>
    </cfRule>
  </conditionalFormatting>
  <conditionalFormatting sqref="AI9:AJ9">
    <cfRule type="expression" dxfId="3" priority="1">
      <formula>$D$3="한맥창호"</formula>
    </cfRule>
  </conditionalFormatting>
  <dataValidations count="13">
    <dataValidation type="list" allowBlank="1" showInputMessage="1" showErrorMessage="1" sqref="K4" xr:uid="{00000000-0002-0000-0100-000000000000}">
      <formula1>"박스,완제품"</formula1>
    </dataValidation>
    <dataValidation type="list" allowBlank="1" showInputMessage="1" showErrorMessage="1" sqref="N4:O4" xr:uid="{00000000-0002-0000-0100-000001000000}">
      <formula1>"현택,현불,착택,착불,화물,직배송"</formula1>
    </dataValidation>
    <dataValidation type="list" allowBlank="1" showInputMessage="1" showErrorMessage="1" sqref="K2" xr:uid="{00000000-0002-0000-0100-000002000000}">
      <formula1>"○, X"</formula1>
    </dataValidation>
    <dataValidation type="list" allowBlank="1" showInputMessage="1" showErrorMessage="1" sqref="N2:O2" xr:uid="{00000000-0002-0000-0100-000003000000}">
      <formula1>"남선, 이지스, 미부착"</formula1>
    </dataValidation>
    <dataValidation type="list" allowBlank="1" showInputMessage="1" showErrorMessage="1" sqref="D6" xr:uid="{00000000-0002-0000-0100-000004000000}">
      <formula1>색상</formula1>
    </dataValidation>
    <dataValidation type="list" allowBlank="1" showInputMessage="1" showErrorMessage="1" sqref="O3" xr:uid="{00000000-0002-0000-0100-000005000000}">
      <formula1>"V, H"</formula1>
    </dataValidation>
    <dataValidation type="list" allowBlank="1" showInputMessage="1" showErrorMessage="1" sqref="D4:G4" xr:uid="{00000000-0002-0000-0100-000006000000}">
      <formula1>담당</formula1>
    </dataValidation>
    <dataValidation type="list" allowBlank="1" showInputMessage="1" showErrorMessage="1" sqref="D5" xr:uid="{00000000-0002-0000-0100-000007000000}">
      <formula1>종류</formula1>
    </dataValidation>
    <dataValidation type="list" allowBlank="1" showInputMessage="1" showErrorMessage="1" sqref="A6:B6" xr:uid="{00000000-0002-0000-0100-000008000000}">
      <formula1>사출색상</formula1>
    </dataValidation>
    <dataValidation type="list" allowBlank="1" showInputMessage="1" showErrorMessage="1" sqref="M12:M36" xr:uid="{00000000-0002-0000-0100-000009000000}">
      <formula1>"끈"</formula1>
    </dataValidation>
    <dataValidation allowBlank="1" showInputMessage="1" showErrorMessage="1" sqref="AS6:AT6 AQ3" xr:uid="{00000000-0002-0000-0100-00000A000000}"/>
    <dataValidation type="list" allowBlank="1" showInputMessage="1" showErrorMessage="1" sqref="N3" xr:uid="{00000000-0002-0000-0100-00000B000000}">
      <formula1>"V, H, L타입"</formula1>
    </dataValidation>
    <dataValidation type="list" allowBlank="1" showInputMessage="1" showErrorMessage="1" sqref="E5" xr:uid="{00000000-0002-0000-0100-00000C000000}">
      <formula1>"피스홀"</formula1>
    </dataValidation>
  </dataValidations>
  <printOptions horizontalCentered="1"/>
  <pageMargins left="0.19685039370078741" right="0.19685039370078741" top="0.98425196850393704" bottom="0.15748031496062992" header="0.19685039370078741" footer="0.19685039370078741"/>
  <pageSetup paperSize="9" scale="91" fitToHeight="0" orientation="portrait" r:id="rId1"/>
  <ignoredErrors>
    <ignoredError sqref="H37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O36"/>
  <sheetViews>
    <sheetView showGridLines="0" showZeros="0" workbookViewId="0">
      <selection activeCell="T17" sqref="T17"/>
    </sheetView>
  </sheetViews>
  <sheetFormatPr defaultRowHeight="13.5"/>
  <cols>
    <col min="1" max="2" width="5.625" style="4" customWidth="1"/>
    <col min="3" max="14" width="6.875" style="1" customWidth="1"/>
    <col min="15" max="15" width="5.875" style="1" customWidth="1"/>
    <col min="16" max="16384" width="9" style="1"/>
  </cols>
  <sheetData>
    <row r="1" spans="1:15" ht="24" customHeight="1">
      <c r="A1" s="410" t="s">
        <v>72</v>
      </c>
      <c r="B1" s="411"/>
      <c r="C1" s="411"/>
      <c r="D1" s="411"/>
      <c r="E1" s="411"/>
      <c r="F1" s="411"/>
      <c r="G1" s="12"/>
      <c r="H1" s="5"/>
      <c r="I1" s="412" t="str">
        <f>방충망발주서!I1:J1</f>
        <v>문서번호:</v>
      </c>
      <c r="J1" s="412"/>
      <c r="K1" s="412" t="str">
        <f>방충망발주서!K1:L1</f>
        <v/>
      </c>
      <c r="L1" s="412"/>
      <c r="M1" s="6">
        <f>방충망발주서!M1</f>
        <v>0</v>
      </c>
      <c r="N1" s="2" t="str">
        <f>방충망발주서!N1</f>
        <v>호</v>
      </c>
      <c r="O1" s="2"/>
    </row>
    <row r="2" spans="1:15" s="3" customFormat="1" ht="24" customHeight="1">
      <c r="A2" s="413" t="str">
        <f>방충망발주서!A2:B2</f>
        <v>NO</v>
      </c>
      <c r="B2" s="414"/>
      <c r="C2" s="48" t="str">
        <f>방충망발주서!C2</f>
        <v>발주일</v>
      </c>
      <c r="D2" s="34">
        <f>방충망발주서!D2</f>
        <v>44753</v>
      </c>
      <c r="E2" s="48" t="str">
        <f>방충망발주서!E2</f>
        <v>납기일</v>
      </c>
      <c r="F2" s="415">
        <f>방충망발주서!F2:G2</f>
        <v>0</v>
      </c>
      <c r="G2" s="372"/>
      <c r="H2" s="15"/>
      <c r="I2" s="373" t="str">
        <f>방충망발주서!I2:J2</f>
        <v>가스켓</v>
      </c>
      <c r="J2" s="374"/>
      <c r="K2" s="49" t="str">
        <f>방충망발주서!K2</f>
        <v>○</v>
      </c>
      <c r="L2" s="382" t="str">
        <f>방충망발주서!L2:M2</f>
        <v>스 티 커</v>
      </c>
      <c r="M2" s="383"/>
      <c r="N2" s="384">
        <f>방충망발주서!N2:N2</f>
        <v>0</v>
      </c>
      <c r="O2" s="385"/>
    </row>
    <row r="3" spans="1:15" ht="24" customHeight="1">
      <c r="A3" s="386">
        <f>방충망발주서!A3:B5</f>
        <v>0</v>
      </c>
      <c r="B3" s="387"/>
      <c r="C3" s="46" t="str">
        <f>방충망발주서!C3</f>
        <v>거래처</v>
      </c>
      <c r="D3" s="370" t="str">
        <f>방충망발주서!D3:G3</f>
        <v/>
      </c>
      <c r="E3" s="371"/>
      <c r="F3" s="371"/>
      <c r="G3" s="372"/>
      <c r="H3" s="15"/>
      <c r="I3" s="373" t="str">
        <f>방충망발주서!I3:J3</f>
        <v>끈길이</v>
      </c>
      <c r="J3" s="374"/>
      <c r="K3" s="49">
        <f>방충망발주서!K3</f>
        <v>0</v>
      </c>
      <c r="L3" s="382" t="str">
        <f>방충망발주서!L3:M3</f>
        <v>레바타입</v>
      </c>
      <c r="M3" s="383"/>
      <c r="N3" s="408"/>
      <c r="O3" s="409"/>
    </row>
    <row r="4" spans="1:15" ht="24" customHeight="1" thickBot="1">
      <c r="A4" s="388"/>
      <c r="B4" s="389"/>
      <c r="C4" s="46" t="str">
        <f>방충망발주서!C4</f>
        <v>담당자</v>
      </c>
      <c r="D4" s="370">
        <f>방충망발주서!D4:G4</f>
        <v>0</v>
      </c>
      <c r="E4" s="371"/>
      <c r="F4" s="371"/>
      <c r="G4" s="372"/>
      <c r="H4" s="15"/>
      <c r="I4" s="373" t="str">
        <f>방충망발주서!I4:J4</f>
        <v>포  장</v>
      </c>
      <c r="J4" s="374"/>
      <c r="K4" s="49">
        <f>방충망발주서!K4</f>
        <v>0</v>
      </c>
      <c r="L4" s="382" t="str">
        <f>방충망발주서!L4:M4</f>
        <v>발송방법</v>
      </c>
      <c r="M4" s="383"/>
      <c r="N4" s="384">
        <f>방충망발주서!N4:N4</f>
        <v>0</v>
      </c>
      <c r="O4" s="385"/>
    </row>
    <row r="5" spans="1:15" ht="24" customHeight="1">
      <c r="A5" s="368" t="str">
        <f>방충망발주서!A5</f>
        <v>사출색상↓</v>
      </c>
      <c r="B5" s="369"/>
      <c r="C5" s="44" t="str">
        <f>방충망발주서!C5</f>
        <v>종  류</v>
      </c>
      <c r="D5" s="33">
        <f>방충망발주서!D5</f>
        <v>0</v>
      </c>
      <c r="E5" s="261">
        <f>방충망발주서!E5</f>
        <v>0</v>
      </c>
      <c r="F5" s="263" t="str">
        <f>방충망발주서!F5</f>
        <v>수량</v>
      </c>
      <c r="G5" s="262">
        <f>방충망발주서!G5</f>
        <v>0</v>
      </c>
      <c r="H5" s="15"/>
      <c r="I5" s="373" t="str">
        <f>방충망발주서!I5:J5</f>
        <v>배송지상호</v>
      </c>
      <c r="J5" s="374"/>
      <c r="K5" s="370">
        <f>방충망발주서!K5:N5</f>
        <v>0</v>
      </c>
      <c r="L5" s="371"/>
      <c r="M5" s="371"/>
      <c r="N5" s="371"/>
      <c r="O5" s="372"/>
    </row>
    <row r="6" spans="1:15" ht="24" customHeight="1" thickBot="1">
      <c r="A6" s="378" t="str">
        <f>방충망발주서!A6:B6</f>
        <v>우측동일</v>
      </c>
      <c r="B6" s="379"/>
      <c r="C6" s="44" t="str">
        <f>방충망발주서!C6</f>
        <v>색  상</v>
      </c>
      <c r="D6" s="50">
        <f>방충망발주서!D6</f>
        <v>0</v>
      </c>
      <c r="E6" s="380">
        <f>방충망발주서!E6:G6</f>
        <v>0</v>
      </c>
      <c r="F6" s="380"/>
      <c r="G6" s="381"/>
      <c r="H6" s="15"/>
      <c r="I6" s="373" t="str">
        <f>방충망발주서!I6:J6</f>
        <v>배송지전화</v>
      </c>
      <c r="J6" s="374"/>
      <c r="K6" s="370">
        <f>방충망발주서!K6:N6</f>
        <v>0</v>
      </c>
      <c r="L6" s="371"/>
      <c r="M6" s="371"/>
      <c r="N6" s="371"/>
      <c r="O6" s="372"/>
    </row>
    <row r="7" spans="1:15" ht="24" customHeight="1" thickBot="1">
      <c r="A7" s="375" t="str">
        <f>방충망발주서!A9:C9</f>
        <v xml:space="preserve"> * 가 공 치 수</v>
      </c>
      <c r="B7" s="375"/>
      <c r="C7" s="376"/>
      <c r="D7" s="35" t="str">
        <f>방충망발주서!D9</f>
        <v>*특이:</v>
      </c>
      <c r="E7" s="377">
        <f>방충망발주서!E9:M9</f>
        <v>0</v>
      </c>
      <c r="F7" s="377"/>
      <c r="G7" s="377"/>
      <c r="H7" s="377"/>
      <c r="I7" s="377"/>
      <c r="J7" s="377"/>
      <c r="K7" s="377"/>
      <c r="L7" s="377"/>
      <c r="M7" s="377"/>
      <c r="N7" s="7"/>
      <c r="O7" s="7" t="s">
        <v>15</v>
      </c>
    </row>
    <row r="8" spans="1:15" ht="22.5" customHeight="1" thickTop="1">
      <c r="A8" s="390" t="s">
        <v>6</v>
      </c>
      <c r="B8" s="390" t="s">
        <v>0</v>
      </c>
      <c r="C8" s="392" t="s">
        <v>38</v>
      </c>
      <c r="D8" s="393"/>
      <c r="E8" s="394" t="s">
        <v>7</v>
      </c>
      <c r="F8" s="396" t="s">
        <v>49</v>
      </c>
      <c r="G8" s="398" t="s">
        <v>39</v>
      </c>
      <c r="H8" s="400" t="s">
        <v>9</v>
      </c>
      <c r="I8" s="402" t="s">
        <v>8</v>
      </c>
      <c r="J8" s="404" t="s">
        <v>62</v>
      </c>
      <c r="K8" s="407" t="s">
        <v>73</v>
      </c>
      <c r="L8" s="402" t="s">
        <v>74</v>
      </c>
      <c r="M8" s="405" t="s">
        <v>68</v>
      </c>
      <c r="N8" s="406"/>
      <c r="O8" s="30" t="s">
        <v>71</v>
      </c>
    </row>
    <row r="9" spans="1:15" ht="22.5" customHeight="1">
      <c r="A9" s="391"/>
      <c r="B9" s="391"/>
      <c r="C9" s="21" t="s">
        <v>63</v>
      </c>
      <c r="D9" s="21" t="s">
        <v>64</v>
      </c>
      <c r="E9" s="395"/>
      <c r="F9" s="397"/>
      <c r="G9" s="399"/>
      <c r="H9" s="401"/>
      <c r="I9" s="403"/>
      <c r="J9" s="393"/>
      <c r="K9" s="397"/>
      <c r="L9" s="403"/>
      <c r="M9" s="28" t="s">
        <v>69</v>
      </c>
      <c r="N9" s="28" t="s">
        <v>70</v>
      </c>
      <c r="O9" s="31"/>
    </row>
    <row r="10" spans="1:15" ht="22.5" customHeight="1">
      <c r="A10" s="32">
        <f>방충망발주서!A12</f>
        <v>1</v>
      </c>
      <c r="B10" s="9">
        <f>방충망발주서!B12</f>
        <v>0</v>
      </c>
      <c r="C10" s="9">
        <f>방충망발주서!C12</f>
        <v>0</v>
      </c>
      <c r="D10" s="9">
        <f>방충망발주서!D12</f>
        <v>0</v>
      </c>
      <c r="E10" s="29">
        <f>방충망발주서!E12</f>
        <v>0</v>
      </c>
      <c r="F10" s="22">
        <f>방충망발주서!F12</f>
        <v>0</v>
      </c>
      <c r="G10" s="23">
        <f>방충망발주서!G12</f>
        <v>0</v>
      </c>
      <c r="H10" s="32">
        <f>방충망발주서!H12</f>
        <v>0</v>
      </c>
      <c r="I10" s="40">
        <f>방충망발주서!I12</f>
        <v>0</v>
      </c>
      <c r="J10" s="38">
        <f>방충망발주서!J12</f>
        <v>0</v>
      </c>
      <c r="K10" s="22">
        <f t="array" ref="K10">SMALL(IF($J$10:$J$34=L10,$B$10:$B$34),COUNTIF($L$10:L10,L10))</f>
        <v>0</v>
      </c>
      <c r="L10" s="36">
        <f>IFERROR(LARGE(J$10:J$34,ROW(A1)),"")</f>
        <v>0</v>
      </c>
      <c r="M10" s="10"/>
      <c r="N10" s="10"/>
      <c r="O10" s="65"/>
    </row>
    <row r="11" spans="1:15" ht="22.5" customHeight="1">
      <c r="A11" s="32">
        <f>방충망발주서!A13</f>
        <v>2</v>
      </c>
      <c r="B11" s="9">
        <f>방충망발주서!B13</f>
        <v>0</v>
      </c>
      <c r="C11" s="9">
        <f>방충망발주서!C13</f>
        <v>0</v>
      </c>
      <c r="D11" s="9">
        <f>방충망발주서!D13</f>
        <v>0</v>
      </c>
      <c r="E11" s="29">
        <f>방충망발주서!E13</f>
        <v>0</v>
      </c>
      <c r="F11" s="22">
        <f>방충망발주서!F13</f>
        <v>0</v>
      </c>
      <c r="G11" s="43">
        <f>방충망발주서!G13</f>
        <v>0</v>
      </c>
      <c r="H11" s="42">
        <f>방충망발주서!H13</f>
        <v>0</v>
      </c>
      <c r="I11" s="40">
        <f>방충망발주서!I13</f>
        <v>0</v>
      </c>
      <c r="J11" s="38">
        <f>방충망발주서!J13</f>
        <v>0</v>
      </c>
      <c r="K11" s="22">
        <f t="array" ref="K11">SMALL(IF($J$10:$J$34=L11,$B$10:$B$34),COUNTIF($L$10:L11,L11))</f>
        <v>0</v>
      </c>
      <c r="L11" s="36">
        <f t="shared" ref="L11:L34" si="0">IFERROR(LARGE(J$10:J$34,ROW(A2)),"")</f>
        <v>0</v>
      </c>
      <c r="M11" s="10"/>
      <c r="N11" s="10"/>
      <c r="O11" s="65"/>
    </row>
    <row r="12" spans="1:15" ht="22.5" customHeight="1">
      <c r="A12" s="32">
        <f>방충망발주서!A14</f>
        <v>3</v>
      </c>
      <c r="B12" s="9">
        <f>방충망발주서!B14</f>
        <v>0</v>
      </c>
      <c r="C12" s="9">
        <f>방충망발주서!C14</f>
        <v>0</v>
      </c>
      <c r="D12" s="9">
        <f>방충망발주서!D14</f>
        <v>0</v>
      </c>
      <c r="E12" s="29">
        <f>방충망발주서!E14</f>
        <v>0</v>
      </c>
      <c r="F12" s="22">
        <f>방충망발주서!F14</f>
        <v>0</v>
      </c>
      <c r="G12" s="43">
        <f>방충망발주서!G14</f>
        <v>0</v>
      </c>
      <c r="H12" s="42">
        <f>방충망발주서!H14</f>
        <v>0</v>
      </c>
      <c r="I12" s="40">
        <f>방충망발주서!I14</f>
        <v>0</v>
      </c>
      <c r="J12" s="38">
        <f>방충망발주서!J14</f>
        <v>0</v>
      </c>
      <c r="K12" s="22">
        <f t="array" ref="K12">SMALL(IF($J$10:$J$34=L12,$B$10:$B$34),COUNTIF($L$10:L12,L12))</f>
        <v>0</v>
      </c>
      <c r="L12" s="36">
        <f t="shared" si="0"/>
        <v>0</v>
      </c>
      <c r="M12" s="10"/>
      <c r="N12" s="10"/>
      <c r="O12" s="65"/>
    </row>
    <row r="13" spans="1:15" ht="22.5" customHeight="1">
      <c r="A13" s="32">
        <f>방충망발주서!A15</f>
        <v>4</v>
      </c>
      <c r="B13" s="9">
        <f>방충망발주서!B15</f>
        <v>0</v>
      </c>
      <c r="C13" s="9">
        <f>방충망발주서!C15</f>
        <v>0</v>
      </c>
      <c r="D13" s="9">
        <f>방충망발주서!D15</f>
        <v>0</v>
      </c>
      <c r="E13" s="29">
        <f>방충망발주서!E15</f>
        <v>0</v>
      </c>
      <c r="F13" s="22">
        <f>방충망발주서!F15</f>
        <v>0</v>
      </c>
      <c r="G13" s="43">
        <f>방충망발주서!G15</f>
        <v>0</v>
      </c>
      <c r="H13" s="42">
        <f>방충망발주서!H15</f>
        <v>0</v>
      </c>
      <c r="I13" s="40">
        <f>방충망발주서!I15</f>
        <v>0</v>
      </c>
      <c r="J13" s="38">
        <f>방충망발주서!J15</f>
        <v>0</v>
      </c>
      <c r="K13" s="22">
        <f t="array" ref="K13">SMALL(IF($J$10:$J$34=L13,$B$10:$B$34),COUNTIF($L$10:L13,L13))</f>
        <v>0</v>
      </c>
      <c r="L13" s="36">
        <f t="shared" si="0"/>
        <v>0</v>
      </c>
      <c r="M13" s="10"/>
      <c r="N13" s="10"/>
      <c r="O13" s="65"/>
    </row>
    <row r="14" spans="1:15" ht="22.5" customHeight="1">
      <c r="A14" s="32">
        <f>방충망발주서!A16</f>
        <v>5</v>
      </c>
      <c r="B14" s="9">
        <f>방충망발주서!B16</f>
        <v>0</v>
      </c>
      <c r="C14" s="9">
        <f>방충망발주서!C16</f>
        <v>0</v>
      </c>
      <c r="D14" s="9">
        <f>방충망발주서!D16</f>
        <v>0</v>
      </c>
      <c r="E14" s="29">
        <f>방충망발주서!E16</f>
        <v>0</v>
      </c>
      <c r="F14" s="22">
        <f>방충망발주서!F16</f>
        <v>0</v>
      </c>
      <c r="G14" s="43">
        <f>방충망발주서!G16</f>
        <v>0</v>
      </c>
      <c r="H14" s="42">
        <f>방충망발주서!H16</f>
        <v>0</v>
      </c>
      <c r="I14" s="40">
        <f>방충망발주서!I16</f>
        <v>0</v>
      </c>
      <c r="J14" s="38">
        <f>방충망발주서!J16</f>
        <v>0</v>
      </c>
      <c r="K14" s="22">
        <f t="array" ref="K14">SMALL(IF($J$10:$J$34=L14,$B$10:$B$34),COUNTIF($L$10:L14,L14))</f>
        <v>0</v>
      </c>
      <c r="L14" s="36">
        <f t="shared" si="0"/>
        <v>0</v>
      </c>
      <c r="M14" s="10"/>
      <c r="N14" s="10"/>
      <c r="O14" s="65"/>
    </row>
    <row r="15" spans="1:15" ht="22.5" customHeight="1">
      <c r="A15" s="32">
        <f>방충망발주서!A17</f>
        <v>6</v>
      </c>
      <c r="B15" s="9">
        <f>방충망발주서!B17</f>
        <v>0</v>
      </c>
      <c r="C15" s="9">
        <f>방충망발주서!C17</f>
        <v>0</v>
      </c>
      <c r="D15" s="9">
        <f>방충망발주서!D17</f>
        <v>0</v>
      </c>
      <c r="E15" s="29">
        <f>방충망발주서!E17</f>
        <v>0</v>
      </c>
      <c r="F15" s="22">
        <f>방충망발주서!F17</f>
        <v>0</v>
      </c>
      <c r="G15" s="43">
        <f>방충망발주서!G17</f>
        <v>0</v>
      </c>
      <c r="H15" s="42">
        <f>방충망발주서!H17</f>
        <v>0</v>
      </c>
      <c r="I15" s="40">
        <f>방충망발주서!I17</f>
        <v>0</v>
      </c>
      <c r="J15" s="38">
        <f>방충망발주서!J17</f>
        <v>0</v>
      </c>
      <c r="K15" s="22">
        <f t="array" ref="K15">SMALL(IF($J$10:$J$34=L15,$B$10:$B$34),COUNTIF($L$10:L15,L15))</f>
        <v>0</v>
      </c>
      <c r="L15" s="36">
        <f t="shared" si="0"/>
        <v>0</v>
      </c>
      <c r="M15" s="10"/>
      <c r="N15" s="10"/>
      <c r="O15" s="65"/>
    </row>
    <row r="16" spans="1:15" ht="22.5" customHeight="1">
      <c r="A16" s="32">
        <f>방충망발주서!A18</f>
        <v>7</v>
      </c>
      <c r="B16" s="9">
        <f>방충망발주서!B18</f>
        <v>0</v>
      </c>
      <c r="C16" s="9">
        <f>방충망발주서!C18</f>
        <v>0</v>
      </c>
      <c r="D16" s="9">
        <f>방충망발주서!D18</f>
        <v>0</v>
      </c>
      <c r="E16" s="29">
        <f>방충망발주서!E18</f>
        <v>0</v>
      </c>
      <c r="F16" s="22">
        <f>방충망발주서!F18</f>
        <v>0</v>
      </c>
      <c r="G16" s="43">
        <f>방충망발주서!G18</f>
        <v>0</v>
      </c>
      <c r="H16" s="42">
        <f>방충망발주서!H18</f>
        <v>0</v>
      </c>
      <c r="I16" s="40">
        <f>방충망발주서!I18</f>
        <v>0</v>
      </c>
      <c r="J16" s="38">
        <f>방충망발주서!J18</f>
        <v>0</v>
      </c>
      <c r="K16" s="22">
        <f t="array" ref="K16">SMALL(IF($J$10:$J$34=L16,$B$10:$B$34),COUNTIF($L$10:L16,L16))</f>
        <v>0</v>
      </c>
      <c r="L16" s="36">
        <f t="shared" si="0"/>
        <v>0</v>
      </c>
      <c r="M16" s="10"/>
      <c r="N16" s="10"/>
      <c r="O16" s="65"/>
    </row>
    <row r="17" spans="1:15" ht="22.5" customHeight="1">
      <c r="A17" s="32">
        <f>방충망발주서!A19</f>
        <v>8</v>
      </c>
      <c r="B17" s="9">
        <f>방충망발주서!B19</f>
        <v>0</v>
      </c>
      <c r="C17" s="9">
        <f>방충망발주서!C19</f>
        <v>0</v>
      </c>
      <c r="D17" s="9">
        <f>방충망발주서!D19</f>
        <v>0</v>
      </c>
      <c r="E17" s="29">
        <f>방충망발주서!E19</f>
        <v>0</v>
      </c>
      <c r="F17" s="22">
        <f>방충망발주서!F19</f>
        <v>0</v>
      </c>
      <c r="G17" s="43">
        <f>방충망발주서!G19</f>
        <v>0</v>
      </c>
      <c r="H17" s="42">
        <f>방충망발주서!H19</f>
        <v>0</v>
      </c>
      <c r="I17" s="40">
        <f>방충망발주서!I19</f>
        <v>0</v>
      </c>
      <c r="J17" s="38">
        <f>방충망발주서!J19</f>
        <v>0</v>
      </c>
      <c r="K17" s="22">
        <f t="array" ref="K17">SMALL(IF($J$10:$J$34=L17,$B$10:$B$34),COUNTIF($L$10:L17,L17))</f>
        <v>0</v>
      </c>
      <c r="L17" s="36">
        <f t="shared" si="0"/>
        <v>0</v>
      </c>
      <c r="M17" s="10"/>
      <c r="N17" s="10"/>
      <c r="O17" s="65"/>
    </row>
    <row r="18" spans="1:15" ht="22.5" customHeight="1">
      <c r="A18" s="32">
        <f>방충망발주서!A20</f>
        <v>9</v>
      </c>
      <c r="B18" s="9">
        <f>방충망발주서!B20</f>
        <v>0</v>
      </c>
      <c r="C18" s="9">
        <f>방충망발주서!C20</f>
        <v>0</v>
      </c>
      <c r="D18" s="9">
        <f>방충망발주서!D20</f>
        <v>0</v>
      </c>
      <c r="E18" s="29">
        <f>방충망발주서!E20</f>
        <v>0</v>
      </c>
      <c r="F18" s="22">
        <f>방충망발주서!F20</f>
        <v>0</v>
      </c>
      <c r="G18" s="43">
        <f>방충망발주서!G20</f>
        <v>0</v>
      </c>
      <c r="H18" s="42">
        <f>방충망발주서!H20</f>
        <v>0</v>
      </c>
      <c r="I18" s="40">
        <f>방충망발주서!I20</f>
        <v>0</v>
      </c>
      <c r="J18" s="38">
        <f>방충망발주서!J20</f>
        <v>0</v>
      </c>
      <c r="K18" s="22">
        <f t="array" ref="K18">SMALL(IF($J$10:$J$34=L18,$B$10:$B$34),COUNTIF($L$10:L18,L18))</f>
        <v>0</v>
      </c>
      <c r="L18" s="36">
        <f t="shared" si="0"/>
        <v>0</v>
      </c>
      <c r="M18" s="10"/>
      <c r="N18" s="10"/>
      <c r="O18" s="65"/>
    </row>
    <row r="19" spans="1:15" ht="22.5" customHeight="1">
      <c r="A19" s="32">
        <f>방충망발주서!A21</f>
        <v>10</v>
      </c>
      <c r="B19" s="9">
        <f>방충망발주서!B21</f>
        <v>0</v>
      </c>
      <c r="C19" s="9">
        <f>방충망발주서!C21</f>
        <v>0</v>
      </c>
      <c r="D19" s="9">
        <f>방충망발주서!D21</f>
        <v>0</v>
      </c>
      <c r="E19" s="29">
        <f>방충망발주서!E21</f>
        <v>0</v>
      </c>
      <c r="F19" s="22">
        <f>방충망발주서!F21</f>
        <v>0</v>
      </c>
      <c r="G19" s="43">
        <f>방충망발주서!G21</f>
        <v>0</v>
      </c>
      <c r="H19" s="42">
        <f>방충망발주서!H21</f>
        <v>0</v>
      </c>
      <c r="I19" s="40">
        <f>방충망발주서!I21</f>
        <v>0</v>
      </c>
      <c r="J19" s="38">
        <f>방충망발주서!J21</f>
        <v>0</v>
      </c>
      <c r="K19" s="22">
        <f t="array" ref="K19">SMALL(IF($J$10:$J$34=L19,$B$10:$B$34),COUNTIF($L$10:L19,L19))</f>
        <v>0</v>
      </c>
      <c r="L19" s="36">
        <f t="shared" si="0"/>
        <v>0</v>
      </c>
      <c r="M19" s="10"/>
      <c r="N19" s="10"/>
      <c r="O19" s="65"/>
    </row>
    <row r="20" spans="1:15" ht="22.5" customHeight="1">
      <c r="A20" s="32">
        <f>방충망발주서!A22</f>
        <v>11</v>
      </c>
      <c r="B20" s="9">
        <f>방충망발주서!B22</f>
        <v>0</v>
      </c>
      <c r="C20" s="9">
        <f>방충망발주서!C22</f>
        <v>0</v>
      </c>
      <c r="D20" s="9">
        <f>방충망발주서!D22</f>
        <v>0</v>
      </c>
      <c r="E20" s="29">
        <f>방충망발주서!E22</f>
        <v>0</v>
      </c>
      <c r="F20" s="22">
        <f>방충망발주서!F22</f>
        <v>0</v>
      </c>
      <c r="G20" s="43">
        <f>방충망발주서!G22</f>
        <v>0</v>
      </c>
      <c r="H20" s="42">
        <f>방충망발주서!H22</f>
        <v>0</v>
      </c>
      <c r="I20" s="40">
        <f>방충망발주서!I22</f>
        <v>0</v>
      </c>
      <c r="J20" s="38">
        <f>방충망발주서!J22</f>
        <v>0</v>
      </c>
      <c r="K20" s="22">
        <f t="array" ref="K20">SMALL(IF($J$10:$J$34=L20,$B$10:$B$34),COUNTIF($L$10:L20,L20))</f>
        <v>0</v>
      </c>
      <c r="L20" s="36">
        <f t="shared" si="0"/>
        <v>0</v>
      </c>
      <c r="M20" s="10"/>
      <c r="N20" s="10"/>
      <c r="O20" s="65"/>
    </row>
    <row r="21" spans="1:15" ht="22.5" customHeight="1">
      <c r="A21" s="32">
        <f>방충망발주서!A23</f>
        <v>12</v>
      </c>
      <c r="B21" s="9">
        <f>방충망발주서!B23</f>
        <v>0</v>
      </c>
      <c r="C21" s="9">
        <f>방충망발주서!C23</f>
        <v>0</v>
      </c>
      <c r="D21" s="9">
        <f>방충망발주서!D23</f>
        <v>0</v>
      </c>
      <c r="E21" s="29">
        <f>방충망발주서!E23</f>
        <v>0</v>
      </c>
      <c r="F21" s="22">
        <f>방충망발주서!F23</f>
        <v>0</v>
      </c>
      <c r="G21" s="43">
        <f>방충망발주서!G23</f>
        <v>0</v>
      </c>
      <c r="H21" s="42">
        <f>방충망발주서!H23</f>
        <v>0</v>
      </c>
      <c r="I21" s="40">
        <f>방충망발주서!I23</f>
        <v>0</v>
      </c>
      <c r="J21" s="38">
        <f>방충망발주서!J23</f>
        <v>0</v>
      </c>
      <c r="K21" s="22">
        <f t="array" ref="K21">SMALL(IF($J$10:$J$34=L21,$B$10:$B$34),COUNTIF($L$10:L21,L21))</f>
        <v>0</v>
      </c>
      <c r="L21" s="36">
        <f t="shared" si="0"/>
        <v>0</v>
      </c>
      <c r="M21" s="10"/>
      <c r="N21" s="10"/>
      <c r="O21" s="65"/>
    </row>
    <row r="22" spans="1:15" ht="22.5" customHeight="1">
      <c r="A22" s="32">
        <f>방충망발주서!A24</f>
        <v>13</v>
      </c>
      <c r="B22" s="9">
        <f>방충망발주서!B24</f>
        <v>0</v>
      </c>
      <c r="C22" s="9">
        <f>방충망발주서!C24</f>
        <v>0</v>
      </c>
      <c r="D22" s="9">
        <f>방충망발주서!D24</f>
        <v>0</v>
      </c>
      <c r="E22" s="29">
        <f>방충망발주서!E24</f>
        <v>0</v>
      </c>
      <c r="F22" s="22">
        <f>방충망발주서!F24</f>
        <v>0</v>
      </c>
      <c r="G22" s="43">
        <f>방충망발주서!G24</f>
        <v>0</v>
      </c>
      <c r="H22" s="42">
        <f>방충망발주서!H24</f>
        <v>0</v>
      </c>
      <c r="I22" s="40">
        <f>방충망발주서!I24</f>
        <v>0</v>
      </c>
      <c r="J22" s="38">
        <f>방충망발주서!J24</f>
        <v>0</v>
      </c>
      <c r="K22" s="22">
        <f t="array" ref="K22">SMALL(IF($J$10:$J$34=L22,$B$10:$B$34),COUNTIF($L$10:L22,L22))</f>
        <v>0</v>
      </c>
      <c r="L22" s="36">
        <f t="shared" si="0"/>
        <v>0</v>
      </c>
      <c r="M22" s="10"/>
      <c r="N22" s="10"/>
      <c r="O22" s="65"/>
    </row>
    <row r="23" spans="1:15" ht="22.5" customHeight="1">
      <c r="A23" s="32">
        <f>방충망발주서!A25</f>
        <v>14</v>
      </c>
      <c r="B23" s="9">
        <f>방충망발주서!B25</f>
        <v>0</v>
      </c>
      <c r="C23" s="9">
        <f>방충망발주서!C25</f>
        <v>0</v>
      </c>
      <c r="D23" s="9">
        <f>방충망발주서!D25</f>
        <v>0</v>
      </c>
      <c r="E23" s="29">
        <f>방충망발주서!E25</f>
        <v>0</v>
      </c>
      <c r="F23" s="22">
        <f>방충망발주서!F25</f>
        <v>0</v>
      </c>
      <c r="G23" s="43">
        <f>방충망발주서!G25</f>
        <v>0</v>
      </c>
      <c r="H23" s="42">
        <f>방충망발주서!H25</f>
        <v>0</v>
      </c>
      <c r="I23" s="40">
        <f>방충망발주서!I25</f>
        <v>0</v>
      </c>
      <c r="J23" s="38">
        <f>방충망발주서!J25</f>
        <v>0</v>
      </c>
      <c r="K23" s="22">
        <f t="array" ref="K23">SMALL(IF($J$10:$J$34=L23,$B$10:$B$34),COUNTIF($L$10:L23,L23))</f>
        <v>0</v>
      </c>
      <c r="L23" s="36">
        <f t="shared" si="0"/>
        <v>0</v>
      </c>
      <c r="M23" s="10"/>
      <c r="N23" s="10"/>
      <c r="O23" s="65"/>
    </row>
    <row r="24" spans="1:15" ht="22.5" customHeight="1">
      <c r="A24" s="32">
        <f>방충망발주서!A26</f>
        <v>15</v>
      </c>
      <c r="B24" s="9">
        <f>방충망발주서!B26</f>
        <v>0</v>
      </c>
      <c r="C24" s="9">
        <f>방충망발주서!C26</f>
        <v>0</v>
      </c>
      <c r="D24" s="9">
        <f>방충망발주서!D26</f>
        <v>0</v>
      </c>
      <c r="E24" s="29">
        <f>방충망발주서!E26</f>
        <v>0</v>
      </c>
      <c r="F24" s="22">
        <f>방충망발주서!F26</f>
        <v>0</v>
      </c>
      <c r="G24" s="43">
        <f>방충망발주서!G26</f>
        <v>0</v>
      </c>
      <c r="H24" s="42">
        <f>방충망발주서!H26</f>
        <v>0</v>
      </c>
      <c r="I24" s="40">
        <f>방충망발주서!I26</f>
        <v>0</v>
      </c>
      <c r="J24" s="38">
        <f>방충망발주서!J26</f>
        <v>0</v>
      </c>
      <c r="K24" s="22">
        <f t="array" ref="K24">SMALL(IF($J$10:$J$34=L24,$B$10:$B$34),COUNTIF($L$10:L24,L24))</f>
        <v>0</v>
      </c>
      <c r="L24" s="36">
        <f t="shared" si="0"/>
        <v>0</v>
      </c>
      <c r="M24" s="10"/>
      <c r="N24" s="10"/>
      <c r="O24" s="65"/>
    </row>
    <row r="25" spans="1:15" ht="22.5" customHeight="1">
      <c r="A25" s="42">
        <f>방충망발주서!A27</f>
        <v>16</v>
      </c>
      <c r="B25" s="9">
        <f>방충망발주서!B27</f>
        <v>0</v>
      </c>
      <c r="C25" s="9">
        <f>방충망발주서!C27</f>
        <v>0</v>
      </c>
      <c r="D25" s="9">
        <f>방충망발주서!D27</f>
        <v>0</v>
      </c>
      <c r="E25" s="29">
        <f>방충망발주서!E27</f>
        <v>0</v>
      </c>
      <c r="F25" s="22">
        <f>방충망발주서!F27</f>
        <v>0</v>
      </c>
      <c r="G25" s="43">
        <f>방충망발주서!G27</f>
        <v>0</v>
      </c>
      <c r="H25" s="42">
        <f>방충망발주서!H27</f>
        <v>0</v>
      </c>
      <c r="I25" s="40">
        <f>방충망발주서!I27</f>
        <v>0</v>
      </c>
      <c r="J25" s="38">
        <f>방충망발주서!J27</f>
        <v>0</v>
      </c>
      <c r="K25" s="22">
        <f t="array" ref="K25">SMALL(IF($J$10:$J$34=L25,$B$10:$B$34),COUNTIF($L$10:L25,L25))</f>
        <v>0</v>
      </c>
      <c r="L25" s="36">
        <f t="shared" si="0"/>
        <v>0</v>
      </c>
      <c r="M25" s="10"/>
      <c r="N25" s="10"/>
      <c r="O25" s="65"/>
    </row>
    <row r="26" spans="1:15" ht="22.5" customHeight="1">
      <c r="A26" s="42">
        <f>방충망발주서!A28</f>
        <v>17</v>
      </c>
      <c r="B26" s="9">
        <f>방충망발주서!B28</f>
        <v>0</v>
      </c>
      <c r="C26" s="9">
        <f>방충망발주서!C28</f>
        <v>0</v>
      </c>
      <c r="D26" s="9">
        <f>방충망발주서!D28</f>
        <v>0</v>
      </c>
      <c r="E26" s="29">
        <f>방충망발주서!E28</f>
        <v>0</v>
      </c>
      <c r="F26" s="22">
        <f>방충망발주서!F28</f>
        <v>0</v>
      </c>
      <c r="G26" s="43">
        <f>방충망발주서!G28</f>
        <v>0</v>
      </c>
      <c r="H26" s="42">
        <f>방충망발주서!H28</f>
        <v>0</v>
      </c>
      <c r="I26" s="40">
        <f>방충망발주서!I28</f>
        <v>0</v>
      </c>
      <c r="J26" s="38">
        <f>방충망발주서!J28</f>
        <v>0</v>
      </c>
      <c r="K26" s="22">
        <f t="array" ref="K26">SMALL(IF($J$10:$J$34=L26,$B$10:$B$34),COUNTIF($L$10:L26,L26))</f>
        <v>0</v>
      </c>
      <c r="L26" s="36">
        <f t="shared" si="0"/>
        <v>0</v>
      </c>
      <c r="M26" s="10"/>
      <c r="N26" s="10"/>
      <c r="O26" s="65"/>
    </row>
    <row r="27" spans="1:15" ht="22.5" customHeight="1">
      <c r="A27" s="42">
        <f>방충망발주서!A29</f>
        <v>18</v>
      </c>
      <c r="B27" s="9">
        <f>방충망발주서!B29</f>
        <v>0</v>
      </c>
      <c r="C27" s="9">
        <f>방충망발주서!C29</f>
        <v>0</v>
      </c>
      <c r="D27" s="9">
        <f>방충망발주서!D29</f>
        <v>0</v>
      </c>
      <c r="E27" s="29">
        <f>방충망발주서!E29</f>
        <v>0</v>
      </c>
      <c r="F27" s="22">
        <f>방충망발주서!F29</f>
        <v>0</v>
      </c>
      <c r="G27" s="43">
        <f>방충망발주서!G29</f>
        <v>0</v>
      </c>
      <c r="H27" s="42">
        <f>방충망발주서!H29</f>
        <v>0</v>
      </c>
      <c r="I27" s="40">
        <f>방충망발주서!I29</f>
        <v>0</v>
      </c>
      <c r="J27" s="38">
        <f>방충망발주서!J29</f>
        <v>0</v>
      </c>
      <c r="K27" s="22">
        <f t="array" ref="K27">SMALL(IF($J$10:$J$34=L27,$B$10:$B$34),COUNTIF($L$10:L27,L27))</f>
        <v>0</v>
      </c>
      <c r="L27" s="36">
        <f t="shared" si="0"/>
        <v>0</v>
      </c>
      <c r="M27" s="10"/>
      <c r="N27" s="10"/>
      <c r="O27" s="65"/>
    </row>
    <row r="28" spans="1:15" ht="22.5" customHeight="1">
      <c r="A28" s="42">
        <f>방충망발주서!A30</f>
        <v>19</v>
      </c>
      <c r="B28" s="9">
        <f>방충망발주서!B30</f>
        <v>0</v>
      </c>
      <c r="C28" s="9">
        <f>방충망발주서!C30</f>
        <v>0</v>
      </c>
      <c r="D28" s="9">
        <f>방충망발주서!D30</f>
        <v>0</v>
      </c>
      <c r="E28" s="29">
        <f>방충망발주서!E30</f>
        <v>0</v>
      </c>
      <c r="F28" s="22">
        <f>방충망발주서!F30</f>
        <v>0</v>
      </c>
      <c r="G28" s="43">
        <f>방충망발주서!G30</f>
        <v>0</v>
      </c>
      <c r="H28" s="42">
        <f>방충망발주서!H30</f>
        <v>0</v>
      </c>
      <c r="I28" s="40">
        <f>방충망발주서!I30</f>
        <v>0</v>
      </c>
      <c r="J28" s="38">
        <f>방충망발주서!J30</f>
        <v>0</v>
      </c>
      <c r="K28" s="22">
        <f t="array" ref="K28">SMALL(IF($J$10:$J$34=L28,$B$10:$B$34),COUNTIF($L$10:L28,L28))</f>
        <v>0</v>
      </c>
      <c r="L28" s="36">
        <f t="shared" si="0"/>
        <v>0</v>
      </c>
      <c r="M28" s="10"/>
      <c r="N28" s="10"/>
      <c r="O28" s="65"/>
    </row>
    <row r="29" spans="1:15" ht="22.5" customHeight="1">
      <c r="A29" s="42">
        <f>방충망발주서!A31</f>
        <v>20</v>
      </c>
      <c r="B29" s="9">
        <f>방충망발주서!B31</f>
        <v>0</v>
      </c>
      <c r="C29" s="9">
        <f>방충망발주서!C31</f>
        <v>0</v>
      </c>
      <c r="D29" s="9">
        <f>방충망발주서!D31</f>
        <v>0</v>
      </c>
      <c r="E29" s="29">
        <f>방충망발주서!E31</f>
        <v>0</v>
      </c>
      <c r="F29" s="22">
        <f>방충망발주서!F31</f>
        <v>0</v>
      </c>
      <c r="G29" s="43">
        <f>방충망발주서!G31</f>
        <v>0</v>
      </c>
      <c r="H29" s="42">
        <f>방충망발주서!H31</f>
        <v>0</v>
      </c>
      <c r="I29" s="40">
        <f>방충망발주서!I31</f>
        <v>0</v>
      </c>
      <c r="J29" s="38">
        <f>방충망발주서!J31</f>
        <v>0</v>
      </c>
      <c r="K29" s="22">
        <f t="array" ref="K29">SMALL(IF($J$10:$J$34=L29,$B$10:$B$34),COUNTIF($L$10:L29,L29))</f>
        <v>0</v>
      </c>
      <c r="L29" s="36">
        <f t="shared" si="0"/>
        <v>0</v>
      </c>
      <c r="M29" s="10"/>
      <c r="N29" s="10"/>
      <c r="O29" s="65"/>
    </row>
    <row r="30" spans="1:15" ht="22.5" customHeight="1">
      <c r="A30" s="42">
        <f>방충망발주서!A32</f>
        <v>21</v>
      </c>
      <c r="B30" s="9">
        <f>방충망발주서!B32</f>
        <v>0</v>
      </c>
      <c r="C30" s="9">
        <f>방충망발주서!C32</f>
        <v>0</v>
      </c>
      <c r="D30" s="9">
        <f>방충망발주서!D32</f>
        <v>0</v>
      </c>
      <c r="E30" s="29">
        <f>방충망발주서!E32</f>
        <v>0</v>
      </c>
      <c r="F30" s="22">
        <f>방충망발주서!F32</f>
        <v>0</v>
      </c>
      <c r="G30" s="43">
        <f>방충망발주서!G32</f>
        <v>0</v>
      </c>
      <c r="H30" s="42">
        <f>방충망발주서!H32</f>
        <v>0</v>
      </c>
      <c r="I30" s="40">
        <f>방충망발주서!I32</f>
        <v>0</v>
      </c>
      <c r="J30" s="38">
        <f>방충망발주서!J32</f>
        <v>0</v>
      </c>
      <c r="K30" s="22">
        <f t="array" ref="K30">SMALL(IF($J$10:$J$34=L30,$B$10:$B$34),COUNTIF($L$10:L30,L30))</f>
        <v>0</v>
      </c>
      <c r="L30" s="36">
        <f t="shared" si="0"/>
        <v>0</v>
      </c>
      <c r="M30" s="10"/>
      <c r="N30" s="10"/>
      <c r="O30" s="65"/>
    </row>
    <row r="31" spans="1:15" ht="22.5" customHeight="1">
      <c r="A31" s="42">
        <f>방충망발주서!A33</f>
        <v>22</v>
      </c>
      <c r="B31" s="9">
        <f>방충망발주서!B33</f>
        <v>0</v>
      </c>
      <c r="C31" s="9">
        <f>방충망발주서!C33</f>
        <v>0</v>
      </c>
      <c r="D31" s="9">
        <f>방충망발주서!D33</f>
        <v>0</v>
      </c>
      <c r="E31" s="29">
        <f>방충망발주서!E33</f>
        <v>0</v>
      </c>
      <c r="F31" s="22">
        <f>방충망발주서!F33</f>
        <v>0</v>
      </c>
      <c r="G31" s="43">
        <f>방충망발주서!G33</f>
        <v>0</v>
      </c>
      <c r="H31" s="42">
        <f>방충망발주서!H33</f>
        <v>0</v>
      </c>
      <c r="I31" s="40">
        <f>방충망발주서!I33</f>
        <v>0</v>
      </c>
      <c r="J31" s="38">
        <f>방충망발주서!J33</f>
        <v>0</v>
      </c>
      <c r="K31" s="22">
        <f t="array" ref="K31">SMALL(IF($J$10:$J$34=L31,$B$10:$B$34),COUNTIF($L$10:L31,L31))</f>
        <v>0</v>
      </c>
      <c r="L31" s="36">
        <f t="shared" si="0"/>
        <v>0</v>
      </c>
      <c r="M31" s="10"/>
      <c r="N31" s="10"/>
      <c r="O31" s="65"/>
    </row>
    <row r="32" spans="1:15" ht="22.5" customHeight="1">
      <c r="A32" s="42">
        <f>방충망발주서!A34</f>
        <v>23</v>
      </c>
      <c r="B32" s="9">
        <f>방충망발주서!B34</f>
        <v>0</v>
      </c>
      <c r="C32" s="9">
        <f>방충망발주서!C34</f>
        <v>0</v>
      </c>
      <c r="D32" s="9">
        <f>방충망발주서!D34</f>
        <v>0</v>
      </c>
      <c r="E32" s="29">
        <f>방충망발주서!E34</f>
        <v>0</v>
      </c>
      <c r="F32" s="22">
        <f>방충망발주서!F34</f>
        <v>0</v>
      </c>
      <c r="G32" s="43">
        <f>방충망발주서!G34</f>
        <v>0</v>
      </c>
      <c r="H32" s="42">
        <f>방충망발주서!H34</f>
        <v>0</v>
      </c>
      <c r="I32" s="40">
        <f>방충망발주서!I34</f>
        <v>0</v>
      </c>
      <c r="J32" s="38">
        <f>방충망발주서!J34</f>
        <v>0</v>
      </c>
      <c r="K32" s="22">
        <f t="array" ref="K32">SMALL(IF($J$10:$J$34=L32,$B$10:$B$34),COUNTIF($L$10:L32,L32))</f>
        <v>0</v>
      </c>
      <c r="L32" s="36">
        <f t="shared" si="0"/>
        <v>0</v>
      </c>
      <c r="M32" s="10"/>
      <c r="N32" s="10"/>
      <c r="O32" s="65"/>
    </row>
    <row r="33" spans="1:15" ht="22.5" customHeight="1">
      <c r="A33" s="42">
        <f>방충망발주서!A35</f>
        <v>24</v>
      </c>
      <c r="B33" s="9">
        <f>방충망발주서!B35</f>
        <v>0</v>
      </c>
      <c r="C33" s="9">
        <f>방충망발주서!C35</f>
        <v>0</v>
      </c>
      <c r="D33" s="9">
        <f>방충망발주서!D35</f>
        <v>0</v>
      </c>
      <c r="E33" s="29">
        <f>방충망발주서!E35</f>
        <v>0</v>
      </c>
      <c r="F33" s="22">
        <f>방충망발주서!F35</f>
        <v>0</v>
      </c>
      <c r="G33" s="43">
        <f>방충망발주서!G35</f>
        <v>0</v>
      </c>
      <c r="H33" s="42">
        <f>방충망발주서!H35</f>
        <v>0</v>
      </c>
      <c r="I33" s="40">
        <f>방충망발주서!I35</f>
        <v>0</v>
      </c>
      <c r="J33" s="38">
        <f>방충망발주서!J35</f>
        <v>0</v>
      </c>
      <c r="K33" s="22">
        <f t="array" ref="K33">SMALL(IF($J$10:$J$34=L33,$B$10:$B$34),COUNTIF($L$10:L33,L33))</f>
        <v>0</v>
      </c>
      <c r="L33" s="36">
        <f t="shared" si="0"/>
        <v>0</v>
      </c>
      <c r="M33" s="10"/>
      <c r="N33" s="10"/>
      <c r="O33" s="65"/>
    </row>
    <row r="34" spans="1:15" ht="22.5" customHeight="1">
      <c r="A34" s="42">
        <f>방충망발주서!A36</f>
        <v>25</v>
      </c>
      <c r="B34" s="9">
        <f>방충망발주서!B36</f>
        <v>0</v>
      </c>
      <c r="C34" s="9">
        <f>방충망발주서!C36</f>
        <v>0</v>
      </c>
      <c r="D34" s="9">
        <f>방충망발주서!D36</f>
        <v>0</v>
      </c>
      <c r="E34" s="29">
        <f>방충망발주서!E36</f>
        <v>0</v>
      </c>
      <c r="F34" s="22">
        <f>방충망발주서!F36</f>
        <v>0</v>
      </c>
      <c r="G34" s="43">
        <f>방충망발주서!G36</f>
        <v>0</v>
      </c>
      <c r="H34" s="42">
        <f>방충망발주서!H36</f>
        <v>0</v>
      </c>
      <c r="I34" s="40">
        <f>방충망발주서!I36</f>
        <v>0</v>
      </c>
      <c r="J34" s="38">
        <f>방충망발주서!J36</f>
        <v>0</v>
      </c>
      <c r="K34" s="22">
        <f t="array" ref="K34">SMALL(IF($J$10:$J$34=L34,$B$10:$B$34),COUNTIF($L$10:L34,L34))</f>
        <v>0</v>
      </c>
      <c r="L34" s="36">
        <f t="shared" si="0"/>
        <v>0</v>
      </c>
      <c r="M34" s="10"/>
      <c r="N34" s="10"/>
      <c r="O34" s="65"/>
    </row>
    <row r="35" spans="1:15" ht="22.5" customHeight="1" thickBot="1">
      <c r="A35" s="21" t="s">
        <v>40</v>
      </c>
      <c r="B35" s="11">
        <f>SUM(B10:B34)</f>
        <v>0</v>
      </c>
      <c r="C35" s="11"/>
      <c r="D35" s="11"/>
      <c r="E35" s="24"/>
      <c r="F35" s="25">
        <f>ROUNDUP(SUMPRODUCT(B10:B34*F10:F34)/6400,0)</f>
        <v>0</v>
      </c>
      <c r="G35" s="26">
        <f>ROUNDUP(SUMPRODUCT(B10:B34*G10:G34)/6400,0)</f>
        <v>0</v>
      </c>
      <c r="H35" s="27">
        <f>ROUNDUP(SUMPRODUCT(B10:B34*H10:H34)/6400,0)</f>
        <v>0</v>
      </c>
      <c r="I35" s="41">
        <f>ROUNDUP(SUMPRODUCT(B10:B34*I10:I34)/6400,0)</f>
        <v>0</v>
      </c>
      <c r="J35" s="39">
        <f>ROUNDUP(SUMPRODUCT(B10:B34*J10:J34)/6400*2,0)</f>
        <v>0</v>
      </c>
      <c r="K35" s="25">
        <f>SUM(K10:K34)</f>
        <v>0</v>
      </c>
      <c r="L35" s="37">
        <f>ROUNDUP(SUMPRODUCT(K10:K34*L10:L34)/6400*2,0)</f>
        <v>0</v>
      </c>
      <c r="M35" s="11"/>
      <c r="N35" s="11"/>
      <c r="O35" s="21"/>
    </row>
    <row r="36" spans="1:15" ht="14.25" thickTop="1"/>
  </sheetData>
  <sheetProtection algorithmName="SHA-512" hashValue="6n1GWMkCTIq5Ns+FSeu4RjcwNZlprhQkIKAO2Y/aC/P+xejJm2lE8YeBaVxHPsVqlID/p7tkqJELA35O0gIT1A==" saltValue="Ip7eEdpCgSB13Ut/RdqM3g==" spinCount="100000" sheet="1" objects="1" scenarios="1" formatCells="0"/>
  <mergeCells count="38">
    <mergeCell ref="L3:M3"/>
    <mergeCell ref="N3:O3"/>
    <mergeCell ref="N2:O2"/>
    <mergeCell ref="A1:F1"/>
    <mergeCell ref="I1:J1"/>
    <mergeCell ref="K1:L1"/>
    <mergeCell ref="A2:B2"/>
    <mergeCell ref="F2:G2"/>
    <mergeCell ref="I2:J2"/>
    <mergeCell ref="L2:M2"/>
    <mergeCell ref="G8:G9"/>
    <mergeCell ref="H8:H9"/>
    <mergeCell ref="I8:I9"/>
    <mergeCell ref="J8:J9"/>
    <mergeCell ref="M8:N8"/>
    <mergeCell ref="K8:K9"/>
    <mergeCell ref="L8:L9"/>
    <mergeCell ref="A8:A9"/>
    <mergeCell ref="B8:B9"/>
    <mergeCell ref="C8:D8"/>
    <mergeCell ref="E8:E9"/>
    <mergeCell ref="F8:F9"/>
    <mergeCell ref="A5:B5"/>
    <mergeCell ref="D4:G4"/>
    <mergeCell ref="I4:J4"/>
    <mergeCell ref="A7:C7"/>
    <mergeCell ref="E7:M7"/>
    <mergeCell ref="K6:O6"/>
    <mergeCell ref="A6:B6"/>
    <mergeCell ref="E6:G6"/>
    <mergeCell ref="I6:J6"/>
    <mergeCell ref="I5:J5"/>
    <mergeCell ref="K5:O5"/>
    <mergeCell ref="L4:M4"/>
    <mergeCell ref="N4:O4"/>
    <mergeCell ref="A3:B4"/>
    <mergeCell ref="D3:G3"/>
    <mergeCell ref="I3:J3"/>
  </mergeCells>
  <phoneticPr fontId="12" type="noConversion"/>
  <conditionalFormatting sqref="E10:E34">
    <cfRule type="expression" dxfId="2" priority="13">
      <formula>$E10:$E34="70"</formula>
    </cfRule>
    <cfRule type="expression" dxfId="1" priority="14">
      <formula>$E10:$E34="60"</formula>
    </cfRule>
    <cfRule type="expression" dxfId="0" priority="15">
      <formula>$E10:$E34="50"</formula>
    </cfRule>
  </conditionalFormatting>
  <dataValidations count="5">
    <dataValidation type="list" allowBlank="1" showInputMessage="1" showErrorMessage="1" sqref="D6" xr:uid="{00000000-0002-0000-0200-000000000000}">
      <formula1>"블랙,화이트,MS,특이"</formula1>
    </dataValidation>
    <dataValidation type="list" allowBlank="1" showInputMessage="1" showErrorMessage="1" sqref="N2" xr:uid="{00000000-0002-0000-0200-000001000000}">
      <formula1>"남선, 이지스, 미부착"</formula1>
    </dataValidation>
    <dataValidation type="list" allowBlank="1" showInputMessage="1" showErrorMessage="1" sqref="K2" xr:uid="{00000000-0002-0000-0200-000002000000}">
      <formula1>"○,×"</formula1>
    </dataValidation>
    <dataValidation type="list" allowBlank="1" showInputMessage="1" showErrorMessage="1" sqref="N4" xr:uid="{00000000-0002-0000-0200-000003000000}">
      <formula1>"현택,현불,착택,착불,화물,직배송"</formula1>
    </dataValidation>
    <dataValidation type="list" allowBlank="1" showInputMessage="1" showErrorMessage="1" sqref="K4" xr:uid="{00000000-0002-0000-0200-000004000000}">
      <formula1>"박스,완제품"</formula1>
    </dataValidation>
  </dataValidations>
  <printOptions horizontalCentered="1"/>
  <pageMargins left="0.15748031496062992" right="0.15748031496062992" top="0.98425196850393704" bottom="0.19685039370078741" header="0.19685039370078741" footer="0.19685039370078741"/>
  <pageSetup paperSize="9" scale="92" fitToHeight="0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N35"/>
  <sheetViews>
    <sheetView showGridLines="0" showZeros="0" workbookViewId="0">
      <selection activeCell="N24" sqref="N24"/>
    </sheetView>
  </sheetViews>
  <sheetFormatPr defaultRowHeight="13.5"/>
  <cols>
    <col min="1" max="2" width="5.625" style="20" customWidth="1"/>
    <col min="3" max="4" width="7.625" style="12" customWidth="1"/>
    <col min="5" max="8" width="6.625" style="12" customWidth="1"/>
    <col min="9" max="14" width="6.875" style="12" customWidth="1"/>
    <col min="15" max="16384" width="9" style="12"/>
  </cols>
  <sheetData>
    <row r="1" spans="1:14" ht="24" customHeight="1">
      <c r="A1" s="410" t="s">
        <v>41</v>
      </c>
      <c r="B1" s="411"/>
      <c r="C1" s="411"/>
      <c r="D1" s="411"/>
      <c r="E1" s="411"/>
      <c r="F1" s="411"/>
      <c r="H1" s="13"/>
      <c r="I1" s="424" t="str">
        <f>방충망발주서!I1:J1</f>
        <v>문서번호:</v>
      </c>
      <c r="J1" s="424"/>
      <c r="K1" s="424" t="str">
        <f>방충망발주서!K1:L1</f>
        <v/>
      </c>
      <c r="L1" s="424"/>
      <c r="M1" s="6">
        <f>방충망발주서!M1</f>
        <v>0</v>
      </c>
      <c r="N1" s="14" t="str">
        <f>방충망발주서!N1</f>
        <v>호</v>
      </c>
    </row>
    <row r="2" spans="1:14" ht="24" customHeight="1">
      <c r="A2" s="425" t="str">
        <f>방충망발주서!A2:B2</f>
        <v>NO</v>
      </c>
      <c r="B2" s="425"/>
      <c r="C2" s="48" t="str">
        <f>방충망발주서!C2</f>
        <v>발주일</v>
      </c>
      <c r="D2" s="8">
        <f>방충망발주서!D2</f>
        <v>44753</v>
      </c>
      <c r="E2" s="48" t="str">
        <f>방충망발주서!E2</f>
        <v>납기일</v>
      </c>
      <c r="F2" s="426">
        <f>방충망발주서!F2:G2</f>
        <v>0</v>
      </c>
      <c r="G2" s="427"/>
      <c r="H2" s="15"/>
      <c r="I2" s="428" t="str">
        <f>방충망발주서!I2:J2</f>
        <v>가스켓</v>
      </c>
      <c r="J2" s="428"/>
      <c r="K2" s="47" t="str">
        <f>방충망발주서!K2</f>
        <v>○</v>
      </c>
      <c r="L2" s="429" t="str">
        <f>방충망발주서!L2:M2</f>
        <v>스 티 커</v>
      </c>
      <c r="M2" s="429"/>
      <c r="N2" s="47">
        <f>방충망발주서!N2</f>
        <v>0</v>
      </c>
    </row>
    <row r="3" spans="1:14" ht="24" customHeight="1">
      <c r="A3" s="419">
        <f>방충망발주서!A3:B5</f>
        <v>0</v>
      </c>
      <c r="B3" s="420"/>
      <c r="C3" s="46" t="str">
        <f>방충망발주서!C3</f>
        <v>거래처</v>
      </c>
      <c r="D3" s="427" t="str">
        <f>방충망발주서!D3:G3</f>
        <v/>
      </c>
      <c r="E3" s="427"/>
      <c r="F3" s="427"/>
      <c r="G3" s="427"/>
      <c r="H3" s="15"/>
      <c r="I3" s="428" t="str">
        <f>방충망발주서!I3:J3</f>
        <v>끈길이</v>
      </c>
      <c r="J3" s="428"/>
      <c r="K3" s="47">
        <f>방충망발주서!K3</f>
        <v>0</v>
      </c>
      <c r="L3" s="429" t="str">
        <f>방충망발주서!L3:M3</f>
        <v>레바타입</v>
      </c>
      <c r="M3" s="429"/>
      <c r="N3" s="49">
        <f>방충망발주서!N3</f>
        <v>0</v>
      </c>
    </row>
    <row r="4" spans="1:14" ht="24" customHeight="1" thickBot="1">
      <c r="A4" s="421"/>
      <c r="B4" s="422"/>
      <c r="C4" s="46" t="str">
        <f>방충망발주서!C4</f>
        <v>담당자</v>
      </c>
      <c r="D4" s="447">
        <f>방충망발주서!D4:G4</f>
        <v>0</v>
      </c>
      <c r="E4" s="447"/>
      <c r="F4" s="447"/>
      <c r="G4" s="447"/>
      <c r="H4" s="15"/>
      <c r="I4" s="428" t="str">
        <f>방충망발주서!I4:J4</f>
        <v>포  장</v>
      </c>
      <c r="J4" s="428"/>
      <c r="K4" s="47">
        <f>방충망발주서!K4</f>
        <v>0</v>
      </c>
      <c r="L4" s="429" t="str">
        <f>방충망발주서!L4:M4</f>
        <v>발송방법</v>
      </c>
      <c r="M4" s="429"/>
      <c r="N4" s="47">
        <f>방충망발주서!N4</f>
        <v>0</v>
      </c>
    </row>
    <row r="5" spans="1:14" ht="24" customHeight="1">
      <c r="A5" s="368" t="str">
        <f>방충망발주서!A5</f>
        <v>사출색상↓</v>
      </c>
      <c r="B5" s="369"/>
      <c r="C5" s="44" t="str">
        <f>방충망발주서!C5</f>
        <v>종  류</v>
      </c>
      <c r="D5" s="261">
        <f>방충망발주서!D5</f>
        <v>0</v>
      </c>
      <c r="E5" s="261">
        <f>방충망발주서!E5</f>
        <v>0</v>
      </c>
      <c r="F5" s="263" t="str">
        <f>방충망발주서!F5</f>
        <v>수량</v>
      </c>
      <c r="G5" s="262">
        <f>방충망발주서!G5</f>
        <v>0</v>
      </c>
      <c r="H5" s="15"/>
      <c r="I5" s="428" t="str">
        <f>방충망발주서!I5:J5</f>
        <v>배송지상호</v>
      </c>
      <c r="J5" s="428"/>
      <c r="K5" s="370">
        <f>방충망발주서!K5:N5</f>
        <v>0</v>
      </c>
      <c r="L5" s="371"/>
      <c r="M5" s="371"/>
      <c r="N5" s="372"/>
    </row>
    <row r="6" spans="1:14" ht="24" customHeight="1" thickBot="1">
      <c r="A6" s="378" t="str">
        <f>방충망발주서!A6:B6</f>
        <v>우측동일</v>
      </c>
      <c r="B6" s="379"/>
      <c r="C6" s="44" t="str">
        <f>방충망발주서!C6</f>
        <v>색  상</v>
      </c>
      <c r="D6" s="45">
        <f>방충망발주서!D6</f>
        <v>0</v>
      </c>
      <c r="E6" s="380">
        <f>방충망발주서!E6:G6</f>
        <v>0</v>
      </c>
      <c r="F6" s="380"/>
      <c r="G6" s="381"/>
      <c r="H6" s="15"/>
      <c r="I6" s="428" t="str">
        <f>방충망발주서!I6:J6</f>
        <v>배송지전화</v>
      </c>
      <c r="J6" s="428"/>
      <c r="K6" s="370">
        <f>방충망발주서!K6:N6</f>
        <v>0</v>
      </c>
      <c r="L6" s="371"/>
      <c r="M6" s="371"/>
      <c r="N6" s="372"/>
    </row>
    <row r="7" spans="1:14" ht="24" customHeight="1" thickBot="1">
      <c r="A7" s="444" t="str">
        <f>방충망발주서!A9</f>
        <v xml:space="preserve"> * 가 공 치 수</v>
      </c>
      <c r="B7" s="444"/>
      <c r="C7" s="445"/>
      <c r="D7" s="16" t="str">
        <f>방충망발주서!D9</f>
        <v>*특이:</v>
      </c>
      <c r="E7" s="446">
        <f>방충망발주서!E9:L9</f>
        <v>0</v>
      </c>
      <c r="F7" s="446"/>
      <c r="G7" s="446"/>
      <c r="H7" s="446"/>
      <c r="I7" s="446"/>
      <c r="J7" s="446"/>
      <c r="K7" s="446"/>
      <c r="L7" s="446"/>
      <c r="M7" s="17"/>
      <c r="N7" s="17">
        <f>방충망발주서!N9</f>
        <v>0</v>
      </c>
    </row>
    <row r="8" spans="1:14" ht="22.5" customHeight="1">
      <c r="A8" s="436" t="s">
        <v>42</v>
      </c>
      <c r="B8" s="438" t="s">
        <v>43</v>
      </c>
      <c r="C8" s="438"/>
      <c r="D8" s="440" t="s">
        <v>44</v>
      </c>
      <c r="E8" s="440"/>
      <c r="F8" s="440"/>
      <c r="G8" s="441"/>
      <c r="H8" s="430" t="s">
        <v>48</v>
      </c>
      <c r="I8" s="431"/>
    </row>
    <row r="9" spans="1:14" ht="22.5" customHeight="1">
      <c r="A9" s="437"/>
      <c r="B9" s="439"/>
      <c r="C9" s="439"/>
      <c r="D9" s="442" t="s">
        <v>45</v>
      </c>
      <c r="E9" s="442"/>
      <c r="F9" s="439" t="s">
        <v>46</v>
      </c>
      <c r="G9" s="443"/>
      <c r="H9" s="432"/>
      <c r="I9" s="433"/>
    </row>
    <row r="10" spans="1:14" ht="22.5" customHeight="1">
      <c r="A10" s="18">
        <f>방충망발주서!A12</f>
        <v>1</v>
      </c>
      <c r="B10" s="416">
        <f>방충망발주서!B12</f>
        <v>0</v>
      </c>
      <c r="C10" s="416"/>
      <c r="D10" s="417">
        <f>IF((COUNT(방충망발주서!B12)=1),방충망발주서!C12-28+1,0)</f>
        <v>0</v>
      </c>
      <c r="E10" s="417"/>
      <c r="F10" s="417">
        <f>IF((COUNT(방충망발주서!D12)=1),방충망발주서!D12+20,0)</f>
        <v>0</v>
      </c>
      <c r="G10" s="418"/>
      <c r="H10" s="434">
        <f>IF((COUNT(방충망발주서!D12)=1),B10*(D10+F10)*2,0)/1000</f>
        <v>0</v>
      </c>
      <c r="I10" s="435"/>
    </row>
    <row r="11" spans="1:14" ht="22.5" customHeight="1">
      <c r="A11" s="18">
        <f>방충망발주서!A13</f>
        <v>2</v>
      </c>
      <c r="B11" s="416">
        <f>방충망발주서!B13</f>
        <v>0</v>
      </c>
      <c r="C11" s="416"/>
      <c r="D11" s="417">
        <f>IF((COUNT(방충망발주서!B13)=1),방충망발주서!C13-28+1,0)</f>
        <v>0</v>
      </c>
      <c r="E11" s="417"/>
      <c r="F11" s="417">
        <f>IF((COUNT(방충망발주서!D13)=1),방충망발주서!D13+20,0)</f>
        <v>0</v>
      </c>
      <c r="G11" s="418"/>
      <c r="H11" s="434">
        <f>IF((COUNT(방충망발주서!D13)=1),B11*(D11+F11)*2,0)/1000</f>
        <v>0</v>
      </c>
      <c r="I11" s="435"/>
    </row>
    <row r="12" spans="1:14" ht="22.5" customHeight="1">
      <c r="A12" s="18">
        <f>방충망발주서!A14</f>
        <v>3</v>
      </c>
      <c r="B12" s="416">
        <f>방충망발주서!B14</f>
        <v>0</v>
      </c>
      <c r="C12" s="416"/>
      <c r="D12" s="417">
        <f>IF((COUNT(방충망발주서!B14)=1),방충망발주서!C14-28+1,0)</f>
        <v>0</v>
      </c>
      <c r="E12" s="417"/>
      <c r="F12" s="417">
        <f>IF((COUNT(방충망발주서!D14)=1),방충망발주서!D14+20,0)</f>
        <v>0</v>
      </c>
      <c r="G12" s="418"/>
      <c r="H12" s="434">
        <f>IF((COUNT(방충망발주서!D14)=1),B12*(D12+F12)*2,0)/1000</f>
        <v>0</v>
      </c>
      <c r="I12" s="435"/>
    </row>
    <row r="13" spans="1:14" ht="22.5" customHeight="1">
      <c r="A13" s="18">
        <f>방충망발주서!A15</f>
        <v>4</v>
      </c>
      <c r="B13" s="416">
        <f>방충망발주서!B15</f>
        <v>0</v>
      </c>
      <c r="C13" s="416"/>
      <c r="D13" s="417">
        <f>IF((COUNT(방충망발주서!B15)=1),방충망발주서!C15-28+1,0)</f>
        <v>0</v>
      </c>
      <c r="E13" s="417"/>
      <c r="F13" s="417">
        <f>IF((COUNT(방충망발주서!D15)=1),방충망발주서!D15+20,0)</f>
        <v>0</v>
      </c>
      <c r="G13" s="418"/>
      <c r="H13" s="434">
        <f>IF((COUNT(방충망발주서!D15)=1),B13*(D13+F13)*2,0)/1000</f>
        <v>0</v>
      </c>
      <c r="I13" s="435"/>
    </row>
    <row r="14" spans="1:14" ht="22.5" customHeight="1">
      <c r="A14" s="18">
        <f>방충망발주서!A16</f>
        <v>5</v>
      </c>
      <c r="B14" s="416">
        <f>방충망발주서!B16</f>
        <v>0</v>
      </c>
      <c r="C14" s="416"/>
      <c r="D14" s="417">
        <f>IF((COUNT(방충망발주서!B16)=1),방충망발주서!C16-28+1,0)</f>
        <v>0</v>
      </c>
      <c r="E14" s="417"/>
      <c r="F14" s="417">
        <f>IF((COUNT(방충망발주서!D16)=1),방충망발주서!D16+20,0)</f>
        <v>0</v>
      </c>
      <c r="G14" s="418"/>
      <c r="H14" s="434">
        <f>IF((COUNT(방충망발주서!D16)=1),B14*(D14+F14)*2,0)/1000</f>
        <v>0</v>
      </c>
      <c r="I14" s="435"/>
    </row>
    <row r="15" spans="1:14" ht="22.5" customHeight="1">
      <c r="A15" s="18">
        <f>방충망발주서!A17</f>
        <v>6</v>
      </c>
      <c r="B15" s="416">
        <f>방충망발주서!B17</f>
        <v>0</v>
      </c>
      <c r="C15" s="416"/>
      <c r="D15" s="417">
        <f>IF((COUNT(방충망발주서!B17)=1),방충망발주서!C17-28+1,0)</f>
        <v>0</v>
      </c>
      <c r="E15" s="417"/>
      <c r="F15" s="417">
        <f>IF((COUNT(방충망발주서!D17)=1),방충망발주서!D17+20,0)</f>
        <v>0</v>
      </c>
      <c r="G15" s="418"/>
      <c r="H15" s="434">
        <f>IF((COUNT(방충망발주서!D17)=1),B15*(D15+F15)*2,0)/1000</f>
        <v>0</v>
      </c>
      <c r="I15" s="435"/>
    </row>
    <row r="16" spans="1:14" ht="22.5" customHeight="1">
      <c r="A16" s="18">
        <f>방충망발주서!A18</f>
        <v>7</v>
      </c>
      <c r="B16" s="416">
        <f>방충망발주서!B18</f>
        <v>0</v>
      </c>
      <c r="C16" s="416"/>
      <c r="D16" s="417">
        <f>IF((COUNT(방충망발주서!B18)=1),방충망발주서!C18-28+1,0)</f>
        <v>0</v>
      </c>
      <c r="E16" s="417"/>
      <c r="F16" s="417">
        <f>IF((COUNT(방충망발주서!D18)=1),방충망발주서!D18+20,0)</f>
        <v>0</v>
      </c>
      <c r="G16" s="418"/>
      <c r="H16" s="434">
        <f>IF((COUNT(방충망발주서!D18)=1),B16*(D16+F16)*2,0)/1000</f>
        <v>0</v>
      </c>
      <c r="I16" s="435"/>
    </row>
    <row r="17" spans="1:9" ht="22.5" customHeight="1">
      <c r="A17" s="18">
        <f>방충망발주서!A19</f>
        <v>8</v>
      </c>
      <c r="B17" s="416">
        <f>방충망발주서!B19</f>
        <v>0</v>
      </c>
      <c r="C17" s="416"/>
      <c r="D17" s="417">
        <f>IF((COUNT(방충망발주서!B19)=1),방충망발주서!C19-28+1,0)</f>
        <v>0</v>
      </c>
      <c r="E17" s="417"/>
      <c r="F17" s="417">
        <f>IF((COUNT(방충망발주서!D19)=1),방충망발주서!D19+20,0)</f>
        <v>0</v>
      </c>
      <c r="G17" s="418"/>
      <c r="H17" s="434">
        <f>IF((COUNT(방충망발주서!D19)=1),B17*(D17+F17)*2,0)/1000</f>
        <v>0</v>
      </c>
      <c r="I17" s="435"/>
    </row>
    <row r="18" spans="1:9" ht="22.5" customHeight="1">
      <c r="A18" s="18">
        <f>방충망발주서!A20</f>
        <v>9</v>
      </c>
      <c r="B18" s="416">
        <f>방충망발주서!B20</f>
        <v>0</v>
      </c>
      <c r="C18" s="416"/>
      <c r="D18" s="417">
        <f>IF((COUNT(방충망발주서!B20)=1),방충망발주서!C20-28+1,0)</f>
        <v>0</v>
      </c>
      <c r="E18" s="417"/>
      <c r="F18" s="417">
        <f>IF((COUNT(방충망발주서!D20)=1),방충망발주서!D20+20,0)</f>
        <v>0</v>
      </c>
      <c r="G18" s="418"/>
      <c r="H18" s="434">
        <f>IF((COUNT(방충망발주서!D20)=1),B18*(D18+F18)*2,0)/1000</f>
        <v>0</v>
      </c>
      <c r="I18" s="435"/>
    </row>
    <row r="19" spans="1:9" ht="22.5" customHeight="1">
      <c r="A19" s="18">
        <f>방충망발주서!A21</f>
        <v>10</v>
      </c>
      <c r="B19" s="416">
        <f>방충망발주서!B21</f>
        <v>0</v>
      </c>
      <c r="C19" s="416"/>
      <c r="D19" s="417">
        <f>IF((COUNT(방충망발주서!B21)=1),방충망발주서!C21-28+1,0)</f>
        <v>0</v>
      </c>
      <c r="E19" s="417"/>
      <c r="F19" s="417">
        <f>IF((COUNT(방충망발주서!D21)=1),방충망발주서!D21+20,0)</f>
        <v>0</v>
      </c>
      <c r="G19" s="418"/>
      <c r="H19" s="434">
        <f>IF((COUNT(방충망발주서!D21)=1),B19*(D19+F19)*2,0)/1000</f>
        <v>0</v>
      </c>
      <c r="I19" s="435"/>
    </row>
    <row r="20" spans="1:9" ht="22.5" customHeight="1">
      <c r="A20" s="18">
        <f>방충망발주서!A22</f>
        <v>11</v>
      </c>
      <c r="B20" s="416">
        <f>방충망발주서!B22</f>
        <v>0</v>
      </c>
      <c r="C20" s="416"/>
      <c r="D20" s="417">
        <f>IF((COUNT(방충망발주서!B22)=1),방충망발주서!C22-28+1,0)</f>
        <v>0</v>
      </c>
      <c r="E20" s="417"/>
      <c r="F20" s="417">
        <f>IF((COUNT(방충망발주서!D22)=1),방충망발주서!D22+20,0)</f>
        <v>0</v>
      </c>
      <c r="G20" s="418"/>
      <c r="H20" s="434">
        <f>IF((COUNT(방충망발주서!D22)=1),B20*(D20+F20)*2,0)/1000</f>
        <v>0</v>
      </c>
      <c r="I20" s="435"/>
    </row>
    <row r="21" spans="1:9" ht="22.5" customHeight="1">
      <c r="A21" s="18">
        <f>방충망발주서!A23</f>
        <v>12</v>
      </c>
      <c r="B21" s="416">
        <f>방충망발주서!B23</f>
        <v>0</v>
      </c>
      <c r="C21" s="416"/>
      <c r="D21" s="417">
        <f>IF((COUNT(방충망발주서!B23)=1),방충망발주서!C23-28+1,0)</f>
        <v>0</v>
      </c>
      <c r="E21" s="417"/>
      <c r="F21" s="417">
        <f>IF((COUNT(방충망발주서!D23)=1),방충망발주서!D23+20,0)</f>
        <v>0</v>
      </c>
      <c r="G21" s="418"/>
      <c r="H21" s="434">
        <f>IF((COUNT(방충망발주서!D23)=1),B21*(D21+F21)*2,0)/1000</f>
        <v>0</v>
      </c>
      <c r="I21" s="435"/>
    </row>
    <row r="22" spans="1:9" ht="22.5" customHeight="1">
      <c r="A22" s="18">
        <f>방충망발주서!A24</f>
        <v>13</v>
      </c>
      <c r="B22" s="416">
        <f>방충망발주서!B24</f>
        <v>0</v>
      </c>
      <c r="C22" s="416"/>
      <c r="D22" s="417">
        <f>IF((COUNT(방충망발주서!B24)=1),방충망발주서!C24-28+1,0)</f>
        <v>0</v>
      </c>
      <c r="E22" s="417"/>
      <c r="F22" s="417">
        <f>IF((COUNT(방충망발주서!D24)=1),방충망발주서!D24+20,0)</f>
        <v>0</v>
      </c>
      <c r="G22" s="418"/>
      <c r="H22" s="434">
        <f>IF((COUNT(방충망발주서!D24)=1),B22*(D22+F22)*2,0)/1000</f>
        <v>0</v>
      </c>
      <c r="I22" s="435"/>
    </row>
    <row r="23" spans="1:9" ht="22.5" customHeight="1">
      <c r="A23" s="18">
        <f>방충망발주서!A25</f>
        <v>14</v>
      </c>
      <c r="B23" s="416">
        <f>방충망발주서!B25</f>
        <v>0</v>
      </c>
      <c r="C23" s="416"/>
      <c r="D23" s="417">
        <f>IF((COUNT(방충망발주서!B25)=1),방충망발주서!C25-28+1,0)</f>
        <v>0</v>
      </c>
      <c r="E23" s="417"/>
      <c r="F23" s="417">
        <f>IF((COUNT(방충망발주서!D25)=1),방충망발주서!D25+20,0)</f>
        <v>0</v>
      </c>
      <c r="G23" s="418"/>
      <c r="H23" s="434">
        <f>IF((COUNT(방충망발주서!D25)=1),B23*(D23+F23)*2,0)/1000</f>
        <v>0</v>
      </c>
      <c r="I23" s="435"/>
    </row>
    <row r="24" spans="1:9" ht="22.5" customHeight="1">
      <c r="A24" s="18">
        <f>방충망발주서!A26</f>
        <v>15</v>
      </c>
      <c r="B24" s="416">
        <f>방충망발주서!B26</f>
        <v>0</v>
      </c>
      <c r="C24" s="416"/>
      <c r="D24" s="417">
        <f>IF((COUNT(방충망발주서!B26)=1),방충망발주서!C26-28+1,0)</f>
        <v>0</v>
      </c>
      <c r="E24" s="417"/>
      <c r="F24" s="417">
        <f>IF((COUNT(방충망발주서!D26)=1),방충망발주서!D26+20,0)</f>
        <v>0</v>
      </c>
      <c r="G24" s="418"/>
      <c r="H24" s="434">
        <f>IF((COUNT(방충망발주서!D26)=1),B24*(D24+F24)*2,0)/1000</f>
        <v>0</v>
      </c>
      <c r="I24" s="435"/>
    </row>
    <row r="25" spans="1:9" ht="22.5" customHeight="1">
      <c r="A25" s="18">
        <f>방충망발주서!A27</f>
        <v>16</v>
      </c>
      <c r="B25" s="416">
        <f>방충망발주서!B27</f>
        <v>0</v>
      </c>
      <c r="C25" s="416"/>
      <c r="D25" s="417">
        <f>IF((COUNT(방충망발주서!B27)=1),방충망발주서!C27-28+1,0)</f>
        <v>0</v>
      </c>
      <c r="E25" s="417"/>
      <c r="F25" s="417">
        <f>IF((COUNT(방충망발주서!D27)=1),방충망발주서!D27+20,0)</f>
        <v>0</v>
      </c>
      <c r="G25" s="418"/>
      <c r="H25" s="434">
        <f>IF((COUNT(방충망발주서!D27)=1),B25*(D25+F25)*2,0)/1000</f>
        <v>0</v>
      </c>
      <c r="I25" s="435"/>
    </row>
    <row r="26" spans="1:9" ht="22.5" customHeight="1">
      <c r="A26" s="18">
        <f>방충망발주서!A28</f>
        <v>17</v>
      </c>
      <c r="B26" s="416">
        <f>방충망발주서!B28</f>
        <v>0</v>
      </c>
      <c r="C26" s="416"/>
      <c r="D26" s="417">
        <f>IF((COUNT(방충망발주서!B28)=1),방충망발주서!C28-28+1,0)</f>
        <v>0</v>
      </c>
      <c r="E26" s="417"/>
      <c r="F26" s="417">
        <f>IF((COUNT(방충망발주서!D28)=1),방충망발주서!D28+20,0)</f>
        <v>0</v>
      </c>
      <c r="G26" s="418"/>
      <c r="H26" s="434">
        <f>IF((COUNT(방충망발주서!D28)=1),B26*(D26+F26)*2,0)/1000</f>
        <v>0</v>
      </c>
      <c r="I26" s="435"/>
    </row>
    <row r="27" spans="1:9" ht="22.5" customHeight="1">
      <c r="A27" s="18">
        <f>방충망발주서!A29</f>
        <v>18</v>
      </c>
      <c r="B27" s="416">
        <f>방충망발주서!B29</f>
        <v>0</v>
      </c>
      <c r="C27" s="416"/>
      <c r="D27" s="417">
        <f>IF((COUNT(방충망발주서!B29)=1),방충망발주서!C29-28+1,0)</f>
        <v>0</v>
      </c>
      <c r="E27" s="417"/>
      <c r="F27" s="417">
        <f>IF((COUNT(방충망발주서!D29)=1),방충망발주서!D29+20,0)</f>
        <v>0</v>
      </c>
      <c r="G27" s="418"/>
      <c r="H27" s="434">
        <f>IF((COUNT(방충망발주서!D29)=1),B27*(D27+F27)*2,0)/1000</f>
        <v>0</v>
      </c>
      <c r="I27" s="435"/>
    </row>
    <row r="28" spans="1:9" ht="22.5" customHeight="1">
      <c r="A28" s="18">
        <f>방충망발주서!A30</f>
        <v>19</v>
      </c>
      <c r="B28" s="416">
        <f>방충망발주서!B30</f>
        <v>0</v>
      </c>
      <c r="C28" s="416"/>
      <c r="D28" s="417">
        <f>IF((COUNT(방충망발주서!B30)=1),방충망발주서!C30-28+1,0)</f>
        <v>0</v>
      </c>
      <c r="E28" s="417"/>
      <c r="F28" s="417">
        <f>IF((COUNT(방충망발주서!D30)=1),방충망발주서!D30+20,0)</f>
        <v>0</v>
      </c>
      <c r="G28" s="418"/>
      <c r="H28" s="434">
        <f>IF((COUNT(방충망발주서!D30)=1),B28*(D28+F28)*2,0)/1000</f>
        <v>0</v>
      </c>
      <c r="I28" s="435"/>
    </row>
    <row r="29" spans="1:9" ht="22.5" customHeight="1">
      <c r="A29" s="18">
        <f>방충망발주서!A31</f>
        <v>20</v>
      </c>
      <c r="B29" s="416">
        <f>방충망발주서!B31</f>
        <v>0</v>
      </c>
      <c r="C29" s="416"/>
      <c r="D29" s="417">
        <f>IF((COUNT(방충망발주서!B31)=1),방충망발주서!C31-28+1,0)</f>
        <v>0</v>
      </c>
      <c r="E29" s="417"/>
      <c r="F29" s="417">
        <f>IF((COUNT(방충망발주서!D31)=1),방충망발주서!D31+20,0)</f>
        <v>0</v>
      </c>
      <c r="G29" s="418"/>
      <c r="H29" s="434">
        <f>IF((COUNT(방충망발주서!D31)=1),B29*(D29+F29)*2,0)/1000</f>
        <v>0</v>
      </c>
      <c r="I29" s="435"/>
    </row>
    <row r="30" spans="1:9" ht="22.5" customHeight="1">
      <c r="A30" s="18">
        <f>방충망발주서!A32</f>
        <v>21</v>
      </c>
      <c r="B30" s="416">
        <f>방충망발주서!B32</f>
        <v>0</v>
      </c>
      <c r="C30" s="416"/>
      <c r="D30" s="417">
        <f>IF((COUNT(방충망발주서!B32)=1),방충망발주서!C32-28+1,0)</f>
        <v>0</v>
      </c>
      <c r="E30" s="417"/>
      <c r="F30" s="417">
        <f>IF((COUNT(방충망발주서!D32)=1),방충망발주서!D32+20,0)</f>
        <v>0</v>
      </c>
      <c r="G30" s="418"/>
      <c r="H30" s="434">
        <f>IF((COUNT(방충망발주서!D32)=1),B30*(D30+F30)*2,0)/1000</f>
        <v>0</v>
      </c>
      <c r="I30" s="435"/>
    </row>
    <row r="31" spans="1:9" ht="22.5" customHeight="1">
      <c r="A31" s="18">
        <f>방충망발주서!A33</f>
        <v>22</v>
      </c>
      <c r="B31" s="416">
        <f>방충망발주서!B33</f>
        <v>0</v>
      </c>
      <c r="C31" s="416"/>
      <c r="D31" s="417">
        <f>IF((COUNT(방충망발주서!B33)=1),방충망발주서!C33-28+1,0)</f>
        <v>0</v>
      </c>
      <c r="E31" s="417"/>
      <c r="F31" s="417">
        <f>IF((COUNT(방충망발주서!D33)=1),방충망발주서!D33+20,0)</f>
        <v>0</v>
      </c>
      <c r="G31" s="418"/>
      <c r="H31" s="434">
        <f>IF((COUNT(방충망발주서!D33)=1),B31*(D31+F31)*2,0)/1000</f>
        <v>0</v>
      </c>
      <c r="I31" s="435"/>
    </row>
    <row r="32" spans="1:9" ht="22.5" customHeight="1">
      <c r="A32" s="18">
        <f>방충망발주서!A34</f>
        <v>23</v>
      </c>
      <c r="B32" s="416">
        <f>방충망발주서!B34</f>
        <v>0</v>
      </c>
      <c r="C32" s="416"/>
      <c r="D32" s="417">
        <f>IF((COUNT(방충망발주서!B34)=1),방충망발주서!C34-28+1,0)</f>
        <v>0</v>
      </c>
      <c r="E32" s="417"/>
      <c r="F32" s="417">
        <f>IF((COUNT(방충망발주서!D34)=1),방충망발주서!D34+20,0)</f>
        <v>0</v>
      </c>
      <c r="G32" s="418"/>
      <c r="H32" s="434">
        <f>IF((COUNT(방충망발주서!D34)=1),B32*(D32+F32)*2,0)/1000</f>
        <v>0</v>
      </c>
      <c r="I32" s="435"/>
    </row>
    <row r="33" spans="1:9" ht="22.5" customHeight="1">
      <c r="A33" s="18">
        <f>방충망발주서!A35</f>
        <v>24</v>
      </c>
      <c r="B33" s="416">
        <f>방충망발주서!B35</f>
        <v>0</v>
      </c>
      <c r="C33" s="416"/>
      <c r="D33" s="417">
        <f>IF((COUNT(방충망발주서!B35)=1),방충망발주서!C35-28+1,0)</f>
        <v>0</v>
      </c>
      <c r="E33" s="417"/>
      <c r="F33" s="417">
        <f>IF((COUNT(방충망발주서!D35)=1),방충망발주서!D35+20,0)</f>
        <v>0</v>
      </c>
      <c r="G33" s="418"/>
      <c r="H33" s="434">
        <f>IF((COUNT(방충망발주서!D35)=1),B33*(D33+F33)*2,0)/1000</f>
        <v>0</v>
      </c>
      <c r="I33" s="435"/>
    </row>
    <row r="34" spans="1:9" ht="22.5" customHeight="1">
      <c r="A34" s="18">
        <f>방충망발주서!A36</f>
        <v>25</v>
      </c>
      <c r="B34" s="416">
        <f>방충망발주서!B36</f>
        <v>0</v>
      </c>
      <c r="C34" s="416"/>
      <c r="D34" s="417">
        <f>IF((COUNT(방충망발주서!B36)=1),방충망발주서!C36-28+1,0)</f>
        <v>0</v>
      </c>
      <c r="E34" s="417"/>
      <c r="F34" s="417">
        <f>IF((COUNT(방충망발주서!D36)=1),방충망발주서!D36+20,0)</f>
        <v>0</v>
      </c>
      <c r="G34" s="418"/>
      <c r="H34" s="434">
        <f>IF((COUNT(방충망발주서!D36)=1),B34*(D34+F34)*2,0)/1000</f>
        <v>0</v>
      </c>
      <c r="I34" s="435"/>
    </row>
    <row r="35" spans="1:9" ht="22.5" customHeight="1" thickBot="1">
      <c r="A35" s="19" t="s">
        <v>47</v>
      </c>
      <c r="B35" s="423">
        <f>SUM(B10:B34)</f>
        <v>0</v>
      </c>
      <c r="C35" s="423"/>
      <c r="D35" s="423"/>
      <c r="E35" s="423"/>
      <c r="F35" s="423"/>
      <c r="G35" s="449"/>
      <c r="H35" s="448">
        <f>SUM(H10:H34)</f>
        <v>0</v>
      </c>
      <c r="I35" s="449"/>
    </row>
  </sheetData>
  <sheetProtection algorithmName="SHA-512" hashValue="HSouqZGe48s36FYDX1Kre7dNftuI6t10BElA8f6FWeYGtP/O4fb2svJH8lkvh/lBbL0FsJ26FjKxd5ULKZ29eQ==" saltValue="sk6GKjsM9R+DsQDYSdKNFw==" spinCount="100000" sheet="1" objects="1" scenarios="1" formatCells="0"/>
  <mergeCells count="133">
    <mergeCell ref="F22:G22"/>
    <mergeCell ref="F21:G21"/>
    <mergeCell ref="H34:I34"/>
    <mergeCell ref="H27:I27"/>
    <mergeCell ref="F32:G32"/>
    <mergeCell ref="H35:I35"/>
    <mergeCell ref="H24:I24"/>
    <mergeCell ref="H25:I25"/>
    <mergeCell ref="H26:I26"/>
    <mergeCell ref="H32:I32"/>
    <mergeCell ref="H33:I33"/>
    <mergeCell ref="H28:I28"/>
    <mergeCell ref="H30:I30"/>
    <mergeCell ref="F35:G35"/>
    <mergeCell ref="F34:G34"/>
    <mergeCell ref="F31:G31"/>
    <mergeCell ref="F33:G33"/>
    <mergeCell ref="H16:I16"/>
    <mergeCell ref="H31:I31"/>
    <mergeCell ref="H29:I29"/>
    <mergeCell ref="H19:I19"/>
    <mergeCell ref="H20:I20"/>
    <mergeCell ref="H21:I21"/>
    <mergeCell ref="H22:I22"/>
    <mergeCell ref="H23:I23"/>
    <mergeCell ref="H17:I17"/>
    <mergeCell ref="H18:I18"/>
    <mergeCell ref="H13:I13"/>
    <mergeCell ref="D3:G3"/>
    <mergeCell ref="I3:J3"/>
    <mergeCell ref="D4:G4"/>
    <mergeCell ref="I4:J4"/>
    <mergeCell ref="I5:J5"/>
    <mergeCell ref="H14:I14"/>
    <mergeCell ref="H15:I15"/>
    <mergeCell ref="A1:F1"/>
    <mergeCell ref="I1:J1"/>
    <mergeCell ref="B11:C11"/>
    <mergeCell ref="D11:E11"/>
    <mergeCell ref="F11:G11"/>
    <mergeCell ref="B12:C12"/>
    <mergeCell ref="H11:I11"/>
    <mergeCell ref="H12:I12"/>
    <mergeCell ref="K1:L1"/>
    <mergeCell ref="A2:B2"/>
    <mergeCell ref="F2:G2"/>
    <mergeCell ref="I2:J2"/>
    <mergeCell ref="L2:M2"/>
    <mergeCell ref="B10:C10"/>
    <mergeCell ref="D10:E10"/>
    <mergeCell ref="F10:G10"/>
    <mergeCell ref="L4:M4"/>
    <mergeCell ref="L3:M3"/>
    <mergeCell ref="K5:N5"/>
    <mergeCell ref="H8:I9"/>
    <mergeCell ref="H10:I10"/>
    <mergeCell ref="A6:B6"/>
    <mergeCell ref="E6:G6"/>
    <mergeCell ref="A8:A9"/>
    <mergeCell ref="B8:C9"/>
    <mergeCell ref="D8:G8"/>
    <mergeCell ref="D9:E9"/>
    <mergeCell ref="F9:G9"/>
    <mergeCell ref="A7:C7"/>
    <mergeCell ref="E7:L7"/>
    <mergeCell ref="I6:J6"/>
    <mergeCell ref="K6:N6"/>
    <mergeCell ref="D21:E21"/>
    <mergeCell ref="B17:C17"/>
    <mergeCell ref="D17:E17"/>
    <mergeCell ref="F17:G17"/>
    <mergeCell ref="D12:E12"/>
    <mergeCell ref="F12:G12"/>
    <mergeCell ref="F18:G18"/>
    <mergeCell ref="B14:C14"/>
    <mergeCell ref="D14:E14"/>
    <mergeCell ref="F14:G14"/>
    <mergeCell ref="B15:C15"/>
    <mergeCell ref="D15:E15"/>
    <mergeCell ref="F15:G15"/>
    <mergeCell ref="B16:C16"/>
    <mergeCell ref="B13:C13"/>
    <mergeCell ref="D13:E13"/>
    <mergeCell ref="F13:G13"/>
    <mergeCell ref="F16:G16"/>
    <mergeCell ref="B20:C20"/>
    <mergeCell ref="D20:E20"/>
    <mergeCell ref="F20:G20"/>
    <mergeCell ref="B21:C21"/>
    <mergeCell ref="B33:C33"/>
    <mergeCell ref="D33:E33"/>
    <mergeCell ref="B35:C35"/>
    <mergeCell ref="D35:E35"/>
    <mergeCell ref="B28:C28"/>
    <mergeCell ref="B34:C34"/>
    <mergeCell ref="D34:E34"/>
    <mergeCell ref="B24:C24"/>
    <mergeCell ref="D24:E24"/>
    <mergeCell ref="B27:C27"/>
    <mergeCell ref="D27:E27"/>
    <mergeCell ref="B32:C32"/>
    <mergeCell ref="D32:E32"/>
    <mergeCell ref="B31:C31"/>
    <mergeCell ref="D31:E31"/>
    <mergeCell ref="D28:E28"/>
    <mergeCell ref="B25:C25"/>
    <mergeCell ref="B26:C26"/>
    <mergeCell ref="D26:E26"/>
    <mergeCell ref="D25:E25"/>
    <mergeCell ref="B23:C23"/>
    <mergeCell ref="D23:E23"/>
    <mergeCell ref="F23:G23"/>
    <mergeCell ref="A3:B4"/>
    <mergeCell ref="A5:B5"/>
    <mergeCell ref="B29:C29"/>
    <mergeCell ref="D29:E29"/>
    <mergeCell ref="F29:G29"/>
    <mergeCell ref="B30:C30"/>
    <mergeCell ref="D30:E30"/>
    <mergeCell ref="B22:C22"/>
    <mergeCell ref="F30:G30"/>
    <mergeCell ref="F27:G27"/>
    <mergeCell ref="D22:E22"/>
    <mergeCell ref="B18:C18"/>
    <mergeCell ref="D18:E18"/>
    <mergeCell ref="B19:C19"/>
    <mergeCell ref="D19:E19"/>
    <mergeCell ref="F19:G19"/>
    <mergeCell ref="D16:E16"/>
    <mergeCell ref="F28:G28"/>
    <mergeCell ref="F24:G24"/>
    <mergeCell ref="F26:G26"/>
    <mergeCell ref="F25:G25"/>
  </mergeCells>
  <phoneticPr fontId="1" type="noConversion"/>
  <printOptions horizontalCentered="1"/>
  <pageMargins left="0.15748031496062992" right="0.15748031496062992" top="0.98425196850393704" bottom="0.19685039370078741" header="0.19685039370078741" footer="0.19685039370078741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3300"/>
  </sheetPr>
  <dimension ref="A1:R47"/>
  <sheetViews>
    <sheetView topLeftCell="A20" zoomScaleNormal="100" workbookViewId="0">
      <selection activeCell="A37" sqref="A37:G39 I37:I40"/>
    </sheetView>
  </sheetViews>
  <sheetFormatPr defaultRowHeight="12"/>
  <cols>
    <col min="1" max="1" width="10.625" style="53" customWidth="1"/>
    <col min="2" max="2" width="8.625" style="53" customWidth="1"/>
    <col min="3" max="4" width="8.875" style="53" customWidth="1"/>
    <col min="5" max="5" width="7.625" style="53" customWidth="1"/>
    <col min="6" max="6" width="10.125" style="53" customWidth="1"/>
    <col min="7" max="7" width="12.125" style="53" customWidth="1"/>
    <col min="8" max="8" width="11.125" style="53" customWidth="1"/>
    <col min="9" max="9" width="12.625" style="53" customWidth="1"/>
    <col min="10" max="10" width="2" style="53" customWidth="1"/>
    <col min="11" max="11" width="4.625" style="61" customWidth="1"/>
    <col min="12" max="13" width="10.625" style="61" customWidth="1"/>
    <col min="14" max="14" width="4.625" style="189" customWidth="1"/>
    <col min="15" max="15" width="11.125" style="53" customWidth="1"/>
    <col min="16" max="16" width="22.375" style="53" customWidth="1"/>
    <col min="17" max="17" width="6.625" style="53" customWidth="1"/>
    <col min="18" max="18" width="10.625" style="53" customWidth="1"/>
    <col min="19" max="19" width="9" style="53" customWidth="1"/>
    <col min="20" max="16384" width="9" style="53"/>
  </cols>
  <sheetData>
    <row r="1" spans="1:18" s="60" customFormat="1" ht="50.1" customHeight="1">
      <c r="A1" s="483" t="str">
        <f>CHOOSE(N3," 견 적 서"," 청 구 서")</f>
        <v xml:space="preserve"> 청 구 서</v>
      </c>
      <c r="B1" s="483"/>
      <c r="C1" s="483"/>
      <c r="D1" s="483"/>
      <c r="E1" s="483"/>
      <c r="F1" s="483"/>
      <c r="G1" s="483"/>
      <c r="H1" s="483"/>
      <c r="I1" s="483"/>
      <c r="J1" s="133"/>
      <c r="K1" s="51"/>
      <c r="L1" s="478" t="s">
        <v>177</v>
      </c>
      <c r="M1" s="478"/>
      <c r="N1" s="186"/>
      <c r="O1" s="484" t="s">
        <v>99</v>
      </c>
      <c r="P1" s="485"/>
      <c r="Q1" s="485"/>
      <c r="R1" s="485"/>
    </row>
    <row r="2" spans="1:18" ht="11.1" customHeight="1" thickBot="1">
      <c r="A2" s="486"/>
      <c r="B2" s="486"/>
      <c r="C2" s="486"/>
      <c r="D2" s="486"/>
      <c r="E2" s="486"/>
      <c r="F2" s="486"/>
      <c r="G2" s="486"/>
      <c r="H2" s="486"/>
      <c r="I2" s="486"/>
      <c r="J2" s="134"/>
      <c r="K2" s="51"/>
      <c r="L2" s="51"/>
      <c r="M2" s="51"/>
      <c r="N2" s="187"/>
      <c r="Q2" s="62">
        <v>1</v>
      </c>
    </row>
    <row r="3" spans="1:18" ht="20.100000000000001" customHeight="1" thickTop="1" thickBot="1">
      <c r="A3" s="487" t="str">
        <f>방충망발주서!D3</f>
        <v/>
      </c>
      <c r="B3" s="487"/>
      <c r="C3" s="487"/>
      <c r="D3" s="135" t="s">
        <v>100</v>
      </c>
      <c r="E3" s="134"/>
      <c r="F3" s="136" t="s">
        <v>88</v>
      </c>
      <c r="G3" s="488" t="s">
        <v>89</v>
      </c>
      <c r="H3" s="489"/>
      <c r="I3" s="490"/>
      <c r="J3" s="134"/>
      <c r="K3" s="51"/>
      <c r="L3" s="182"/>
      <c r="M3" s="183"/>
      <c r="N3" s="191">
        <v>2</v>
      </c>
      <c r="O3" s="479" t="s">
        <v>90</v>
      </c>
      <c r="P3" s="476" t="s">
        <v>123</v>
      </c>
      <c r="Q3" s="476"/>
      <c r="R3" s="477"/>
    </row>
    <row r="4" spans="1:18" ht="20.100000000000001" customHeight="1" thickTop="1" thickBot="1">
      <c r="A4" s="504" t="str">
        <f>SUBSTITUTE(방충망발주서!K8,"현장","")</f>
        <v/>
      </c>
      <c r="B4" s="504"/>
      <c r="C4" s="504"/>
      <c r="D4" s="135" t="s">
        <v>91</v>
      </c>
      <c r="E4" s="134"/>
      <c r="F4" s="137" t="s">
        <v>101</v>
      </c>
      <c r="G4" s="138" t="s">
        <v>102</v>
      </c>
      <c r="H4" s="139" t="s">
        <v>103</v>
      </c>
      <c r="I4" s="140" t="s">
        <v>104</v>
      </c>
      <c r="J4" s="134"/>
      <c r="K4" s="51"/>
      <c r="L4" s="184"/>
      <c r="M4" s="185"/>
      <c r="N4" s="187"/>
      <c r="O4" s="480"/>
      <c r="P4" s="496" t="s">
        <v>129</v>
      </c>
      <c r="Q4" s="496"/>
      <c r="R4" s="497"/>
    </row>
    <row r="5" spans="1:18" ht="20.100000000000001" customHeight="1" thickTop="1">
      <c r="A5" s="492" t="s">
        <v>128</v>
      </c>
      <c r="B5" s="492"/>
      <c r="C5" s="493">
        <f>방충망발주서!D2</f>
        <v>44753</v>
      </c>
      <c r="D5" s="493"/>
      <c r="E5" s="134"/>
      <c r="F5" s="137" t="s">
        <v>92</v>
      </c>
      <c r="G5" s="500" t="s">
        <v>93</v>
      </c>
      <c r="H5" s="501"/>
      <c r="I5" s="502"/>
      <c r="J5" s="134"/>
      <c r="K5" s="51"/>
      <c r="N5" s="187"/>
      <c r="O5" s="480"/>
      <c r="P5" s="496" t="s">
        <v>124</v>
      </c>
      <c r="Q5" s="496"/>
      <c r="R5" s="497"/>
    </row>
    <row r="6" spans="1:18" ht="20.100000000000001" customHeight="1">
      <c r="A6" s="492" t="s">
        <v>105</v>
      </c>
      <c r="B6" s="492"/>
      <c r="C6" s="482" t="str">
        <f>IF(방충망발주서!D4="","",VLOOKUP(방충망발주서!$D$4,데이터!$G$4:$L$12,1,0))</f>
        <v/>
      </c>
      <c r="D6" s="482"/>
      <c r="E6" s="134"/>
      <c r="F6" s="141" t="s">
        <v>106</v>
      </c>
      <c r="G6" s="142" t="s">
        <v>107</v>
      </c>
      <c r="H6" s="143" t="s">
        <v>108</v>
      </c>
      <c r="I6" s="144" t="s">
        <v>109</v>
      </c>
      <c r="J6" s="134"/>
      <c r="K6" s="51"/>
      <c r="N6" s="187"/>
      <c r="O6" s="480"/>
      <c r="P6" s="496" t="s">
        <v>125</v>
      </c>
      <c r="Q6" s="496"/>
      <c r="R6" s="497"/>
    </row>
    <row r="7" spans="1:18" ht="20.100000000000001" customHeight="1" thickBot="1">
      <c r="A7" s="492" t="s">
        <v>110</v>
      </c>
      <c r="B7" s="492"/>
      <c r="C7" s="491" t="str">
        <f>IF(방충망발주서!D4="","",VLOOKUP(방충망발주서!$D$4,데이터!$G$4:$L$12,3,0))</f>
        <v/>
      </c>
      <c r="D7" s="491"/>
      <c r="E7" s="134"/>
      <c r="F7" s="145" t="s">
        <v>111</v>
      </c>
      <c r="G7" s="146" t="str">
        <f>IF(방충망발주서!D4="","",VLOOKUP(방충망발주서!$D$4,데이터!G4:L12,4,0))</f>
        <v/>
      </c>
      <c r="H7" s="147" t="s">
        <v>112</v>
      </c>
      <c r="I7" s="146" t="str">
        <f>IF(방충망발주서!D4="","",VLOOKUP(방충망발주서!$D$4,데이터!G4:L12,5,0))</f>
        <v/>
      </c>
      <c r="J7" s="134"/>
      <c r="K7" s="51"/>
      <c r="N7" s="187"/>
      <c r="O7" s="481"/>
      <c r="P7" s="498" t="s">
        <v>126</v>
      </c>
      <c r="Q7" s="498"/>
      <c r="R7" s="499"/>
    </row>
    <row r="8" spans="1:18" ht="11.1" customHeight="1" thickTop="1" thickBot="1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51"/>
      <c r="L8" s="51"/>
      <c r="M8" s="51"/>
      <c r="N8" s="187"/>
    </row>
    <row r="9" spans="1:18" ht="21.95" customHeight="1" thickTop="1" thickBot="1">
      <c r="A9" s="510" t="s">
        <v>113</v>
      </c>
      <c r="B9" s="511"/>
      <c r="C9" s="503">
        <f ca="1">G9</f>
        <v>0</v>
      </c>
      <c r="D9" s="503"/>
      <c r="E9" s="503"/>
      <c r="F9" s="503"/>
      <c r="G9" s="505">
        <f ca="1">IF(I9=") 부가세별도",G40,G40+H40)</f>
        <v>0</v>
      </c>
      <c r="H9" s="505"/>
      <c r="I9" s="192" t="s">
        <v>179</v>
      </c>
      <c r="J9" s="134"/>
      <c r="K9" s="190" t="s">
        <v>176</v>
      </c>
      <c r="L9" s="478" t="s">
        <v>178</v>
      </c>
      <c r="M9" s="478"/>
      <c r="N9" s="187"/>
      <c r="O9" s="54"/>
    </row>
    <row r="10" spans="1:18" ht="11.1" customHeight="1" thickTop="1" thickBot="1">
      <c r="A10" s="134"/>
      <c r="B10" s="134"/>
      <c r="C10" s="134"/>
      <c r="D10" s="134"/>
      <c r="E10" s="134"/>
      <c r="F10" s="134"/>
      <c r="G10" s="134"/>
      <c r="H10" s="134"/>
      <c r="I10" s="134"/>
      <c r="J10" s="134"/>
      <c r="K10" s="51"/>
      <c r="L10" s="51"/>
      <c r="M10" s="51"/>
      <c r="N10" s="187"/>
    </row>
    <row r="11" spans="1:18" s="63" customFormat="1" ht="17.100000000000001" customHeight="1">
      <c r="A11" s="506" t="s">
        <v>114</v>
      </c>
      <c r="B11" s="507"/>
      <c r="C11" s="148" t="s">
        <v>115</v>
      </c>
      <c r="D11" s="201" t="s">
        <v>116</v>
      </c>
      <c r="E11" s="149" t="s">
        <v>94</v>
      </c>
      <c r="F11" s="149" t="s">
        <v>117</v>
      </c>
      <c r="G11" s="149" t="s">
        <v>118</v>
      </c>
      <c r="H11" s="149" t="s">
        <v>119</v>
      </c>
      <c r="I11" s="150" t="s">
        <v>120</v>
      </c>
      <c r="J11" s="135"/>
      <c r="K11" s="55"/>
      <c r="L11" s="51"/>
      <c r="M11" s="51"/>
      <c r="N11" s="188"/>
      <c r="O11" s="56"/>
      <c r="P11" s="56"/>
      <c r="Q11" s="56"/>
      <c r="R11" s="56"/>
    </row>
    <row r="12" spans="1:18" ht="17.100000000000001" customHeight="1">
      <c r="A12" s="508" t="str">
        <f>방충망발주서!D5&amp;"/"&amp;방충망발주서!D6</f>
        <v>/</v>
      </c>
      <c r="B12" s="509"/>
      <c r="C12" s="151" t="str">
        <f>IF(OR(방충망발주서!C12=""),"",방충망발주서!C12)</f>
        <v/>
      </c>
      <c r="D12" s="152" t="str">
        <f>IF(OR(방충망발주서!D12=""),"",방충망발주서!D12)</f>
        <v/>
      </c>
      <c r="E12" s="153" t="str">
        <f>IF(OR(방충망발주서!B12=""),"",방충망발주서!B12)</f>
        <v/>
      </c>
      <c r="F12" s="154" t="str">
        <f ca="1">IF(OR(방충망발주서!AH12=""),"",방충망발주서!AH12)</f>
        <v/>
      </c>
      <c r="G12" s="154" t="str">
        <f ca="1">IFERROR(ROUND(E12*F12,0),"")</f>
        <v/>
      </c>
      <c r="H12" s="154" t="str">
        <f ca="1">IFERROR(ROUND(G12*0.1,0),"")</f>
        <v/>
      </c>
      <c r="I12" s="239" t="str">
        <f>IF(AND(방충망발주서!N12="",방충망발주서!M12=""),"",IF(AND(방충망발주서!M12="끈",방충망발주서!N12&lt;&gt;""),방충망발주서!M12&amp;","&amp;방충망발주서!N12,IF(AND(방충망발주서!M12="",방충망발주서!N12&lt;&gt;""),방충망발주서!N12,방충망발주서!M12)))</f>
        <v/>
      </c>
      <c r="J12" s="134"/>
      <c r="K12" s="51"/>
      <c r="N12" s="187"/>
      <c r="O12" s="57"/>
      <c r="P12" s="57"/>
      <c r="Q12" s="57"/>
      <c r="R12" s="57"/>
    </row>
    <row r="13" spans="1:18" ht="17.100000000000001" customHeight="1">
      <c r="A13" s="474" t="str">
        <f>IF(OR(방충망발주서!E6=""),"","(")&amp;IF(OR(방충망발주서!E6=""),"",방충망발주서!E6)&amp;IF(OR(방충망발주서!E6=""),"",")")</f>
        <v/>
      </c>
      <c r="B13" s="475"/>
      <c r="C13" s="151" t="str">
        <f>IF(OR(방충망발주서!C13=""),"",방충망발주서!C13)</f>
        <v/>
      </c>
      <c r="D13" s="152" t="str">
        <f>IF(OR(방충망발주서!D13=""),"",방충망발주서!D13)</f>
        <v/>
      </c>
      <c r="E13" s="153" t="str">
        <f>IF(OR(방충망발주서!B13=""),"",방충망발주서!B13)</f>
        <v/>
      </c>
      <c r="F13" s="154" t="str">
        <f ca="1">IF(OR(방충망발주서!AH13=""),"",방충망발주서!AH13)</f>
        <v/>
      </c>
      <c r="G13" s="154" t="str">
        <f t="shared" ref="G13:G36" ca="1" si="0">IFERROR(ROUND(E13*F13,0),"")</f>
        <v/>
      </c>
      <c r="H13" s="154" t="str">
        <f t="shared" ref="H13:H36" ca="1" si="1">IFERROR(ROUND(G13*0.1,0),"")</f>
        <v/>
      </c>
      <c r="I13" s="239" t="str">
        <f>IF(AND(방충망발주서!N13="",방충망발주서!M13=""),"",IF(AND(방충망발주서!M13="끈",방충망발주서!N13&lt;&gt;""),방충망발주서!M13&amp;","&amp;방충망발주서!N13,IF(AND(방충망발주서!M13="",방충망발주서!N13&lt;&gt;""),방충망발주서!N13,방충망발주서!M13)))</f>
        <v/>
      </c>
      <c r="J13" s="134"/>
      <c r="K13" s="51"/>
      <c r="L13" s="51"/>
      <c r="M13" s="51"/>
      <c r="N13" s="187"/>
      <c r="O13" s="57"/>
      <c r="P13" s="57"/>
      <c r="Q13" s="57"/>
      <c r="R13" s="57"/>
    </row>
    <row r="14" spans="1:18" ht="17.100000000000001" customHeight="1">
      <c r="A14" s="466"/>
      <c r="B14" s="467"/>
      <c r="C14" s="151" t="str">
        <f>IF(OR(방충망발주서!C14=""),"",방충망발주서!C14)</f>
        <v/>
      </c>
      <c r="D14" s="152" t="str">
        <f>IF(OR(방충망발주서!D14=""),"",방충망발주서!D14)</f>
        <v/>
      </c>
      <c r="E14" s="153" t="str">
        <f>IF(OR(방충망발주서!B14=""),"",방충망발주서!B14)</f>
        <v/>
      </c>
      <c r="F14" s="154" t="str">
        <f ca="1">IF(OR(방충망발주서!AH14=""),"",방충망발주서!AH14)</f>
        <v/>
      </c>
      <c r="G14" s="154" t="str">
        <f t="shared" ca="1" si="0"/>
        <v/>
      </c>
      <c r="H14" s="154" t="str">
        <f t="shared" ca="1" si="1"/>
        <v/>
      </c>
      <c r="I14" s="239" t="str">
        <f>IF(AND(방충망발주서!N14="",방충망발주서!M14=""),"",IF(AND(방충망발주서!M14="끈",방충망발주서!N14&lt;&gt;""),방충망발주서!M14&amp;","&amp;방충망발주서!N14,IF(AND(방충망발주서!M14="",방충망발주서!N14&lt;&gt;""),방충망발주서!N14,방충망발주서!M14)))</f>
        <v/>
      </c>
      <c r="J14" s="134"/>
      <c r="K14" s="51"/>
      <c r="L14" s="51"/>
      <c r="M14" s="51"/>
      <c r="N14" s="187"/>
      <c r="O14" s="57"/>
      <c r="P14" s="57"/>
      <c r="Q14" s="57"/>
      <c r="R14" s="57"/>
    </row>
    <row r="15" spans="1:18" ht="17.100000000000001" customHeight="1">
      <c r="A15" s="466"/>
      <c r="B15" s="467"/>
      <c r="C15" s="151" t="str">
        <f>IF(OR(방충망발주서!C15=""),"",방충망발주서!C15)</f>
        <v/>
      </c>
      <c r="D15" s="152" t="str">
        <f>IF(OR(방충망발주서!D15=""),"",방충망발주서!D15)</f>
        <v/>
      </c>
      <c r="E15" s="153" t="str">
        <f>IF(OR(방충망발주서!B15=""),"",방충망발주서!B15)</f>
        <v/>
      </c>
      <c r="F15" s="154" t="str">
        <f ca="1">IF(OR(방충망발주서!AH15=""),"",방충망발주서!AH15)</f>
        <v/>
      </c>
      <c r="G15" s="154" t="str">
        <f t="shared" ca="1" si="0"/>
        <v/>
      </c>
      <c r="H15" s="154" t="str">
        <f t="shared" ca="1" si="1"/>
        <v/>
      </c>
      <c r="I15" s="239" t="str">
        <f>IF(AND(방충망발주서!N15="",방충망발주서!M15=""),"",IF(AND(방충망발주서!M15="끈",방충망발주서!N15&lt;&gt;""),방충망발주서!M15&amp;","&amp;방충망발주서!N15,IF(AND(방충망발주서!M15="",방충망발주서!N15&lt;&gt;""),방충망발주서!N15,방충망발주서!M15)))</f>
        <v/>
      </c>
      <c r="J15" s="134"/>
      <c r="K15" s="51"/>
      <c r="L15" s="51"/>
      <c r="M15" s="51"/>
      <c r="N15" s="187"/>
      <c r="O15" s="57"/>
      <c r="P15" s="57"/>
      <c r="Q15" s="57"/>
      <c r="R15" s="57"/>
    </row>
    <row r="16" spans="1:18" ht="17.100000000000001" customHeight="1">
      <c r="A16" s="466"/>
      <c r="B16" s="467"/>
      <c r="C16" s="151" t="str">
        <f>IF(OR(방충망발주서!C16=""),"",방충망발주서!C16)</f>
        <v/>
      </c>
      <c r="D16" s="152" t="str">
        <f>IF(OR(방충망발주서!D16=""),"",방충망발주서!D16)</f>
        <v/>
      </c>
      <c r="E16" s="153" t="str">
        <f>IF(OR(방충망발주서!B16=""),"",방충망발주서!B16)</f>
        <v/>
      </c>
      <c r="F16" s="154" t="str">
        <f ca="1">IF(OR(방충망발주서!AH16=""),"",방충망발주서!AH16)</f>
        <v/>
      </c>
      <c r="G16" s="154" t="str">
        <f t="shared" ca="1" si="0"/>
        <v/>
      </c>
      <c r="H16" s="154" t="str">
        <f t="shared" ca="1" si="1"/>
        <v/>
      </c>
      <c r="I16" s="239" t="str">
        <f>IF(AND(방충망발주서!N16="",방충망발주서!M16=""),"",IF(AND(방충망발주서!M16="끈",방충망발주서!N16&lt;&gt;""),방충망발주서!M16&amp;","&amp;방충망발주서!N16,IF(AND(방충망발주서!M16="",방충망발주서!N16&lt;&gt;""),방충망발주서!N16,방충망발주서!M16)))</f>
        <v/>
      </c>
      <c r="J16" s="134"/>
      <c r="K16" s="51"/>
      <c r="L16" s="51"/>
      <c r="M16" s="51"/>
      <c r="N16" s="187"/>
      <c r="O16" s="57"/>
      <c r="P16" s="57"/>
      <c r="Q16" s="57"/>
      <c r="R16" s="57"/>
    </row>
    <row r="17" spans="1:18" ht="17.100000000000001" customHeight="1">
      <c r="A17" s="466"/>
      <c r="B17" s="467"/>
      <c r="C17" s="151" t="str">
        <f>IF(OR(방충망발주서!C17=""),"",방충망발주서!C17)</f>
        <v/>
      </c>
      <c r="D17" s="152" t="str">
        <f>IF(OR(방충망발주서!D17=""),"",방충망발주서!D17)</f>
        <v/>
      </c>
      <c r="E17" s="153" t="str">
        <f>IF(OR(방충망발주서!B17=""),"",방충망발주서!B17)</f>
        <v/>
      </c>
      <c r="F17" s="154" t="str">
        <f ca="1">IF(OR(방충망발주서!AH17=""),"",방충망발주서!AH17)</f>
        <v/>
      </c>
      <c r="G17" s="154" t="str">
        <f t="shared" ca="1" si="0"/>
        <v/>
      </c>
      <c r="H17" s="154" t="str">
        <f t="shared" ca="1" si="1"/>
        <v/>
      </c>
      <c r="I17" s="239" t="str">
        <f>IF(AND(방충망발주서!N17="",방충망발주서!M17=""),"",IF(AND(방충망발주서!M17="끈",방충망발주서!N17&lt;&gt;""),방충망발주서!M17&amp;","&amp;방충망발주서!N17,IF(AND(방충망발주서!M17="",방충망발주서!N17&lt;&gt;""),방충망발주서!N17,방충망발주서!M17)))</f>
        <v/>
      </c>
      <c r="J17" s="134"/>
      <c r="K17" s="51"/>
      <c r="L17" s="51"/>
      <c r="M17" s="51"/>
      <c r="N17" s="187"/>
      <c r="O17" s="57"/>
      <c r="P17" s="57"/>
      <c r="Q17" s="57"/>
      <c r="R17" s="57"/>
    </row>
    <row r="18" spans="1:18" ht="17.100000000000001" customHeight="1">
      <c r="A18" s="466"/>
      <c r="B18" s="467"/>
      <c r="C18" s="151" t="str">
        <f>IF(OR(방충망발주서!C18=""),"",방충망발주서!C18)</f>
        <v/>
      </c>
      <c r="D18" s="152" t="str">
        <f>IF(OR(방충망발주서!D18=""),"",방충망발주서!D18)</f>
        <v/>
      </c>
      <c r="E18" s="153" t="str">
        <f>IF(OR(방충망발주서!B18=""),"",방충망발주서!B18)</f>
        <v/>
      </c>
      <c r="F18" s="154" t="str">
        <f ca="1">IF(OR(방충망발주서!AH18=""),"",방충망발주서!AH18)</f>
        <v/>
      </c>
      <c r="G18" s="154" t="str">
        <f t="shared" ca="1" si="0"/>
        <v/>
      </c>
      <c r="H18" s="154" t="str">
        <f t="shared" ca="1" si="1"/>
        <v/>
      </c>
      <c r="I18" s="239" t="str">
        <f>IF(AND(방충망발주서!N18="",방충망발주서!M18=""),"",IF(AND(방충망발주서!M18="끈",방충망발주서!N18&lt;&gt;""),방충망발주서!M18&amp;","&amp;방충망발주서!N18,IF(AND(방충망발주서!M18="",방충망발주서!N18&lt;&gt;""),방충망발주서!N18,방충망발주서!M18)))</f>
        <v/>
      </c>
      <c r="J18" s="134"/>
      <c r="K18" s="51"/>
      <c r="L18" s="51"/>
      <c r="M18" s="51"/>
      <c r="N18" s="187"/>
      <c r="O18" s="57"/>
      <c r="P18" s="57"/>
      <c r="Q18" s="57"/>
      <c r="R18" s="57"/>
    </row>
    <row r="19" spans="1:18" ht="17.100000000000001" customHeight="1">
      <c r="A19" s="466"/>
      <c r="B19" s="467"/>
      <c r="C19" s="151" t="str">
        <f>IF(OR(방충망발주서!C19=""),"",방충망발주서!C19)</f>
        <v/>
      </c>
      <c r="D19" s="152" t="str">
        <f>IF(OR(방충망발주서!D19=""),"",방충망발주서!D19)</f>
        <v/>
      </c>
      <c r="E19" s="153" t="str">
        <f>IF(OR(방충망발주서!B19=""),"",방충망발주서!B19)</f>
        <v/>
      </c>
      <c r="F19" s="154" t="str">
        <f ca="1">IF(OR(방충망발주서!AH19=""),"",방충망발주서!AH19)</f>
        <v/>
      </c>
      <c r="G19" s="154" t="str">
        <f t="shared" ca="1" si="0"/>
        <v/>
      </c>
      <c r="H19" s="154" t="str">
        <f t="shared" ca="1" si="1"/>
        <v/>
      </c>
      <c r="I19" s="239" t="str">
        <f>IF(AND(방충망발주서!N19="",방충망발주서!M19=""),"",IF(AND(방충망발주서!M19="끈",방충망발주서!N19&lt;&gt;""),방충망발주서!M19&amp;","&amp;방충망발주서!N19,IF(AND(방충망발주서!M19="",방충망발주서!N19&lt;&gt;""),방충망발주서!N19,방충망발주서!M19)))</f>
        <v/>
      </c>
      <c r="J19" s="134"/>
      <c r="K19" s="51"/>
      <c r="L19" s="51"/>
      <c r="M19" s="51"/>
      <c r="N19" s="187"/>
      <c r="O19" s="57"/>
      <c r="P19" s="57"/>
      <c r="Q19" s="57"/>
      <c r="R19" s="57"/>
    </row>
    <row r="20" spans="1:18" ht="17.100000000000001" customHeight="1">
      <c r="A20" s="466"/>
      <c r="B20" s="467"/>
      <c r="C20" s="151" t="str">
        <f>IF(OR(방충망발주서!C20=""),"",방충망발주서!C20)</f>
        <v/>
      </c>
      <c r="D20" s="152" t="str">
        <f>IF(OR(방충망발주서!D20=""),"",방충망발주서!D20)</f>
        <v/>
      </c>
      <c r="E20" s="153" t="str">
        <f>IF(OR(방충망발주서!B20=""),"",방충망발주서!B20)</f>
        <v/>
      </c>
      <c r="F20" s="154" t="str">
        <f ca="1">IF(OR(방충망발주서!AH20=""),"",방충망발주서!AH20)</f>
        <v/>
      </c>
      <c r="G20" s="154" t="str">
        <f t="shared" ca="1" si="0"/>
        <v/>
      </c>
      <c r="H20" s="154" t="str">
        <f t="shared" ca="1" si="1"/>
        <v/>
      </c>
      <c r="I20" s="239" t="str">
        <f>IF(AND(방충망발주서!N20="",방충망발주서!M20=""),"",IF(AND(방충망발주서!M20="끈",방충망발주서!N20&lt;&gt;""),방충망발주서!M20&amp;","&amp;방충망발주서!N20,IF(AND(방충망발주서!M20="",방충망발주서!N20&lt;&gt;""),방충망발주서!N20,방충망발주서!M20)))</f>
        <v/>
      </c>
      <c r="J20" s="134"/>
      <c r="K20" s="51"/>
      <c r="L20" s="51"/>
      <c r="M20" s="51"/>
      <c r="N20" s="187"/>
      <c r="O20" s="57"/>
      <c r="P20" s="57"/>
      <c r="Q20" s="57"/>
      <c r="R20" s="57"/>
    </row>
    <row r="21" spans="1:18" ht="17.100000000000001" customHeight="1">
      <c r="A21" s="466"/>
      <c r="B21" s="467"/>
      <c r="C21" s="151" t="str">
        <f>IF(OR(방충망발주서!C21=""),"",방충망발주서!C21)</f>
        <v/>
      </c>
      <c r="D21" s="152" t="str">
        <f>IF(OR(방충망발주서!D21=""),"",방충망발주서!D21)</f>
        <v/>
      </c>
      <c r="E21" s="153" t="str">
        <f>IF(OR(방충망발주서!B21=""),"",방충망발주서!B21)</f>
        <v/>
      </c>
      <c r="F21" s="154" t="str">
        <f ca="1">IF(OR(방충망발주서!AH21=""),"",방충망발주서!AH21)</f>
        <v/>
      </c>
      <c r="G21" s="154" t="str">
        <f t="shared" ca="1" si="0"/>
        <v/>
      </c>
      <c r="H21" s="154" t="str">
        <f t="shared" ca="1" si="1"/>
        <v/>
      </c>
      <c r="I21" s="239" t="str">
        <f>IF(AND(방충망발주서!N21="",방충망발주서!M21=""),"",IF(AND(방충망발주서!M21="끈",방충망발주서!N21&lt;&gt;""),방충망발주서!M21&amp;","&amp;방충망발주서!N21,IF(AND(방충망발주서!M21="",방충망발주서!N21&lt;&gt;""),방충망발주서!N21,방충망발주서!M21)))</f>
        <v/>
      </c>
      <c r="J21" s="134"/>
      <c r="K21" s="51"/>
      <c r="L21" s="51"/>
      <c r="M21" s="51"/>
      <c r="N21" s="187"/>
      <c r="O21" s="57"/>
      <c r="P21" s="57"/>
      <c r="Q21" s="57"/>
      <c r="R21" s="57"/>
    </row>
    <row r="22" spans="1:18" ht="17.100000000000001" customHeight="1">
      <c r="A22" s="466"/>
      <c r="B22" s="467"/>
      <c r="C22" s="151" t="str">
        <f>IF(OR(방충망발주서!C22=""),"",방충망발주서!C22)</f>
        <v/>
      </c>
      <c r="D22" s="152" t="str">
        <f>IF(OR(방충망발주서!D22=""),"",방충망발주서!D22)</f>
        <v/>
      </c>
      <c r="E22" s="153" t="str">
        <f>IF(OR(방충망발주서!B22=""),"",방충망발주서!B22)</f>
        <v/>
      </c>
      <c r="F22" s="154" t="str">
        <f ca="1">IF(OR(방충망발주서!AH22=""),"",방충망발주서!AH22)</f>
        <v/>
      </c>
      <c r="G22" s="154" t="str">
        <f t="shared" ca="1" si="0"/>
        <v/>
      </c>
      <c r="H22" s="154" t="str">
        <f t="shared" ca="1" si="1"/>
        <v/>
      </c>
      <c r="I22" s="239" t="str">
        <f>IF(AND(방충망발주서!N22="",방충망발주서!M22=""),"",IF(AND(방충망발주서!M22="끈",방충망발주서!N22&lt;&gt;""),방충망발주서!M22&amp;","&amp;방충망발주서!N22,IF(AND(방충망발주서!M22="",방충망발주서!N22&lt;&gt;""),방충망발주서!N22,방충망발주서!M22)))</f>
        <v/>
      </c>
      <c r="J22" s="134"/>
      <c r="K22" s="51"/>
      <c r="L22" s="51"/>
      <c r="M22" s="51"/>
      <c r="N22" s="187"/>
      <c r="O22" s="57"/>
      <c r="P22" s="57"/>
      <c r="Q22" s="57"/>
      <c r="R22" s="57"/>
    </row>
    <row r="23" spans="1:18" ht="17.100000000000001" customHeight="1">
      <c r="A23" s="466"/>
      <c r="B23" s="467"/>
      <c r="C23" s="151" t="str">
        <f>IF(OR(방충망발주서!C23=""),"",방충망발주서!C23)</f>
        <v/>
      </c>
      <c r="D23" s="152" t="str">
        <f>IF(OR(방충망발주서!D23=""),"",방충망발주서!D23)</f>
        <v/>
      </c>
      <c r="E23" s="153" t="str">
        <f>IF(OR(방충망발주서!B23=""),"",방충망발주서!B23)</f>
        <v/>
      </c>
      <c r="F23" s="154" t="str">
        <f ca="1">IF(OR(방충망발주서!AH23=""),"",방충망발주서!AH23)</f>
        <v/>
      </c>
      <c r="G23" s="154" t="str">
        <f t="shared" ca="1" si="0"/>
        <v/>
      </c>
      <c r="H23" s="154" t="str">
        <f t="shared" ca="1" si="1"/>
        <v/>
      </c>
      <c r="I23" s="239" t="str">
        <f>IF(AND(방충망발주서!N23="",방충망발주서!M23=""),"",IF(AND(방충망발주서!M23="끈",방충망발주서!N23&lt;&gt;""),방충망발주서!M23&amp;","&amp;방충망발주서!N23,IF(AND(방충망발주서!M23="",방충망발주서!N23&lt;&gt;""),방충망발주서!N23,방충망발주서!M23)))</f>
        <v/>
      </c>
      <c r="J23" s="134"/>
      <c r="K23" s="51"/>
      <c r="L23" s="51"/>
      <c r="M23" s="51"/>
      <c r="N23" s="187"/>
      <c r="O23" s="57"/>
      <c r="P23" s="57"/>
      <c r="Q23" s="57"/>
      <c r="R23" s="57"/>
    </row>
    <row r="24" spans="1:18" ht="17.100000000000001" customHeight="1">
      <c r="A24" s="466"/>
      <c r="B24" s="467"/>
      <c r="C24" s="151" t="str">
        <f>IF(OR(방충망발주서!C24=""),"",방충망발주서!C24)</f>
        <v/>
      </c>
      <c r="D24" s="152" t="str">
        <f>IF(OR(방충망발주서!D24=""),"",방충망발주서!D24)</f>
        <v/>
      </c>
      <c r="E24" s="153" t="str">
        <f>IF(OR(방충망발주서!B24=""),"",방충망발주서!B24)</f>
        <v/>
      </c>
      <c r="F24" s="154" t="str">
        <f ca="1">IF(OR(방충망발주서!AH24=""),"",방충망발주서!AH24)</f>
        <v/>
      </c>
      <c r="G24" s="154" t="str">
        <f t="shared" ca="1" si="0"/>
        <v/>
      </c>
      <c r="H24" s="154" t="str">
        <f t="shared" ca="1" si="1"/>
        <v/>
      </c>
      <c r="I24" s="239" t="str">
        <f>IF(AND(방충망발주서!N24="",방충망발주서!M24=""),"",IF(AND(방충망발주서!M24="끈",방충망발주서!N24&lt;&gt;""),방충망발주서!M24&amp;","&amp;방충망발주서!N24,IF(AND(방충망발주서!M24="",방충망발주서!N24&lt;&gt;""),방충망발주서!N24,방충망발주서!M24)))</f>
        <v/>
      </c>
      <c r="J24" s="134"/>
      <c r="K24" s="51"/>
      <c r="L24" s="51"/>
      <c r="M24" s="51"/>
      <c r="N24" s="187"/>
      <c r="O24" s="57"/>
      <c r="P24" s="57"/>
      <c r="Q24" s="57"/>
      <c r="R24" s="57"/>
    </row>
    <row r="25" spans="1:18" ht="17.100000000000001" customHeight="1">
      <c r="A25" s="466"/>
      <c r="B25" s="467"/>
      <c r="C25" s="151" t="str">
        <f>IF(OR(방충망발주서!C25=""),"",방충망발주서!C25)</f>
        <v/>
      </c>
      <c r="D25" s="152" t="str">
        <f>IF(OR(방충망발주서!D25=""),"",방충망발주서!D25)</f>
        <v/>
      </c>
      <c r="E25" s="153" t="str">
        <f>IF(OR(방충망발주서!B25=""),"",방충망발주서!B25)</f>
        <v/>
      </c>
      <c r="F25" s="154" t="str">
        <f ca="1">IF(OR(방충망발주서!AH25=""),"",방충망발주서!AH25)</f>
        <v/>
      </c>
      <c r="G25" s="154" t="str">
        <f t="shared" ca="1" si="0"/>
        <v/>
      </c>
      <c r="H25" s="154" t="str">
        <f t="shared" ca="1" si="1"/>
        <v/>
      </c>
      <c r="I25" s="239" t="str">
        <f>IF(AND(방충망발주서!N25="",방충망발주서!M25=""),"",IF(AND(방충망발주서!M25="끈",방충망발주서!N25&lt;&gt;""),방충망발주서!M25&amp;","&amp;방충망발주서!N25,IF(AND(방충망발주서!M25="",방충망발주서!N25&lt;&gt;""),방충망발주서!N25,방충망발주서!M25)))</f>
        <v/>
      </c>
      <c r="J25" s="134"/>
      <c r="K25" s="51"/>
      <c r="L25" s="51"/>
      <c r="M25" s="51"/>
      <c r="N25" s="187"/>
      <c r="O25" s="57"/>
      <c r="P25" s="57"/>
      <c r="Q25" s="57"/>
      <c r="R25" s="57"/>
    </row>
    <row r="26" spans="1:18" ht="17.100000000000001" customHeight="1">
      <c r="A26" s="466"/>
      <c r="B26" s="467"/>
      <c r="C26" s="151" t="str">
        <f>IF(OR(방충망발주서!C26=""),"",방충망발주서!C26)</f>
        <v/>
      </c>
      <c r="D26" s="152" t="str">
        <f>IF(OR(방충망발주서!D26=""),"",방충망발주서!D26)</f>
        <v/>
      </c>
      <c r="E26" s="153" t="str">
        <f>IF(OR(방충망발주서!B26=""),"",방충망발주서!B26)</f>
        <v/>
      </c>
      <c r="F26" s="154" t="str">
        <f ca="1">IF(OR(방충망발주서!AH26=""),"",방충망발주서!AH26)</f>
        <v/>
      </c>
      <c r="G26" s="154" t="str">
        <f t="shared" ca="1" si="0"/>
        <v/>
      </c>
      <c r="H26" s="154" t="str">
        <f t="shared" ca="1" si="1"/>
        <v/>
      </c>
      <c r="I26" s="239" t="str">
        <f>IF(AND(방충망발주서!N26="",방충망발주서!M26=""),"",IF(AND(방충망발주서!M26="끈",방충망발주서!N26&lt;&gt;""),방충망발주서!M26&amp;","&amp;방충망발주서!N26,IF(AND(방충망발주서!M26="",방충망발주서!N26&lt;&gt;""),방충망발주서!N26,방충망발주서!M26)))</f>
        <v/>
      </c>
      <c r="J26" s="134"/>
      <c r="K26" s="51"/>
      <c r="L26" s="51"/>
      <c r="M26" s="51"/>
      <c r="N26" s="187"/>
      <c r="O26" s="57"/>
      <c r="P26" s="57"/>
      <c r="Q26" s="57"/>
      <c r="R26" s="57"/>
    </row>
    <row r="27" spans="1:18" ht="17.100000000000001" customHeight="1">
      <c r="A27" s="466"/>
      <c r="B27" s="467"/>
      <c r="C27" s="151" t="str">
        <f>IF(OR(방충망발주서!C27=""),"",방충망발주서!C27)</f>
        <v/>
      </c>
      <c r="D27" s="152" t="str">
        <f>IF(OR(방충망발주서!D27=""),"",방충망발주서!D27)</f>
        <v/>
      </c>
      <c r="E27" s="153" t="str">
        <f>IF(OR(방충망발주서!B27=""),"",방충망발주서!B27)</f>
        <v/>
      </c>
      <c r="F27" s="154" t="str">
        <f ca="1">IF(OR(방충망발주서!AH27=""),"",방충망발주서!AH27)</f>
        <v/>
      </c>
      <c r="G27" s="154" t="str">
        <f t="shared" ca="1" si="0"/>
        <v/>
      </c>
      <c r="H27" s="154" t="str">
        <f t="shared" ca="1" si="1"/>
        <v/>
      </c>
      <c r="I27" s="239" t="str">
        <f>IF(AND(방충망발주서!N27="",방충망발주서!M27=""),"",IF(AND(방충망발주서!M27="끈",방충망발주서!N27&lt;&gt;""),방충망발주서!M27&amp;","&amp;방충망발주서!N27,IF(AND(방충망발주서!M27="",방충망발주서!N27&lt;&gt;""),방충망발주서!N27,방충망발주서!M27)))</f>
        <v/>
      </c>
      <c r="J27" s="134"/>
      <c r="K27" s="51"/>
      <c r="L27" s="51"/>
      <c r="M27" s="51"/>
      <c r="N27" s="187"/>
      <c r="O27" s="57"/>
      <c r="P27" s="57"/>
      <c r="Q27" s="57"/>
      <c r="R27" s="57"/>
    </row>
    <row r="28" spans="1:18" ht="17.100000000000001" customHeight="1">
      <c r="A28" s="466"/>
      <c r="B28" s="467"/>
      <c r="C28" s="151" t="str">
        <f>IF(OR(방충망발주서!C28=""),"",방충망발주서!C28)</f>
        <v/>
      </c>
      <c r="D28" s="152" t="str">
        <f>IF(OR(방충망발주서!D28=""),"",방충망발주서!D28)</f>
        <v/>
      </c>
      <c r="E28" s="153" t="str">
        <f>IF(OR(방충망발주서!B28=""),"",방충망발주서!B28)</f>
        <v/>
      </c>
      <c r="F28" s="154" t="str">
        <f ca="1">IF(OR(방충망발주서!AH28=""),"",방충망발주서!AH28)</f>
        <v/>
      </c>
      <c r="G28" s="154" t="str">
        <f t="shared" ca="1" si="0"/>
        <v/>
      </c>
      <c r="H28" s="154" t="str">
        <f t="shared" ca="1" si="1"/>
        <v/>
      </c>
      <c r="I28" s="239" t="str">
        <f>IF(AND(방충망발주서!N28="",방충망발주서!M28=""),"",IF(AND(방충망발주서!M28="끈",방충망발주서!N28&lt;&gt;""),방충망발주서!M28&amp;","&amp;방충망발주서!N28,IF(AND(방충망발주서!M28="",방충망발주서!N28&lt;&gt;""),방충망발주서!N28,방충망발주서!M28)))</f>
        <v/>
      </c>
      <c r="J28" s="134"/>
      <c r="K28" s="51"/>
      <c r="L28" s="51"/>
      <c r="M28" s="51"/>
      <c r="N28" s="187"/>
      <c r="O28" s="57"/>
      <c r="P28" s="57"/>
      <c r="Q28" s="57"/>
      <c r="R28" s="57"/>
    </row>
    <row r="29" spans="1:18" ht="17.100000000000001" customHeight="1">
      <c r="A29" s="466"/>
      <c r="B29" s="467"/>
      <c r="C29" s="151" t="str">
        <f>IF(OR(방충망발주서!C29=""),"",방충망발주서!C29)</f>
        <v/>
      </c>
      <c r="D29" s="152" t="str">
        <f>IF(OR(방충망발주서!D29=""),"",방충망발주서!D29)</f>
        <v/>
      </c>
      <c r="E29" s="153" t="str">
        <f>IF(OR(방충망발주서!B29=""),"",방충망발주서!B29)</f>
        <v/>
      </c>
      <c r="F29" s="154" t="str">
        <f ca="1">IF(OR(방충망발주서!AH29=""),"",방충망발주서!AH29)</f>
        <v/>
      </c>
      <c r="G29" s="154" t="str">
        <f t="shared" ca="1" si="0"/>
        <v/>
      </c>
      <c r="H29" s="154" t="str">
        <f t="shared" ca="1" si="1"/>
        <v/>
      </c>
      <c r="I29" s="239" t="str">
        <f>IF(AND(방충망발주서!N29="",방충망발주서!M29=""),"",IF(AND(방충망발주서!M29="끈",방충망발주서!N29&lt;&gt;""),방충망발주서!M29&amp;","&amp;방충망발주서!N29,IF(AND(방충망발주서!M29="",방충망발주서!N29&lt;&gt;""),방충망발주서!N29,방충망발주서!M29)))</f>
        <v/>
      </c>
      <c r="J29" s="134"/>
      <c r="K29" s="51"/>
      <c r="L29" s="51"/>
      <c r="M29" s="51"/>
      <c r="N29" s="187"/>
      <c r="O29" s="57"/>
      <c r="P29" s="57"/>
      <c r="Q29" s="57"/>
      <c r="R29" s="57"/>
    </row>
    <row r="30" spans="1:18" ht="17.100000000000001" customHeight="1">
      <c r="A30" s="466"/>
      <c r="B30" s="467"/>
      <c r="C30" s="151" t="str">
        <f>IF(OR(방충망발주서!C30=""),"",방충망발주서!C30)</f>
        <v/>
      </c>
      <c r="D30" s="152" t="str">
        <f>IF(OR(방충망발주서!D30=""),"",방충망발주서!D30)</f>
        <v/>
      </c>
      <c r="E30" s="153" t="str">
        <f>IF(OR(방충망발주서!B30=""),"",방충망발주서!B30)</f>
        <v/>
      </c>
      <c r="F30" s="154" t="str">
        <f ca="1">IF(OR(방충망발주서!AH30=""),"",방충망발주서!AH30)</f>
        <v/>
      </c>
      <c r="G30" s="154" t="str">
        <f t="shared" ca="1" si="0"/>
        <v/>
      </c>
      <c r="H30" s="154" t="str">
        <f t="shared" ca="1" si="1"/>
        <v/>
      </c>
      <c r="I30" s="239" t="str">
        <f>IF(AND(방충망발주서!N30="",방충망발주서!M30=""),"",IF(AND(방충망발주서!M30="끈",방충망발주서!N30&lt;&gt;""),방충망발주서!M30&amp;","&amp;방충망발주서!N30,IF(AND(방충망발주서!M30="",방충망발주서!N30&lt;&gt;""),방충망발주서!N30,방충망발주서!M30)))</f>
        <v/>
      </c>
      <c r="J30" s="134"/>
      <c r="K30" s="51"/>
      <c r="L30" s="51"/>
      <c r="M30" s="51"/>
      <c r="N30" s="187"/>
      <c r="O30" s="57"/>
      <c r="P30" s="57"/>
      <c r="Q30" s="57"/>
      <c r="R30" s="57"/>
    </row>
    <row r="31" spans="1:18" ht="17.100000000000001" customHeight="1">
      <c r="A31" s="466"/>
      <c r="B31" s="467"/>
      <c r="C31" s="151" t="str">
        <f>IF(OR(방충망발주서!C31=""),"",방충망발주서!C31)</f>
        <v/>
      </c>
      <c r="D31" s="152" t="str">
        <f>IF(OR(방충망발주서!D31=""),"",방충망발주서!D31)</f>
        <v/>
      </c>
      <c r="E31" s="153" t="str">
        <f>IF(OR(방충망발주서!B31=""),"",방충망발주서!B31)</f>
        <v/>
      </c>
      <c r="F31" s="154" t="str">
        <f ca="1">IF(OR(방충망발주서!AH31=""),"",방충망발주서!AH31)</f>
        <v/>
      </c>
      <c r="G31" s="154" t="str">
        <f t="shared" ca="1" si="0"/>
        <v/>
      </c>
      <c r="H31" s="154" t="str">
        <f t="shared" ca="1" si="1"/>
        <v/>
      </c>
      <c r="I31" s="239" t="str">
        <f>IF(AND(방충망발주서!N31="",방충망발주서!M31=""),"",IF(AND(방충망발주서!M31="끈",방충망발주서!N31&lt;&gt;""),방충망발주서!M31&amp;","&amp;방충망발주서!N31,IF(AND(방충망발주서!M31="",방충망발주서!N31&lt;&gt;""),방충망발주서!N31,방충망발주서!M31)))</f>
        <v/>
      </c>
      <c r="J31" s="134"/>
      <c r="K31" s="51"/>
      <c r="L31" s="51"/>
      <c r="M31" s="51"/>
      <c r="N31" s="187"/>
      <c r="O31" s="57"/>
      <c r="P31" s="57"/>
      <c r="Q31" s="57"/>
      <c r="R31" s="57"/>
    </row>
    <row r="32" spans="1:18" ht="17.100000000000001" customHeight="1">
      <c r="A32" s="466"/>
      <c r="B32" s="467"/>
      <c r="C32" s="151" t="str">
        <f>IF(OR(방충망발주서!C32=""),"",방충망발주서!C32)</f>
        <v/>
      </c>
      <c r="D32" s="152" t="str">
        <f>IF(OR(방충망발주서!D32=""),"",방충망발주서!D32)</f>
        <v/>
      </c>
      <c r="E32" s="153" t="str">
        <f>IF(OR(방충망발주서!B32=""),"",방충망발주서!B32)</f>
        <v/>
      </c>
      <c r="F32" s="154" t="str">
        <f ca="1">IF(OR(방충망발주서!AH32=""),"",방충망발주서!AH32)</f>
        <v/>
      </c>
      <c r="G32" s="154" t="str">
        <f t="shared" ca="1" si="0"/>
        <v/>
      </c>
      <c r="H32" s="154" t="str">
        <f t="shared" ca="1" si="1"/>
        <v/>
      </c>
      <c r="I32" s="239" t="str">
        <f>IF(AND(방충망발주서!N32="",방충망발주서!M32=""),"",IF(AND(방충망발주서!M32="끈",방충망발주서!N32&lt;&gt;""),방충망발주서!M32&amp;","&amp;방충망발주서!N32,IF(AND(방충망발주서!M32="",방충망발주서!N32&lt;&gt;""),방충망발주서!N32,방충망발주서!M32)))</f>
        <v/>
      </c>
      <c r="J32" s="134"/>
      <c r="K32" s="51"/>
      <c r="L32" s="51"/>
      <c r="M32" s="51"/>
      <c r="N32" s="187"/>
      <c r="O32" s="57"/>
      <c r="P32" s="57"/>
      <c r="Q32" s="57"/>
      <c r="R32" s="57"/>
    </row>
    <row r="33" spans="1:18" ht="17.100000000000001" customHeight="1">
      <c r="A33" s="466"/>
      <c r="B33" s="467"/>
      <c r="C33" s="151" t="str">
        <f>IF(OR(방충망발주서!C33=""),"",방충망발주서!C33)</f>
        <v/>
      </c>
      <c r="D33" s="152" t="str">
        <f>IF(OR(방충망발주서!D33=""),"",방충망발주서!D33)</f>
        <v/>
      </c>
      <c r="E33" s="153" t="str">
        <f>IF(OR(방충망발주서!B33=""),"",방충망발주서!B33)</f>
        <v/>
      </c>
      <c r="F33" s="154" t="str">
        <f ca="1">IF(OR(방충망발주서!AH33=""),"",방충망발주서!AH33)</f>
        <v/>
      </c>
      <c r="G33" s="154" t="str">
        <f t="shared" ca="1" si="0"/>
        <v/>
      </c>
      <c r="H33" s="154" t="str">
        <f t="shared" ca="1" si="1"/>
        <v/>
      </c>
      <c r="I33" s="239" t="str">
        <f>IF(AND(방충망발주서!N33="",방충망발주서!M33=""),"",IF(AND(방충망발주서!M33="끈",방충망발주서!N33&lt;&gt;""),방충망발주서!M33&amp;","&amp;방충망발주서!N33,IF(AND(방충망발주서!M33="",방충망발주서!N33&lt;&gt;""),방충망발주서!N33,방충망발주서!M33)))</f>
        <v/>
      </c>
      <c r="J33" s="134"/>
      <c r="K33" s="51"/>
      <c r="L33" s="51"/>
      <c r="M33" s="51"/>
      <c r="N33" s="187"/>
      <c r="O33" s="57"/>
      <c r="P33" s="57"/>
      <c r="Q33" s="57"/>
      <c r="R33" s="57"/>
    </row>
    <row r="34" spans="1:18" ht="17.100000000000001" customHeight="1">
      <c r="A34" s="466"/>
      <c r="B34" s="467"/>
      <c r="C34" s="151" t="str">
        <f>IF(OR(방충망발주서!C34=""),"",방충망발주서!C34)</f>
        <v/>
      </c>
      <c r="D34" s="152" t="str">
        <f>IF(OR(방충망발주서!D34=""),"",방충망발주서!D34)</f>
        <v/>
      </c>
      <c r="E34" s="153" t="str">
        <f>IF(OR(방충망발주서!B34=""),"",방충망발주서!B34)</f>
        <v/>
      </c>
      <c r="F34" s="154" t="str">
        <f ca="1">IF(OR(방충망발주서!AH34=""),"",방충망발주서!AH34)</f>
        <v/>
      </c>
      <c r="G34" s="154" t="str">
        <f t="shared" ca="1" si="0"/>
        <v/>
      </c>
      <c r="H34" s="154" t="str">
        <f t="shared" ca="1" si="1"/>
        <v/>
      </c>
      <c r="I34" s="239" t="str">
        <f>IF(AND(방충망발주서!N34="",방충망발주서!M34=""),"",IF(AND(방충망발주서!M34="끈",방충망발주서!N34&lt;&gt;""),방충망발주서!M34&amp;","&amp;방충망발주서!N34,IF(AND(방충망발주서!M34="",방충망발주서!N34&lt;&gt;""),방충망발주서!N34,방충망발주서!M34)))</f>
        <v/>
      </c>
      <c r="J34" s="134"/>
      <c r="K34" s="51"/>
      <c r="L34" s="51"/>
      <c r="M34" s="51"/>
      <c r="N34" s="187"/>
      <c r="O34" s="57"/>
      <c r="P34" s="57"/>
      <c r="Q34" s="57"/>
      <c r="R34" s="57"/>
    </row>
    <row r="35" spans="1:18" ht="17.100000000000001" customHeight="1">
      <c r="A35" s="466"/>
      <c r="B35" s="467"/>
      <c r="C35" s="151" t="str">
        <f>IF(OR(방충망발주서!C35=""),"",방충망발주서!C35)</f>
        <v/>
      </c>
      <c r="D35" s="152" t="str">
        <f>IF(OR(방충망발주서!D35=""),"",방충망발주서!D35)</f>
        <v/>
      </c>
      <c r="E35" s="153" t="str">
        <f>IF(OR(방충망발주서!B35=""),"",방충망발주서!B35)</f>
        <v/>
      </c>
      <c r="F35" s="154" t="str">
        <f ca="1">IF(OR(방충망발주서!AH35=""),"",방충망발주서!AH35)</f>
        <v/>
      </c>
      <c r="G35" s="154" t="str">
        <f t="shared" ca="1" si="0"/>
        <v/>
      </c>
      <c r="H35" s="154" t="str">
        <f t="shared" ca="1" si="1"/>
        <v/>
      </c>
      <c r="I35" s="239" t="str">
        <f>IF(AND(방충망발주서!N35="",방충망발주서!M35=""),"",IF(AND(방충망발주서!M35="끈",방충망발주서!N35&lt;&gt;""),방충망발주서!M35&amp;","&amp;방충망발주서!N35,IF(AND(방충망발주서!M35="",방충망발주서!N35&lt;&gt;""),방충망발주서!N35,방충망발주서!M35)))</f>
        <v/>
      </c>
      <c r="J35" s="134"/>
      <c r="K35" s="51"/>
      <c r="L35" s="51"/>
      <c r="M35" s="51"/>
      <c r="N35" s="187"/>
      <c r="O35" s="57"/>
      <c r="P35" s="57"/>
      <c r="Q35" s="57"/>
      <c r="R35" s="57"/>
    </row>
    <row r="36" spans="1:18" ht="17.100000000000001" customHeight="1">
      <c r="A36" s="466"/>
      <c r="B36" s="467"/>
      <c r="C36" s="151" t="str">
        <f>IF(OR(방충망발주서!C36=""),"",방충망발주서!C36)</f>
        <v/>
      </c>
      <c r="D36" s="152" t="str">
        <f>IF(OR(방충망발주서!D36=""),"",방충망발주서!D36)</f>
        <v/>
      </c>
      <c r="E36" s="153" t="str">
        <f>IF(OR(방충망발주서!B36=""),"",방충망발주서!B36)</f>
        <v/>
      </c>
      <c r="F36" s="154" t="str">
        <f ca="1">IF(OR(방충망발주서!AH36=""),"",방충망발주서!AH36)</f>
        <v/>
      </c>
      <c r="G36" s="154" t="str">
        <f t="shared" ca="1" si="0"/>
        <v/>
      </c>
      <c r="H36" s="154" t="str">
        <f t="shared" ca="1" si="1"/>
        <v/>
      </c>
      <c r="I36" s="239" t="str">
        <f>IF(AND(방충망발주서!N36="",방충망발주서!M36=""),"",IF(AND(방충망발주서!M36="끈",방충망발주서!N36&lt;&gt;""),방충망발주서!M36&amp;","&amp;방충망발주서!N36,IF(AND(방충망발주서!M36="",방충망발주서!N36&lt;&gt;""),방충망발주서!N36,방충망발주서!M36)))</f>
        <v/>
      </c>
      <c r="J36" s="134"/>
      <c r="K36" s="51"/>
      <c r="L36" s="51"/>
      <c r="M36" s="51"/>
      <c r="N36" s="187"/>
      <c r="O36" s="57"/>
      <c r="P36" s="57"/>
      <c r="Q36" s="57"/>
      <c r="R36" s="57"/>
    </row>
    <row r="37" spans="1:18" ht="17.100000000000001" customHeight="1">
      <c r="A37" s="155"/>
      <c r="B37" s="156"/>
      <c r="C37" s="157"/>
      <c r="D37" s="158"/>
      <c r="E37" s="159"/>
      <c r="F37" s="160"/>
      <c r="G37" s="160"/>
      <c r="H37" s="161">
        <f>G37*0.1</f>
        <v>0</v>
      </c>
      <c r="I37" s="162"/>
      <c r="J37" s="134"/>
      <c r="K37" s="51"/>
      <c r="L37" s="51"/>
      <c r="M37" s="51"/>
      <c r="N37" s="187"/>
      <c r="O37" s="57"/>
      <c r="P37" s="57"/>
      <c r="Q37" s="57"/>
      <c r="R37" s="57"/>
    </row>
    <row r="38" spans="1:18" ht="17.100000000000001" customHeight="1">
      <c r="A38" s="470"/>
      <c r="B38" s="471"/>
      <c r="C38" s="157"/>
      <c r="D38" s="158"/>
      <c r="E38" s="159"/>
      <c r="F38" s="160"/>
      <c r="G38" s="160"/>
      <c r="H38" s="161">
        <f>G38*0.1</f>
        <v>0</v>
      </c>
      <c r="I38" s="163"/>
      <c r="J38" s="134"/>
      <c r="K38" s="51"/>
      <c r="L38" s="51"/>
      <c r="M38" s="51"/>
      <c r="N38" s="187"/>
      <c r="O38" s="57"/>
      <c r="P38" s="57"/>
      <c r="Q38" s="57"/>
      <c r="R38" s="57"/>
    </row>
    <row r="39" spans="1:18" ht="17.100000000000001" customHeight="1">
      <c r="A39" s="472"/>
      <c r="B39" s="473"/>
      <c r="C39" s="164"/>
      <c r="D39" s="164"/>
      <c r="E39" s="159"/>
      <c r="F39" s="160"/>
      <c r="G39" s="160"/>
      <c r="H39" s="161">
        <f>G39*0.1</f>
        <v>0</v>
      </c>
      <c r="I39" s="163"/>
      <c r="J39" s="134"/>
      <c r="K39" s="51"/>
      <c r="L39" s="51"/>
      <c r="M39" s="51"/>
      <c r="N39" s="187"/>
    </row>
    <row r="40" spans="1:18" ht="17.100000000000001" customHeight="1" thickBot="1">
      <c r="A40" s="468" t="s">
        <v>96</v>
      </c>
      <c r="B40" s="469"/>
      <c r="C40" s="165"/>
      <c r="D40" s="166"/>
      <c r="E40" s="167">
        <f>SUBTOTAL(9,E12:E36)</f>
        <v>0</v>
      </c>
      <c r="F40" s="168" t="str">
        <f>IF(OR(E40=방충망발주서!G5),"","거짓")</f>
        <v/>
      </c>
      <c r="G40" s="169">
        <f ca="1">SUBTOTAL(9,G12:G39)</f>
        <v>0</v>
      </c>
      <c r="H40" s="169">
        <f ca="1">SUBTOTAL(9,H12:H39)</f>
        <v>0</v>
      </c>
      <c r="I40" s="170"/>
      <c r="J40" s="134"/>
      <c r="K40" s="51"/>
      <c r="L40" s="51"/>
      <c r="M40" s="51"/>
      <c r="N40" s="187"/>
    </row>
    <row r="41" spans="1:18" ht="17.100000000000001" customHeight="1">
      <c r="A41" s="451" t="s">
        <v>95</v>
      </c>
      <c r="B41" s="454"/>
      <c r="C41" s="455"/>
      <c r="D41" s="455"/>
      <c r="E41" s="456"/>
      <c r="F41" s="451" t="s">
        <v>97</v>
      </c>
      <c r="G41" s="457"/>
      <c r="H41" s="457"/>
      <c r="I41" s="457"/>
      <c r="J41" s="134"/>
      <c r="K41" s="51"/>
      <c r="L41" s="51"/>
      <c r="M41" s="51"/>
      <c r="N41" s="187"/>
    </row>
    <row r="42" spans="1:18" ht="17.100000000000001" customHeight="1">
      <c r="A42" s="452"/>
      <c r="B42" s="458"/>
      <c r="C42" s="459"/>
      <c r="D42" s="459"/>
      <c r="E42" s="460"/>
      <c r="F42" s="452"/>
      <c r="G42" s="461"/>
      <c r="H42" s="461"/>
      <c r="I42" s="461"/>
      <c r="J42" s="134"/>
      <c r="K42" s="51"/>
      <c r="L42" s="51"/>
      <c r="M42" s="51"/>
      <c r="N42" s="187"/>
    </row>
    <row r="43" spans="1:18" ht="17.100000000000001" customHeight="1">
      <c r="A43" s="452"/>
      <c r="B43" s="458"/>
      <c r="C43" s="459"/>
      <c r="D43" s="459"/>
      <c r="E43" s="460"/>
      <c r="F43" s="452"/>
      <c r="G43" s="461"/>
      <c r="H43" s="461"/>
      <c r="I43" s="461"/>
      <c r="J43" s="134"/>
      <c r="K43" s="51"/>
      <c r="L43" s="51"/>
      <c r="M43" s="51"/>
      <c r="N43" s="187"/>
    </row>
    <row r="44" spans="1:18" ht="17.100000000000001" customHeight="1">
      <c r="A44" s="452"/>
      <c r="B44" s="458"/>
      <c r="C44" s="459"/>
      <c r="D44" s="459"/>
      <c r="E44" s="460"/>
      <c r="F44" s="452"/>
      <c r="G44" s="461"/>
      <c r="H44" s="461"/>
      <c r="I44" s="461"/>
      <c r="J44" s="134"/>
      <c r="K44" s="51"/>
      <c r="L44" s="51"/>
      <c r="M44" s="51"/>
      <c r="N44" s="187"/>
    </row>
    <row r="45" spans="1:18" ht="17.100000000000001" customHeight="1" thickBot="1">
      <c r="A45" s="453"/>
      <c r="B45" s="462"/>
      <c r="C45" s="463"/>
      <c r="D45" s="463"/>
      <c r="E45" s="464"/>
      <c r="F45" s="453"/>
      <c r="G45" s="465"/>
      <c r="H45" s="465"/>
      <c r="I45" s="465"/>
      <c r="J45" s="171"/>
      <c r="K45" s="58"/>
      <c r="L45" s="58"/>
      <c r="M45" s="51"/>
      <c r="N45" s="187"/>
    </row>
    <row r="46" spans="1:18" s="61" customFormat="1" ht="15" customHeight="1">
      <c r="A46" s="494" t="s">
        <v>98</v>
      </c>
      <c r="B46" s="494"/>
      <c r="C46" s="494"/>
      <c r="D46" s="494"/>
      <c r="E46" s="495" t="str">
        <f>방충망발주서!K1&amp;방충망발주서!M1</f>
        <v/>
      </c>
      <c r="F46" s="495"/>
      <c r="G46" s="450" t="str">
        <f>IF(방충망발주서!D4="","",VLOOKUP(방충망발주서!$D$4,데이터!G4:L12,6,0))</f>
        <v/>
      </c>
      <c r="H46" s="450"/>
      <c r="I46" s="450"/>
      <c r="J46" s="124"/>
      <c r="K46" s="59"/>
      <c r="L46" s="59"/>
      <c r="M46" s="51"/>
      <c r="N46" s="187"/>
    </row>
    <row r="47" spans="1:18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1"/>
      <c r="L47" s="51"/>
      <c r="M47" s="51"/>
      <c r="N47" s="187"/>
    </row>
  </sheetData>
  <sheetProtection algorithmName="SHA-512" hashValue="5epGo8xQYActXmpO7mNKm/YJ02rfFCnAzXXWgUq9tRf7rYUzOEnACIW5G+18UJZwCkBnSxlbYpbTO9pW2DvTBw==" saltValue="oLQOeIKAbeQKiPGG/+CQgw==" spinCount="100000" sheet="1" objects="1" scenarios="1" formatCells="0"/>
  <protectedRanges>
    <protectedRange sqref="I9" name="범위3"/>
    <protectedRange sqref="C5:D5" name="범위2"/>
    <protectedRange sqref="A3:C4 C5 A37:G39 I37:I39 B41:E45 G42:I45 G41" name="범위1"/>
  </protectedRanges>
  <mergeCells count="68">
    <mergeCell ref="L9:M9"/>
    <mergeCell ref="A46:D46"/>
    <mergeCell ref="E46:F46"/>
    <mergeCell ref="P4:R4"/>
    <mergeCell ref="P5:R5"/>
    <mergeCell ref="P6:R6"/>
    <mergeCell ref="P7:R7"/>
    <mergeCell ref="B43:E43"/>
    <mergeCell ref="G5:I5"/>
    <mergeCell ref="C9:F9"/>
    <mergeCell ref="A4:C4"/>
    <mergeCell ref="G9:H9"/>
    <mergeCell ref="A11:B11"/>
    <mergeCell ref="A12:B12"/>
    <mergeCell ref="A9:B9"/>
    <mergeCell ref="A23:B23"/>
    <mergeCell ref="P3:R3"/>
    <mergeCell ref="L1:M1"/>
    <mergeCell ref="O3:O7"/>
    <mergeCell ref="C6:D6"/>
    <mergeCell ref="A1:I1"/>
    <mergeCell ref="O1:R1"/>
    <mergeCell ref="A2:I2"/>
    <mergeCell ref="A3:C3"/>
    <mergeCell ref="G3:I3"/>
    <mergeCell ref="C7:D7"/>
    <mergeCell ref="A7:B7"/>
    <mergeCell ref="A6:B6"/>
    <mergeCell ref="A5:B5"/>
    <mergeCell ref="C5:D5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4:B24"/>
    <mergeCell ref="A25:B25"/>
    <mergeCell ref="A26:B26"/>
    <mergeCell ref="A40:B40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8:B38"/>
    <mergeCell ref="A39:B39"/>
    <mergeCell ref="G46:I46"/>
    <mergeCell ref="A41:A45"/>
    <mergeCell ref="B41:E41"/>
    <mergeCell ref="F41:F45"/>
    <mergeCell ref="G41:I41"/>
    <mergeCell ref="B42:E42"/>
    <mergeCell ref="G42:I42"/>
    <mergeCell ref="B44:E44"/>
    <mergeCell ref="G44:I44"/>
    <mergeCell ref="B45:E45"/>
    <mergeCell ref="G45:I45"/>
    <mergeCell ref="G43:I43"/>
  </mergeCells>
  <phoneticPr fontId="19" type="noConversion"/>
  <dataValidations count="1">
    <dataValidation type="list" showInputMessage="1" showErrorMessage="1" sqref="I9" xr:uid="{00000000-0002-0000-0400-000000000000}">
      <formula1>") 부가세별도,) 부가세포함"</formula1>
    </dataValidation>
  </dataValidations>
  <printOptions horizontalCentered="1"/>
  <pageMargins left="0.47244094488188981" right="0.27559055118110237" top="0.59055118110236227" bottom="0.19685039370078741" header="0.39370078740157483" footer="0.19685039370078741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27" r:id="rId4" name="Option Button 559">
              <controlPr defaultSize="0" autoFill="0" autoLine="0" autoPict="0" altText="청구서">
                <anchor moveWithCells="1">
                  <from>
                    <xdr:col>11</xdr:col>
                    <xdr:colOff>66675</xdr:colOff>
                    <xdr:row>2</xdr:row>
                    <xdr:rowOff>114300</xdr:rowOff>
                  </from>
                  <to>
                    <xdr:col>11</xdr:col>
                    <xdr:colOff>762000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8" r:id="rId5" name="Option Button 560">
              <controlPr defaultSize="0" autoFill="0" autoLine="0" autoPict="0" altText="청구서">
                <anchor moveWithCells="1">
                  <from>
                    <xdr:col>12</xdr:col>
                    <xdr:colOff>28575</xdr:colOff>
                    <xdr:row>2</xdr:row>
                    <xdr:rowOff>114300</xdr:rowOff>
                  </from>
                  <to>
                    <xdr:col>12</xdr:col>
                    <xdr:colOff>723900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CCCC"/>
  </sheetPr>
  <dimension ref="A1"/>
  <sheetViews>
    <sheetView workbookViewId="0">
      <selection activeCell="H27" sqref="H27"/>
    </sheetView>
  </sheetViews>
  <sheetFormatPr defaultRowHeight="16.5"/>
  <sheetData/>
  <phoneticPr fontId="6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1"/>
  </sheetPr>
  <dimension ref="A2:L13"/>
  <sheetViews>
    <sheetView workbookViewId="0">
      <selection activeCell="B5" sqref="B5"/>
    </sheetView>
  </sheetViews>
  <sheetFormatPr defaultRowHeight="18" customHeight="1"/>
  <cols>
    <col min="1" max="8" width="8.625" style="172" customWidth="1"/>
    <col min="9" max="11" width="12.625" style="172" customWidth="1"/>
    <col min="12" max="12" width="40.625" style="172" customWidth="1"/>
    <col min="13" max="16384" width="9" style="172"/>
  </cols>
  <sheetData>
    <row r="2" spans="1:12" s="181" customFormat="1" ht="18" customHeight="1">
      <c r="A2" s="181" t="s">
        <v>166</v>
      </c>
      <c r="D2" s="181" t="s">
        <v>167</v>
      </c>
    </row>
    <row r="3" spans="1:12" s="5" customFormat="1" ht="18" customHeight="1">
      <c r="A3" s="179" t="s">
        <v>168</v>
      </c>
      <c r="B3" s="179" t="s">
        <v>169</v>
      </c>
      <c r="D3" s="180" t="s">
        <v>180</v>
      </c>
      <c r="E3" s="180" t="s">
        <v>181</v>
      </c>
      <c r="F3" s="180" t="s">
        <v>169</v>
      </c>
      <c r="G3" s="180" t="s">
        <v>170</v>
      </c>
      <c r="H3" s="180" t="s">
        <v>171</v>
      </c>
      <c r="I3" s="180" t="s">
        <v>172</v>
      </c>
      <c r="J3" s="180" t="s">
        <v>173</v>
      </c>
      <c r="K3" s="180" t="s">
        <v>174</v>
      </c>
      <c r="L3" s="180" t="s">
        <v>175</v>
      </c>
    </row>
    <row r="4" spans="1:12" ht="18" customHeight="1">
      <c r="A4" s="173" t="s">
        <v>77</v>
      </c>
      <c r="B4" s="173">
        <v>1.1000000000000001</v>
      </c>
      <c r="D4" s="173" t="s">
        <v>84</v>
      </c>
      <c r="E4" s="173" t="s">
        <v>3074</v>
      </c>
      <c r="F4" s="174">
        <v>1</v>
      </c>
      <c r="G4" s="173" t="s">
        <v>135</v>
      </c>
      <c r="H4" s="173" t="s">
        <v>142</v>
      </c>
      <c r="I4" s="173" t="s">
        <v>143</v>
      </c>
      <c r="J4" s="173" t="s">
        <v>162</v>
      </c>
      <c r="K4" s="173" t="s">
        <v>3549</v>
      </c>
      <c r="L4" s="175"/>
    </row>
    <row r="5" spans="1:12" ht="18" customHeight="1">
      <c r="A5" s="173" t="s">
        <v>78</v>
      </c>
      <c r="B5" s="173">
        <v>1</v>
      </c>
      <c r="D5" s="173" t="s">
        <v>82</v>
      </c>
      <c r="E5" s="173" t="s">
        <v>3075</v>
      </c>
      <c r="F5" s="174">
        <v>1</v>
      </c>
      <c r="G5" s="173" t="s">
        <v>136</v>
      </c>
      <c r="H5" s="173" t="s">
        <v>151</v>
      </c>
      <c r="I5" s="173" t="s">
        <v>144</v>
      </c>
      <c r="J5" s="173" t="s">
        <v>162</v>
      </c>
      <c r="K5" s="173" t="s">
        <v>3549</v>
      </c>
      <c r="L5" s="175"/>
    </row>
    <row r="6" spans="1:12" ht="18" customHeight="1">
      <c r="A6" s="173" t="s">
        <v>79</v>
      </c>
      <c r="B6" s="173">
        <v>1</v>
      </c>
      <c r="D6" s="173" t="s">
        <v>85</v>
      </c>
      <c r="E6" s="173" t="s">
        <v>3066</v>
      </c>
      <c r="F6" s="174">
        <v>1</v>
      </c>
      <c r="G6" s="173" t="s">
        <v>137</v>
      </c>
      <c r="H6" s="173" t="s">
        <v>152</v>
      </c>
      <c r="I6" s="173" t="s">
        <v>145</v>
      </c>
      <c r="J6" s="173" t="s">
        <v>162</v>
      </c>
      <c r="K6" s="173" t="s">
        <v>3549</v>
      </c>
      <c r="L6" s="175"/>
    </row>
    <row r="7" spans="1:12" ht="18" customHeight="1">
      <c r="A7" s="173" t="s">
        <v>75</v>
      </c>
      <c r="B7" s="173">
        <v>1.1200000000000001</v>
      </c>
      <c r="D7" s="176" t="s">
        <v>86</v>
      </c>
      <c r="E7" s="173" t="s">
        <v>3073</v>
      </c>
      <c r="F7" s="174">
        <v>1</v>
      </c>
      <c r="G7" s="173" t="s">
        <v>138</v>
      </c>
      <c r="H7" s="173" t="s">
        <v>153</v>
      </c>
      <c r="I7" s="173" t="s">
        <v>146</v>
      </c>
      <c r="J7" s="173" t="s">
        <v>162</v>
      </c>
      <c r="K7" s="173" t="s">
        <v>3549</v>
      </c>
      <c r="L7" s="175"/>
    </row>
    <row r="8" spans="1:12" ht="18" customHeight="1">
      <c r="D8" s="176" t="s">
        <v>87</v>
      </c>
      <c r="E8" s="173" t="s">
        <v>3072</v>
      </c>
      <c r="F8" s="174">
        <v>1</v>
      </c>
      <c r="G8" s="173" t="s">
        <v>139</v>
      </c>
      <c r="H8" s="173" t="s">
        <v>154</v>
      </c>
      <c r="I8" s="173" t="s">
        <v>147</v>
      </c>
      <c r="J8" s="173" t="s">
        <v>161</v>
      </c>
      <c r="K8" s="173" t="s">
        <v>158</v>
      </c>
      <c r="L8" s="177" t="s">
        <v>163</v>
      </c>
    </row>
    <row r="9" spans="1:12" ht="18" customHeight="1">
      <c r="A9" s="172" t="s">
        <v>6391</v>
      </c>
      <c r="D9" s="176" t="s">
        <v>122</v>
      </c>
      <c r="E9" s="173" t="s">
        <v>3071</v>
      </c>
      <c r="F9" s="174">
        <v>1</v>
      </c>
      <c r="G9" s="173" t="s">
        <v>127</v>
      </c>
      <c r="H9" s="173" t="s">
        <v>155</v>
      </c>
      <c r="I9" s="173" t="s">
        <v>148</v>
      </c>
      <c r="J9" s="173" t="s">
        <v>161</v>
      </c>
      <c r="K9" s="173" t="s">
        <v>158</v>
      </c>
      <c r="L9" s="177" t="s">
        <v>163</v>
      </c>
    </row>
    <row r="10" spans="1:12" ht="18" customHeight="1">
      <c r="D10" s="173"/>
      <c r="E10" s="173" t="s">
        <v>3070</v>
      </c>
      <c r="F10" s="173">
        <v>1.05</v>
      </c>
      <c r="G10" s="173" t="s">
        <v>140</v>
      </c>
      <c r="H10" s="173" t="s">
        <v>156</v>
      </c>
      <c r="I10" s="173" t="s">
        <v>149</v>
      </c>
      <c r="J10" s="173" t="s">
        <v>161</v>
      </c>
      <c r="K10" s="173" t="s">
        <v>158</v>
      </c>
      <c r="L10" s="177" t="s">
        <v>163</v>
      </c>
    </row>
    <row r="11" spans="1:12" ht="18" customHeight="1">
      <c r="D11" s="173"/>
      <c r="E11" s="173" t="s">
        <v>3069</v>
      </c>
      <c r="F11" s="173">
        <v>1.05</v>
      </c>
      <c r="G11" s="173" t="s">
        <v>141</v>
      </c>
      <c r="H11" s="173" t="s">
        <v>157</v>
      </c>
      <c r="I11" s="173" t="s">
        <v>150</v>
      </c>
      <c r="J11" s="173" t="s">
        <v>161</v>
      </c>
      <c r="K11" s="173" t="s">
        <v>158</v>
      </c>
      <c r="L11" s="177" t="s">
        <v>163</v>
      </c>
    </row>
    <row r="12" spans="1:12" ht="18" customHeight="1">
      <c r="D12" s="173"/>
      <c r="E12" s="173" t="s">
        <v>3068</v>
      </c>
      <c r="F12" s="173">
        <v>1</v>
      </c>
      <c r="G12" s="173" t="s">
        <v>159</v>
      </c>
      <c r="H12" s="173" t="s">
        <v>160</v>
      </c>
      <c r="I12" s="173" t="s">
        <v>165</v>
      </c>
      <c r="J12" s="173" t="s">
        <v>162</v>
      </c>
      <c r="K12" s="173" t="s">
        <v>3549</v>
      </c>
      <c r="L12" s="175"/>
    </row>
    <row r="13" spans="1:12" ht="18" customHeight="1">
      <c r="D13" s="178"/>
      <c r="E13" s="173" t="s">
        <v>3067</v>
      </c>
      <c r="F13" s="178">
        <v>1.05</v>
      </c>
      <c r="G13" s="251"/>
      <c r="H13" s="251"/>
      <c r="I13" s="251"/>
      <c r="J13" s="251"/>
      <c r="K13" s="251"/>
      <c r="L13" s="251"/>
    </row>
  </sheetData>
  <sheetProtection algorithmName="SHA-512" hashValue="WjO9iwrU8Vj5Zc0XYc/fNfCw2R+7to6r2zh76v+/TZaFB6V+gEayn2FhUh91sEtaayYDN/YleLKo3mJvM3Kh/w==" saltValue="rnYZt6TKlrwF7izSRqUTYQ==" spinCount="100000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T23"/>
  <sheetViews>
    <sheetView workbookViewId="0">
      <selection activeCell="P29" sqref="P29"/>
    </sheetView>
  </sheetViews>
  <sheetFormatPr defaultRowHeight="18" customHeight="1"/>
  <cols>
    <col min="1" max="20" width="9.625" style="272" customWidth="1"/>
    <col min="21" max="16384" width="9" style="272"/>
  </cols>
  <sheetData>
    <row r="1" spans="1:20" ht="18" customHeight="1">
      <c r="A1" s="269"/>
      <c r="B1" s="270">
        <v>300</v>
      </c>
      <c r="C1" s="270">
        <v>400</v>
      </c>
      <c r="D1" s="270">
        <v>500</v>
      </c>
      <c r="E1" s="270">
        <v>600</v>
      </c>
      <c r="F1" s="270">
        <v>700</v>
      </c>
      <c r="G1" s="270">
        <v>800</v>
      </c>
      <c r="H1" s="270">
        <v>900</v>
      </c>
      <c r="I1" s="270">
        <v>1000</v>
      </c>
      <c r="J1" s="270">
        <v>1100</v>
      </c>
      <c r="K1" s="270">
        <v>1200</v>
      </c>
      <c r="L1" s="270">
        <v>1300</v>
      </c>
      <c r="M1" s="270">
        <v>1400</v>
      </c>
      <c r="N1" s="270">
        <v>1500</v>
      </c>
      <c r="O1" s="270">
        <v>1600</v>
      </c>
      <c r="P1" s="270">
        <v>1700</v>
      </c>
      <c r="Q1" s="270">
        <v>1800</v>
      </c>
      <c r="R1" s="270">
        <v>1900</v>
      </c>
      <c r="S1" s="270">
        <v>2000</v>
      </c>
      <c r="T1" s="271">
        <v>2100</v>
      </c>
    </row>
    <row r="2" spans="1:20" ht="18" customHeight="1">
      <c r="A2" s="273">
        <v>300</v>
      </c>
      <c r="B2" s="275">
        <v>17300</v>
      </c>
      <c r="C2" s="275">
        <v>18600</v>
      </c>
      <c r="D2" s="275">
        <v>20100</v>
      </c>
      <c r="E2" s="275">
        <v>21500</v>
      </c>
      <c r="F2" s="275">
        <v>23000</v>
      </c>
      <c r="G2" s="275">
        <v>24400</v>
      </c>
      <c r="H2" s="275">
        <v>25900</v>
      </c>
      <c r="I2" s="275">
        <v>27200</v>
      </c>
      <c r="J2" s="275">
        <v>28700</v>
      </c>
      <c r="K2" s="275">
        <v>30300</v>
      </c>
      <c r="L2" s="275">
        <v>31600</v>
      </c>
      <c r="M2" s="275">
        <v>33200</v>
      </c>
      <c r="N2" s="275">
        <v>34700</v>
      </c>
      <c r="O2" s="275">
        <v>36400</v>
      </c>
      <c r="P2" s="275">
        <v>38100</v>
      </c>
      <c r="Q2" s="275">
        <v>39700</v>
      </c>
      <c r="R2" s="275">
        <v>42200</v>
      </c>
      <c r="S2" s="275">
        <v>43900</v>
      </c>
      <c r="T2" s="276">
        <v>45600</v>
      </c>
    </row>
    <row r="3" spans="1:20" ht="18" customHeight="1">
      <c r="A3" s="273">
        <v>400</v>
      </c>
      <c r="B3" s="275">
        <v>17900</v>
      </c>
      <c r="C3" s="275">
        <v>19300</v>
      </c>
      <c r="D3" s="275">
        <v>20800</v>
      </c>
      <c r="E3" s="275">
        <v>22300</v>
      </c>
      <c r="F3" s="275">
        <v>23700</v>
      </c>
      <c r="G3" s="275">
        <v>25200</v>
      </c>
      <c r="H3" s="275">
        <v>26600</v>
      </c>
      <c r="I3" s="275">
        <v>28100</v>
      </c>
      <c r="J3" s="275">
        <v>29600</v>
      </c>
      <c r="K3" s="275">
        <v>31100</v>
      </c>
      <c r="L3" s="275">
        <v>32400</v>
      </c>
      <c r="M3" s="275">
        <v>34100</v>
      </c>
      <c r="N3" s="275">
        <v>35700</v>
      </c>
      <c r="O3" s="275">
        <v>37300</v>
      </c>
      <c r="P3" s="275">
        <v>39100</v>
      </c>
      <c r="Q3" s="275">
        <v>40800</v>
      </c>
      <c r="R3" s="275">
        <v>43400</v>
      </c>
      <c r="S3" s="275">
        <v>45000</v>
      </c>
      <c r="T3" s="276">
        <v>46800</v>
      </c>
    </row>
    <row r="4" spans="1:20" ht="18" customHeight="1">
      <c r="A4" s="273">
        <v>500</v>
      </c>
      <c r="B4" s="275">
        <v>18600</v>
      </c>
      <c r="C4" s="275">
        <v>20100</v>
      </c>
      <c r="D4" s="275">
        <v>21500</v>
      </c>
      <c r="E4" s="275">
        <v>23000</v>
      </c>
      <c r="F4" s="275">
        <v>24400</v>
      </c>
      <c r="G4" s="275">
        <v>26000</v>
      </c>
      <c r="H4" s="275">
        <v>27500</v>
      </c>
      <c r="I4" s="275">
        <v>28900</v>
      </c>
      <c r="J4" s="275">
        <v>30500</v>
      </c>
      <c r="K4" s="275">
        <v>32000</v>
      </c>
      <c r="L4" s="275">
        <v>33500</v>
      </c>
      <c r="M4" s="275">
        <v>35000</v>
      </c>
      <c r="N4" s="275">
        <v>36700</v>
      </c>
      <c r="O4" s="275">
        <v>38500</v>
      </c>
      <c r="P4" s="275">
        <v>40200</v>
      </c>
      <c r="Q4" s="275">
        <v>41900</v>
      </c>
      <c r="R4" s="275">
        <v>44500</v>
      </c>
      <c r="S4" s="275">
        <v>46300</v>
      </c>
      <c r="T4" s="276">
        <v>48000</v>
      </c>
    </row>
    <row r="5" spans="1:20" ht="18" customHeight="1">
      <c r="A5" s="273">
        <v>600</v>
      </c>
      <c r="B5" s="275">
        <v>19200</v>
      </c>
      <c r="C5" s="275">
        <v>20800</v>
      </c>
      <c r="D5" s="275">
        <v>22300</v>
      </c>
      <c r="E5" s="275">
        <v>23700</v>
      </c>
      <c r="F5" s="275">
        <v>25300</v>
      </c>
      <c r="G5" s="275">
        <v>26700</v>
      </c>
      <c r="H5" s="275">
        <v>28300</v>
      </c>
      <c r="I5" s="275">
        <v>29700</v>
      </c>
      <c r="J5" s="275">
        <v>31300</v>
      </c>
      <c r="K5" s="275">
        <v>32900</v>
      </c>
      <c r="L5" s="275">
        <v>34400</v>
      </c>
      <c r="M5" s="275">
        <v>36100</v>
      </c>
      <c r="N5" s="275">
        <v>37800</v>
      </c>
      <c r="O5" s="275">
        <v>39500</v>
      </c>
      <c r="P5" s="275">
        <v>41400</v>
      </c>
      <c r="Q5" s="275">
        <v>43200</v>
      </c>
      <c r="R5" s="275">
        <v>45800</v>
      </c>
      <c r="S5" s="275">
        <v>47500</v>
      </c>
      <c r="T5" s="276">
        <v>49300</v>
      </c>
    </row>
    <row r="6" spans="1:20" ht="18" customHeight="1">
      <c r="A6" s="273">
        <v>700</v>
      </c>
      <c r="B6" s="275">
        <v>20100</v>
      </c>
      <c r="C6" s="275">
        <v>21500</v>
      </c>
      <c r="D6" s="275">
        <v>23000</v>
      </c>
      <c r="E6" s="275">
        <v>24500</v>
      </c>
      <c r="F6" s="275">
        <v>26100</v>
      </c>
      <c r="G6" s="275">
        <v>27600</v>
      </c>
      <c r="H6" s="275">
        <v>29100</v>
      </c>
      <c r="I6" s="275">
        <v>30700</v>
      </c>
      <c r="J6" s="275">
        <v>32200</v>
      </c>
      <c r="K6" s="275">
        <v>33900</v>
      </c>
      <c r="L6" s="275">
        <v>35400</v>
      </c>
      <c r="M6" s="275">
        <v>37100</v>
      </c>
      <c r="N6" s="275">
        <v>38800</v>
      </c>
      <c r="O6" s="275">
        <v>40600</v>
      </c>
      <c r="P6" s="275">
        <v>42500</v>
      </c>
      <c r="Q6" s="275">
        <v>44300</v>
      </c>
      <c r="R6" s="275">
        <v>46900</v>
      </c>
      <c r="S6" s="275">
        <v>48700</v>
      </c>
      <c r="T6" s="276">
        <v>50500</v>
      </c>
    </row>
    <row r="7" spans="1:20" ht="18" customHeight="1">
      <c r="A7" s="273">
        <v>800</v>
      </c>
      <c r="B7" s="275">
        <v>20800</v>
      </c>
      <c r="C7" s="275">
        <v>22400</v>
      </c>
      <c r="D7" s="275">
        <v>23800</v>
      </c>
      <c r="E7" s="275">
        <v>25400</v>
      </c>
      <c r="F7" s="275">
        <v>26900</v>
      </c>
      <c r="G7" s="275">
        <v>28500</v>
      </c>
      <c r="H7" s="275">
        <v>30100</v>
      </c>
      <c r="I7" s="275">
        <v>31600</v>
      </c>
      <c r="J7" s="275">
        <v>33300</v>
      </c>
      <c r="K7" s="275">
        <v>34800</v>
      </c>
      <c r="L7" s="275">
        <v>36400</v>
      </c>
      <c r="M7" s="275">
        <v>38200</v>
      </c>
      <c r="N7" s="275">
        <v>39900</v>
      </c>
      <c r="O7" s="275">
        <v>41700</v>
      </c>
      <c r="P7" s="275">
        <v>43700</v>
      </c>
      <c r="Q7" s="275">
        <v>45400</v>
      </c>
      <c r="R7" s="275">
        <v>48200</v>
      </c>
      <c r="S7" s="275">
        <v>49900</v>
      </c>
      <c r="T7" s="276">
        <v>51700</v>
      </c>
    </row>
    <row r="8" spans="1:20" ht="18" customHeight="1">
      <c r="A8" s="273">
        <v>900</v>
      </c>
      <c r="B8" s="275">
        <v>21600</v>
      </c>
      <c r="C8" s="275">
        <v>23200</v>
      </c>
      <c r="D8" s="275">
        <v>24800</v>
      </c>
      <c r="E8" s="275">
        <v>26300</v>
      </c>
      <c r="F8" s="275">
        <v>27900</v>
      </c>
      <c r="G8" s="275">
        <v>29400</v>
      </c>
      <c r="H8" s="275">
        <v>31000</v>
      </c>
      <c r="I8" s="275">
        <v>32700</v>
      </c>
      <c r="J8" s="275">
        <v>34300</v>
      </c>
      <c r="K8" s="275">
        <v>35900</v>
      </c>
      <c r="L8" s="275">
        <v>37400</v>
      </c>
      <c r="M8" s="275">
        <v>39200</v>
      </c>
      <c r="N8" s="275">
        <v>41000</v>
      </c>
      <c r="O8" s="275">
        <v>42700</v>
      </c>
      <c r="P8" s="275">
        <v>44800</v>
      </c>
      <c r="Q8" s="275">
        <v>46600</v>
      </c>
      <c r="R8" s="275">
        <v>49300</v>
      </c>
      <c r="S8" s="275">
        <v>51200</v>
      </c>
      <c r="T8" s="276">
        <v>52900</v>
      </c>
    </row>
    <row r="9" spans="1:20" ht="18" customHeight="1">
      <c r="A9" s="273">
        <v>1000</v>
      </c>
      <c r="B9" s="275">
        <v>23000</v>
      </c>
      <c r="C9" s="275">
        <v>24600</v>
      </c>
      <c r="D9" s="275">
        <v>26300</v>
      </c>
      <c r="E9" s="275">
        <v>28100</v>
      </c>
      <c r="F9" s="275">
        <v>29800</v>
      </c>
      <c r="G9" s="275">
        <v>31600</v>
      </c>
      <c r="H9" s="275">
        <v>33300</v>
      </c>
      <c r="I9" s="275">
        <v>35000</v>
      </c>
      <c r="J9" s="275">
        <v>36900</v>
      </c>
      <c r="K9" s="275">
        <v>38700</v>
      </c>
      <c r="L9" s="275">
        <v>40500</v>
      </c>
      <c r="M9" s="275">
        <v>42300</v>
      </c>
      <c r="N9" s="275">
        <v>44300</v>
      </c>
      <c r="O9" s="275">
        <v>46200</v>
      </c>
      <c r="P9" s="275">
        <v>48500</v>
      </c>
      <c r="Q9" s="275">
        <v>50400</v>
      </c>
      <c r="R9" s="275">
        <v>53200</v>
      </c>
      <c r="S9" s="275">
        <v>55200</v>
      </c>
      <c r="T9" s="276">
        <v>57200</v>
      </c>
    </row>
    <row r="10" spans="1:20" ht="18" customHeight="1">
      <c r="A10" s="273">
        <v>1100</v>
      </c>
      <c r="B10" s="275">
        <v>23800</v>
      </c>
      <c r="C10" s="275">
        <v>25500</v>
      </c>
      <c r="D10" s="275">
        <v>27200</v>
      </c>
      <c r="E10" s="275">
        <v>29000</v>
      </c>
      <c r="F10" s="275">
        <v>30800</v>
      </c>
      <c r="G10" s="275">
        <v>32600</v>
      </c>
      <c r="H10" s="275">
        <v>34300</v>
      </c>
      <c r="I10" s="275">
        <v>36100</v>
      </c>
      <c r="J10" s="275">
        <v>38000</v>
      </c>
      <c r="K10" s="275">
        <v>39700</v>
      </c>
      <c r="L10" s="275">
        <v>41500</v>
      </c>
      <c r="M10" s="275">
        <v>43400</v>
      </c>
      <c r="N10" s="275">
        <v>45300</v>
      </c>
      <c r="O10" s="275">
        <v>47300</v>
      </c>
      <c r="P10" s="275">
        <v>49600</v>
      </c>
      <c r="Q10" s="275">
        <v>51600</v>
      </c>
      <c r="R10" s="275">
        <v>54500</v>
      </c>
      <c r="S10" s="275">
        <v>56500</v>
      </c>
      <c r="T10" s="276">
        <v>58400</v>
      </c>
    </row>
    <row r="11" spans="1:20" ht="18" customHeight="1">
      <c r="A11" s="273">
        <v>1200</v>
      </c>
      <c r="B11" s="275">
        <v>24600</v>
      </c>
      <c r="C11" s="275">
        <v>26400</v>
      </c>
      <c r="D11" s="275">
        <v>28100</v>
      </c>
      <c r="E11" s="275">
        <v>30000</v>
      </c>
      <c r="F11" s="275">
        <v>31700</v>
      </c>
      <c r="G11" s="275">
        <v>33500</v>
      </c>
      <c r="H11" s="275">
        <v>35300</v>
      </c>
      <c r="I11" s="275">
        <v>37000</v>
      </c>
      <c r="J11" s="275">
        <v>38900</v>
      </c>
      <c r="K11" s="275">
        <v>40800</v>
      </c>
      <c r="L11" s="275">
        <v>42500</v>
      </c>
      <c r="M11" s="275">
        <v>44500</v>
      </c>
      <c r="N11" s="275">
        <v>46500</v>
      </c>
      <c r="O11" s="275">
        <v>48500</v>
      </c>
      <c r="P11" s="275">
        <v>50800</v>
      </c>
      <c r="Q11" s="275">
        <v>52700</v>
      </c>
      <c r="R11" s="275">
        <v>55600</v>
      </c>
      <c r="S11" s="275">
        <v>57600</v>
      </c>
      <c r="T11" s="276">
        <v>59700</v>
      </c>
    </row>
    <row r="12" spans="1:20" ht="18" customHeight="1">
      <c r="A12" s="273">
        <v>1300</v>
      </c>
      <c r="B12" s="275">
        <v>25500</v>
      </c>
      <c r="C12" s="275">
        <v>27200</v>
      </c>
      <c r="D12" s="275">
        <v>29000</v>
      </c>
      <c r="E12" s="275">
        <v>30800</v>
      </c>
      <c r="F12" s="275">
        <v>32700</v>
      </c>
      <c r="G12" s="275">
        <v>34400</v>
      </c>
      <c r="H12" s="275">
        <v>36200</v>
      </c>
      <c r="I12" s="275">
        <v>38100</v>
      </c>
      <c r="J12" s="275">
        <v>39900</v>
      </c>
      <c r="K12" s="275">
        <v>41800</v>
      </c>
      <c r="L12" s="275">
        <v>43600</v>
      </c>
      <c r="M12" s="275">
        <v>45600</v>
      </c>
      <c r="N12" s="275">
        <v>47600</v>
      </c>
      <c r="O12" s="275">
        <v>49600</v>
      </c>
      <c r="P12" s="275">
        <v>51900</v>
      </c>
      <c r="Q12" s="275">
        <v>53900</v>
      </c>
      <c r="R12" s="275">
        <v>56900</v>
      </c>
      <c r="S12" s="275">
        <v>58900</v>
      </c>
      <c r="T12" s="276">
        <v>60900</v>
      </c>
    </row>
    <row r="13" spans="1:20" ht="18" customHeight="1">
      <c r="A13" s="273">
        <v>1400</v>
      </c>
      <c r="B13" s="275">
        <v>26300</v>
      </c>
      <c r="C13" s="275">
        <v>28100</v>
      </c>
      <c r="D13" s="275">
        <v>29800</v>
      </c>
      <c r="E13" s="275">
        <v>31700</v>
      </c>
      <c r="F13" s="275">
        <v>33600</v>
      </c>
      <c r="G13" s="275">
        <v>35400</v>
      </c>
      <c r="H13" s="275">
        <v>37200</v>
      </c>
      <c r="I13" s="275">
        <v>39000</v>
      </c>
      <c r="J13" s="275">
        <v>41000</v>
      </c>
      <c r="K13" s="275">
        <v>42800</v>
      </c>
      <c r="L13" s="275">
        <v>44700</v>
      </c>
      <c r="M13" s="275">
        <v>46700</v>
      </c>
      <c r="N13" s="275">
        <v>48700</v>
      </c>
      <c r="O13" s="275">
        <v>50800</v>
      </c>
      <c r="P13" s="275">
        <v>53000</v>
      </c>
      <c r="Q13" s="275">
        <v>55100</v>
      </c>
      <c r="R13" s="275">
        <v>58000</v>
      </c>
      <c r="S13" s="275">
        <v>60100</v>
      </c>
      <c r="T13" s="276">
        <v>62200</v>
      </c>
    </row>
    <row r="14" spans="1:20" ht="18" customHeight="1">
      <c r="A14" s="273">
        <v>1500</v>
      </c>
      <c r="B14" s="275">
        <v>27100</v>
      </c>
      <c r="C14" s="275">
        <v>28900</v>
      </c>
      <c r="D14" s="275">
        <v>30800</v>
      </c>
      <c r="E14" s="275">
        <v>32700</v>
      </c>
      <c r="F14" s="275">
        <v>34400</v>
      </c>
      <c r="G14" s="275">
        <v>36300</v>
      </c>
      <c r="H14" s="275">
        <v>38200</v>
      </c>
      <c r="I14" s="275">
        <v>40000</v>
      </c>
      <c r="J14" s="275">
        <v>42000</v>
      </c>
      <c r="K14" s="275">
        <v>43900</v>
      </c>
      <c r="L14" s="275">
        <v>45800</v>
      </c>
      <c r="M14" s="275">
        <v>47700</v>
      </c>
      <c r="N14" s="275">
        <v>49800</v>
      </c>
      <c r="O14" s="275">
        <v>51900</v>
      </c>
      <c r="P14" s="275">
        <v>54200</v>
      </c>
      <c r="Q14" s="275">
        <v>56300</v>
      </c>
      <c r="R14" s="275">
        <v>59300</v>
      </c>
      <c r="S14" s="275">
        <v>61400</v>
      </c>
      <c r="T14" s="276">
        <v>63400</v>
      </c>
    </row>
    <row r="15" spans="1:20" ht="18" customHeight="1">
      <c r="A15" s="273">
        <v>1600</v>
      </c>
      <c r="B15" s="275">
        <v>28000</v>
      </c>
      <c r="C15" s="275">
        <v>29800</v>
      </c>
      <c r="D15" s="275">
        <v>31600</v>
      </c>
      <c r="E15" s="275">
        <v>33500</v>
      </c>
      <c r="F15" s="275">
        <v>35400</v>
      </c>
      <c r="G15" s="275">
        <v>37200</v>
      </c>
      <c r="H15" s="275">
        <v>39100</v>
      </c>
      <c r="I15" s="275">
        <v>41100</v>
      </c>
      <c r="J15" s="275">
        <v>43000</v>
      </c>
      <c r="K15" s="275">
        <v>44900</v>
      </c>
      <c r="L15" s="275">
        <v>46800</v>
      </c>
      <c r="M15" s="275">
        <v>48900</v>
      </c>
      <c r="N15" s="275">
        <v>50900</v>
      </c>
      <c r="O15" s="275">
        <v>53000</v>
      </c>
      <c r="P15" s="275">
        <v>55300</v>
      </c>
      <c r="Q15" s="275">
        <v>57400</v>
      </c>
      <c r="R15" s="275">
        <v>60400</v>
      </c>
      <c r="S15" s="275">
        <v>62500</v>
      </c>
      <c r="T15" s="276">
        <v>64700</v>
      </c>
    </row>
    <row r="16" spans="1:20" ht="18" customHeight="1">
      <c r="A16" s="273">
        <v>1700</v>
      </c>
      <c r="B16" s="275">
        <v>28800</v>
      </c>
      <c r="C16" s="275">
        <v>30700</v>
      </c>
      <c r="D16" s="275">
        <v>32600</v>
      </c>
      <c r="E16" s="275">
        <v>34400</v>
      </c>
      <c r="F16" s="275">
        <v>36300</v>
      </c>
      <c r="G16" s="275">
        <v>38200</v>
      </c>
      <c r="H16" s="275">
        <v>40100</v>
      </c>
      <c r="I16" s="275">
        <v>42000</v>
      </c>
      <c r="J16" s="275">
        <v>44000</v>
      </c>
      <c r="K16" s="275">
        <v>46000</v>
      </c>
      <c r="L16" s="275">
        <v>47800</v>
      </c>
      <c r="M16" s="275">
        <v>49900</v>
      </c>
      <c r="N16" s="275">
        <v>52000</v>
      </c>
      <c r="O16" s="275">
        <v>54100</v>
      </c>
      <c r="P16" s="275">
        <v>56500</v>
      </c>
      <c r="Q16" s="275">
        <v>58700</v>
      </c>
      <c r="R16" s="275">
        <v>61700</v>
      </c>
      <c r="S16" s="275">
        <v>63800</v>
      </c>
      <c r="T16" s="276">
        <v>65900</v>
      </c>
    </row>
    <row r="17" spans="1:20" ht="18" customHeight="1">
      <c r="A17" s="273">
        <v>1800</v>
      </c>
      <c r="B17" s="275">
        <v>30100</v>
      </c>
      <c r="C17" s="275">
        <v>32000</v>
      </c>
      <c r="D17" s="275">
        <v>34000</v>
      </c>
      <c r="E17" s="275">
        <v>36100</v>
      </c>
      <c r="F17" s="275">
        <v>38100</v>
      </c>
      <c r="G17" s="275">
        <v>40100</v>
      </c>
      <c r="H17" s="275">
        <v>42100</v>
      </c>
      <c r="I17" s="275">
        <v>44200</v>
      </c>
      <c r="J17" s="275">
        <v>46300</v>
      </c>
      <c r="K17" s="275">
        <v>48400</v>
      </c>
      <c r="L17" s="275">
        <v>50400</v>
      </c>
      <c r="M17" s="275">
        <v>52600</v>
      </c>
      <c r="N17" s="275">
        <v>54800</v>
      </c>
      <c r="O17" s="275">
        <v>57100</v>
      </c>
      <c r="P17" s="275">
        <v>59600</v>
      </c>
      <c r="Q17" s="275">
        <v>61800</v>
      </c>
      <c r="R17" s="275">
        <v>65000</v>
      </c>
      <c r="S17" s="275">
        <v>67200</v>
      </c>
      <c r="T17" s="276">
        <v>59800</v>
      </c>
    </row>
    <row r="18" spans="1:20" ht="18" customHeight="1">
      <c r="A18" s="273">
        <v>1900</v>
      </c>
      <c r="B18" s="275">
        <v>31700</v>
      </c>
      <c r="C18" s="275">
        <v>33800</v>
      </c>
      <c r="D18" s="275">
        <v>35800</v>
      </c>
      <c r="E18" s="275">
        <v>37900</v>
      </c>
      <c r="F18" s="275">
        <v>39800</v>
      </c>
      <c r="G18" s="275">
        <v>41900</v>
      </c>
      <c r="H18" s="275">
        <v>44000</v>
      </c>
      <c r="I18" s="275">
        <v>46100</v>
      </c>
      <c r="J18" s="275">
        <v>48200</v>
      </c>
      <c r="K18" s="275">
        <v>50200</v>
      </c>
      <c r="L18" s="275">
        <v>52300</v>
      </c>
      <c r="M18" s="275">
        <v>54600</v>
      </c>
      <c r="N18" s="275">
        <v>56800</v>
      </c>
      <c r="O18" s="275">
        <v>59100</v>
      </c>
      <c r="P18" s="275">
        <v>61600</v>
      </c>
      <c r="Q18" s="275">
        <v>63900</v>
      </c>
      <c r="R18" s="275">
        <v>66100</v>
      </c>
      <c r="S18" s="275">
        <v>68400</v>
      </c>
      <c r="T18" s="276">
        <v>60800</v>
      </c>
    </row>
    <row r="19" spans="1:20" ht="18" customHeight="1">
      <c r="A19" s="273">
        <v>2000</v>
      </c>
      <c r="B19" s="275">
        <v>32600</v>
      </c>
      <c r="C19" s="275">
        <v>34600</v>
      </c>
      <c r="D19" s="275">
        <v>36700</v>
      </c>
      <c r="E19" s="275">
        <v>38800</v>
      </c>
      <c r="F19" s="275">
        <v>40800</v>
      </c>
      <c r="G19" s="275">
        <v>42800</v>
      </c>
      <c r="H19" s="275">
        <v>44900</v>
      </c>
      <c r="I19" s="275">
        <v>47000</v>
      </c>
      <c r="J19" s="275">
        <v>49200</v>
      </c>
      <c r="K19" s="275">
        <v>51300</v>
      </c>
      <c r="L19" s="275">
        <v>53400</v>
      </c>
      <c r="M19" s="275">
        <v>55600</v>
      </c>
      <c r="N19" s="275">
        <v>57900</v>
      </c>
      <c r="O19" s="275">
        <v>60200</v>
      </c>
      <c r="P19" s="275">
        <v>62700</v>
      </c>
      <c r="Q19" s="275">
        <v>65000</v>
      </c>
      <c r="R19" s="275">
        <v>67400</v>
      </c>
      <c r="S19" s="275">
        <v>59800</v>
      </c>
      <c r="T19" s="277">
        <v>0</v>
      </c>
    </row>
    <row r="20" spans="1:20" ht="18" customHeight="1">
      <c r="A20" s="273">
        <v>2100</v>
      </c>
      <c r="B20" s="275">
        <v>33400</v>
      </c>
      <c r="C20" s="275">
        <v>35500</v>
      </c>
      <c r="D20" s="275">
        <v>37500</v>
      </c>
      <c r="E20" s="275">
        <v>39600</v>
      </c>
      <c r="F20" s="275">
        <v>41700</v>
      </c>
      <c r="G20" s="275">
        <v>43800</v>
      </c>
      <c r="H20" s="275">
        <v>46000</v>
      </c>
      <c r="I20" s="275">
        <v>48000</v>
      </c>
      <c r="J20" s="275">
        <v>50200</v>
      </c>
      <c r="K20" s="275">
        <v>52300</v>
      </c>
      <c r="L20" s="275">
        <v>54500</v>
      </c>
      <c r="M20" s="275">
        <v>56700</v>
      </c>
      <c r="N20" s="275">
        <v>59000</v>
      </c>
      <c r="O20" s="275">
        <v>61400</v>
      </c>
      <c r="P20" s="275">
        <v>63900</v>
      </c>
      <c r="Q20" s="275">
        <v>66200</v>
      </c>
      <c r="R20" s="275">
        <v>58800</v>
      </c>
      <c r="S20" s="278">
        <v>0</v>
      </c>
      <c r="T20" s="277">
        <v>0</v>
      </c>
    </row>
    <row r="21" spans="1:20" ht="18" customHeight="1">
      <c r="A21" s="273">
        <v>2200</v>
      </c>
      <c r="B21" s="275">
        <v>34200</v>
      </c>
      <c r="C21" s="275">
        <v>36400</v>
      </c>
      <c r="D21" s="275">
        <v>38500</v>
      </c>
      <c r="E21" s="275">
        <v>40600</v>
      </c>
      <c r="F21" s="275">
        <v>42600</v>
      </c>
      <c r="G21" s="275">
        <v>44800</v>
      </c>
      <c r="H21" s="275">
        <v>46900</v>
      </c>
      <c r="I21" s="275">
        <v>49000</v>
      </c>
      <c r="J21" s="275">
        <v>51300</v>
      </c>
      <c r="K21" s="275">
        <v>53400</v>
      </c>
      <c r="L21" s="275">
        <v>55500</v>
      </c>
      <c r="M21" s="275">
        <v>57800</v>
      </c>
      <c r="N21" s="275">
        <v>60100</v>
      </c>
      <c r="O21" s="275">
        <v>62500</v>
      </c>
      <c r="P21" s="275">
        <v>65000</v>
      </c>
      <c r="Q21" s="275">
        <v>57700</v>
      </c>
      <c r="R21" s="278">
        <v>0</v>
      </c>
      <c r="S21" s="278">
        <v>0</v>
      </c>
      <c r="T21" s="277">
        <v>0</v>
      </c>
    </row>
    <row r="22" spans="1:20" ht="18" customHeight="1">
      <c r="A22" s="273">
        <v>2300</v>
      </c>
      <c r="B22" s="275">
        <v>34800</v>
      </c>
      <c r="C22" s="275">
        <v>37000</v>
      </c>
      <c r="D22" s="275">
        <v>39100</v>
      </c>
      <c r="E22" s="275">
        <v>41300</v>
      </c>
      <c r="F22" s="275">
        <v>43500</v>
      </c>
      <c r="G22" s="275">
        <v>45700</v>
      </c>
      <c r="H22" s="275">
        <v>47800</v>
      </c>
      <c r="I22" s="275">
        <v>49900</v>
      </c>
      <c r="J22" s="275">
        <v>52300</v>
      </c>
      <c r="K22" s="275">
        <v>54500</v>
      </c>
      <c r="L22" s="275">
        <v>56800</v>
      </c>
      <c r="M22" s="275">
        <v>59100</v>
      </c>
      <c r="N22" s="275">
        <v>61400</v>
      </c>
      <c r="O22" s="275">
        <v>63900</v>
      </c>
      <c r="P22" s="275">
        <v>66600</v>
      </c>
      <c r="Q22" s="278">
        <v>0</v>
      </c>
      <c r="R22" s="278">
        <v>0</v>
      </c>
      <c r="S22" s="278">
        <v>0</v>
      </c>
      <c r="T22" s="277">
        <v>0</v>
      </c>
    </row>
    <row r="23" spans="1:20" ht="18" customHeight="1" thickBot="1">
      <c r="A23" s="274">
        <v>2400</v>
      </c>
      <c r="B23" s="279">
        <v>35800</v>
      </c>
      <c r="C23" s="279">
        <v>38000</v>
      </c>
      <c r="D23" s="279">
        <v>40100</v>
      </c>
      <c r="E23" s="279">
        <v>42300</v>
      </c>
      <c r="F23" s="279">
        <v>44500</v>
      </c>
      <c r="G23" s="279">
        <v>46700</v>
      </c>
      <c r="H23" s="279">
        <v>48900</v>
      </c>
      <c r="I23" s="279">
        <v>51000</v>
      </c>
      <c r="J23" s="279">
        <v>53600</v>
      </c>
      <c r="K23" s="279">
        <v>55700</v>
      </c>
      <c r="L23" s="279">
        <v>58000</v>
      </c>
      <c r="M23" s="279">
        <v>60300</v>
      </c>
      <c r="N23" s="279">
        <v>62800</v>
      </c>
      <c r="O23" s="279">
        <v>65300</v>
      </c>
      <c r="P23" s="280">
        <v>0</v>
      </c>
      <c r="Q23" s="280">
        <v>0</v>
      </c>
      <c r="R23" s="280">
        <v>0</v>
      </c>
      <c r="S23" s="280">
        <v>0</v>
      </c>
      <c r="T23" s="281">
        <v>0</v>
      </c>
    </row>
  </sheetData>
  <sheetProtection algorithmName="SHA-512" hashValue="BxdwEh8BwdE1X7er3qrcpcU3KgUT5ip3ktvk2Xy39G2zWjIl3EKrA+ricFfUwWRJVijQe42IEZm5EauG5Wf0OQ==" saltValue="ToqHZyZgW0C+7cNj3NJRiQ==" spinCount="100000" sheet="1" objects="1" scenarios="1"/>
  <phoneticPr fontId="6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7030A0"/>
  </sheetPr>
  <dimension ref="A1:M2600"/>
  <sheetViews>
    <sheetView topLeftCell="A2291" workbookViewId="0">
      <selection activeCell="A2" sqref="A2:M2301"/>
    </sheetView>
  </sheetViews>
  <sheetFormatPr defaultRowHeight="20.100000000000001" customHeight="1"/>
  <cols>
    <col min="1" max="1" width="6.75" style="247" customWidth="1"/>
    <col min="2" max="2" width="18.125" style="247" customWidth="1"/>
    <col min="3" max="3" width="5" style="246" customWidth="1"/>
    <col min="4" max="6" width="5.625" style="247" customWidth="1"/>
    <col min="7" max="7" width="44.375" style="247" customWidth="1"/>
    <col min="8" max="12" width="5.625" style="247" customWidth="1"/>
    <col min="13" max="13" width="13.75" style="247" customWidth="1"/>
    <col min="14" max="16384" width="9" style="247"/>
  </cols>
  <sheetData>
    <row r="1" spans="1:13" s="265" customFormat="1" ht="20.100000000000001" customHeight="1">
      <c r="A1" s="264"/>
      <c r="B1" s="266" t="s">
        <v>190</v>
      </c>
      <c r="C1" s="267" t="s">
        <v>191</v>
      </c>
      <c r="D1" s="264"/>
      <c r="E1" s="264"/>
      <c r="F1" s="264"/>
      <c r="G1" s="266" t="s">
        <v>192</v>
      </c>
      <c r="H1" s="264"/>
      <c r="I1" s="264"/>
      <c r="J1" s="264"/>
      <c r="K1" s="264"/>
      <c r="L1" s="264"/>
      <c r="M1" s="266" t="s">
        <v>193</v>
      </c>
    </row>
    <row r="2" spans="1:13" ht="20.100000000000001" customHeight="1">
      <c r="A2" s="248"/>
      <c r="B2" s="248" t="s">
        <v>4002</v>
      </c>
      <c r="C2" s="248" t="s">
        <v>4003</v>
      </c>
      <c r="D2" s="248"/>
      <c r="E2" s="248"/>
      <c r="F2" s="248"/>
      <c r="G2" s="248" t="s">
        <v>194</v>
      </c>
      <c r="H2" s="248"/>
      <c r="I2" s="248"/>
      <c r="J2" s="248"/>
      <c r="K2" s="248"/>
      <c r="L2" s="248"/>
      <c r="M2" s="248" t="s">
        <v>195</v>
      </c>
    </row>
    <row r="3" spans="1:13" ht="20.100000000000001" customHeight="1">
      <c r="A3" s="248"/>
      <c r="B3" s="248" t="s">
        <v>4004</v>
      </c>
      <c r="C3" s="248" t="s">
        <v>4005</v>
      </c>
      <c r="D3" s="248"/>
      <c r="E3" s="248"/>
      <c r="F3" s="248"/>
      <c r="G3" s="248" t="s">
        <v>197</v>
      </c>
      <c r="H3" s="248"/>
      <c r="I3" s="248"/>
      <c r="J3" s="248"/>
      <c r="K3" s="248"/>
      <c r="L3" s="248"/>
      <c r="M3" s="248" t="s">
        <v>198</v>
      </c>
    </row>
    <row r="4" spans="1:13" ht="20.100000000000001" customHeight="1">
      <c r="A4" s="248"/>
      <c r="B4" s="248" t="s">
        <v>4006</v>
      </c>
      <c r="C4" s="248" t="s">
        <v>4003</v>
      </c>
      <c r="D4" s="248"/>
      <c r="E4" s="248"/>
      <c r="F4" s="248"/>
      <c r="G4" s="248" t="s">
        <v>199</v>
      </c>
      <c r="H4" s="248"/>
      <c r="I4" s="248"/>
      <c r="J4" s="248"/>
      <c r="K4" s="248"/>
      <c r="L4" s="248"/>
      <c r="M4" s="248" t="s">
        <v>3550</v>
      </c>
    </row>
    <row r="5" spans="1:13" ht="20.100000000000001" customHeight="1">
      <c r="A5" s="248"/>
      <c r="B5" s="248" t="s">
        <v>4007</v>
      </c>
      <c r="C5" s="248" t="s">
        <v>4008</v>
      </c>
      <c r="D5" s="248"/>
      <c r="E5" s="248"/>
      <c r="F5" s="248"/>
      <c r="G5" s="248" t="s">
        <v>3821</v>
      </c>
      <c r="H5" s="248"/>
      <c r="I5" s="248"/>
      <c r="J5" s="248"/>
      <c r="K5" s="248"/>
      <c r="L5" s="248"/>
      <c r="M5" s="248" t="s">
        <v>3550</v>
      </c>
    </row>
    <row r="6" spans="1:13" ht="20.100000000000001" customHeight="1">
      <c r="A6" s="248"/>
      <c r="B6" s="248" t="s">
        <v>4009</v>
      </c>
      <c r="C6" s="248" t="s">
        <v>4008</v>
      </c>
      <c r="D6" s="248"/>
      <c r="E6" s="248"/>
      <c r="F6" s="248"/>
      <c r="G6" s="248" t="s">
        <v>200</v>
      </c>
      <c r="H6" s="248"/>
      <c r="I6" s="248"/>
      <c r="J6" s="248"/>
      <c r="K6" s="248"/>
      <c r="L6" s="248"/>
      <c r="M6" s="248" t="s">
        <v>3550</v>
      </c>
    </row>
    <row r="7" spans="1:13" ht="20.100000000000001" customHeight="1">
      <c r="A7" s="248"/>
      <c r="B7" s="248" t="s">
        <v>4010</v>
      </c>
      <c r="C7" s="248" t="s">
        <v>4003</v>
      </c>
      <c r="D7" s="248"/>
      <c r="E7" s="248"/>
      <c r="F7" s="248"/>
      <c r="G7" s="248" t="s">
        <v>201</v>
      </c>
      <c r="H7" s="248"/>
      <c r="I7" s="248"/>
      <c r="J7" s="248"/>
      <c r="K7" s="248"/>
      <c r="L7" s="248"/>
      <c r="M7" s="248" t="s">
        <v>202</v>
      </c>
    </row>
    <row r="8" spans="1:13" ht="20.100000000000001" customHeight="1">
      <c r="A8" s="248"/>
      <c r="B8" s="248" t="s">
        <v>4011</v>
      </c>
      <c r="C8" s="248" t="s">
        <v>4012</v>
      </c>
      <c r="D8" s="248"/>
      <c r="E8" s="248"/>
      <c r="F8" s="248"/>
      <c r="G8" s="248" t="s">
        <v>203</v>
      </c>
      <c r="H8" s="248"/>
      <c r="I8" s="248"/>
      <c r="J8" s="248"/>
      <c r="K8" s="248"/>
      <c r="L8" s="248"/>
      <c r="M8" s="248" t="s">
        <v>204</v>
      </c>
    </row>
    <row r="9" spans="1:13" ht="20.100000000000001" customHeight="1">
      <c r="A9" s="248"/>
      <c r="B9" s="248" t="s">
        <v>4013</v>
      </c>
      <c r="C9" s="248" t="s">
        <v>4014</v>
      </c>
      <c r="D9" s="248"/>
      <c r="E9" s="248"/>
      <c r="F9" s="248"/>
      <c r="G9" s="248" t="s">
        <v>3611</v>
      </c>
      <c r="H9" s="248"/>
      <c r="I9" s="248"/>
      <c r="J9" s="248"/>
      <c r="K9" s="248"/>
      <c r="L9" s="248"/>
      <c r="M9" s="248" t="s">
        <v>196</v>
      </c>
    </row>
    <row r="10" spans="1:13" ht="20.100000000000001" customHeight="1">
      <c r="A10" s="248"/>
      <c r="B10" s="248" t="s">
        <v>4015</v>
      </c>
      <c r="C10" s="248" t="s">
        <v>4016</v>
      </c>
      <c r="D10" s="248"/>
      <c r="E10" s="248"/>
      <c r="F10" s="248"/>
      <c r="G10" s="248" t="s">
        <v>205</v>
      </c>
      <c r="H10" s="248"/>
      <c r="I10" s="248"/>
      <c r="J10" s="248"/>
      <c r="K10" s="248"/>
      <c r="L10" s="248"/>
      <c r="M10" s="248" t="s">
        <v>206</v>
      </c>
    </row>
    <row r="11" spans="1:13" ht="20.100000000000001" customHeight="1">
      <c r="A11" s="248"/>
      <c r="B11" s="248" t="s">
        <v>6129</v>
      </c>
      <c r="C11" s="248" t="s">
        <v>4036</v>
      </c>
      <c r="D11" s="248"/>
      <c r="E11" s="248"/>
      <c r="F11" s="248"/>
      <c r="G11" s="248" t="s">
        <v>6130</v>
      </c>
      <c r="H11" s="248"/>
      <c r="I11" s="248"/>
      <c r="J11" s="248"/>
      <c r="K11" s="248"/>
      <c r="L11" s="248"/>
      <c r="M11" s="248" t="s">
        <v>6131</v>
      </c>
    </row>
    <row r="12" spans="1:13" ht="20.100000000000001" customHeight="1">
      <c r="A12" s="248"/>
      <c r="B12" s="248" t="s">
        <v>6270</v>
      </c>
      <c r="C12" s="248" t="s">
        <v>4036</v>
      </c>
      <c r="D12" s="248"/>
      <c r="E12" s="248"/>
      <c r="F12" s="248"/>
      <c r="G12" s="248" t="s">
        <v>6271</v>
      </c>
      <c r="H12" s="248"/>
      <c r="I12" s="248"/>
      <c r="J12" s="248"/>
      <c r="K12" s="248"/>
      <c r="L12" s="248"/>
      <c r="M12" s="248" t="s">
        <v>6272</v>
      </c>
    </row>
    <row r="13" spans="1:13" ht="20.100000000000001" customHeight="1">
      <c r="A13" s="248"/>
      <c r="B13" s="248" t="s">
        <v>4017</v>
      </c>
      <c r="C13" s="248" t="s">
        <v>4012</v>
      </c>
      <c r="D13" s="248"/>
      <c r="E13" s="248"/>
      <c r="F13" s="248"/>
      <c r="G13" s="248" t="s">
        <v>207</v>
      </c>
      <c r="H13" s="248"/>
      <c r="I13" s="248"/>
      <c r="J13" s="248"/>
      <c r="K13" s="248"/>
      <c r="L13" s="248"/>
      <c r="M13" s="248" t="s">
        <v>208</v>
      </c>
    </row>
    <row r="14" spans="1:13" ht="20.100000000000001" customHeight="1">
      <c r="A14" s="248"/>
      <c r="B14" s="248" t="s">
        <v>6349</v>
      </c>
      <c r="C14" s="248" t="s">
        <v>4014</v>
      </c>
      <c r="D14" s="248"/>
      <c r="E14" s="248"/>
      <c r="F14" s="248"/>
      <c r="G14" s="248" t="s">
        <v>6350</v>
      </c>
      <c r="H14" s="248"/>
      <c r="I14" s="248"/>
      <c r="J14" s="248"/>
      <c r="K14" s="248"/>
      <c r="L14" s="248"/>
      <c r="M14" s="248" t="s">
        <v>196</v>
      </c>
    </row>
    <row r="15" spans="1:13" ht="20.100000000000001" customHeight="1">
      <c r="A15" s="248"/>
      <c r="B15" s="248" t="s">
        <v>4018</v>
      </c>
      <c r="C15" s="248" t="s">
        <v>4003</v>
      </c>
      <c r="D15" s="248"/>
      <c r="E15" s="248"/>
      <c r="F15" s="248"/>
      <c r="G15" s="248" t="s">
        <v>209</v>
      </c>
      <c r="H15" s="248"/>
      <c r="I15" s="248"/>
      <c r="J15" s="248"/>
      <c r="K15" s="248"/>
      <c r="L15" s="248"/>
      <c r="M15" s="248" t="s">
        <v>210</v>
      </c>
    </row>
    <row r="16" spans="1:13" ht="20.100000000000001" customHeight="1">
      <c r="A16" s="248"/>
      <c r="B16" s="248" t="s">
        <v>4019</v>
      </c>
      <c r="C16" s="248" t="s">
        <v>4016</v>
      </c>
      <c r="D16" s="248"/>
      <c r="E16" s="248"/>
      <c r="F16" s="248"/>
      <c r="G16" s="248" t="s">
        <v>211</v>
      </c>
      <c r="H16" s="248"/>
      <c r="I16" s="248"/>
      <c r="J16" s="248"/>
      <c r="K16" s="248"/>
      <c r="L16" s="248"/>
      <c r="M16" s="248" t="s">
        <v>212</v>
      </c>
    </row>
    <row r="17" spans="1:13" ht="20.100000000000001" customHeight="1">
      <c r="A17" s="248"/>
      <c r="B17" s="248" t="s">
        <v>4020</v>
      </c>
      <c r="C17" s="248" t="s">
        <v>4008</v>
      </c>
      <c r="D17" s="248"/>
      <c r="E17" s="248"/>
      <c r="F17" s="248"/>
      <c r="G17" s="248" t="s">
        <v>213</v>
      </c>
      <c r="H17" s="248"/>
      <c r="I17" s="248"/>
      <c r="J17" s="248"/>
      <c r="K17" s="248"/>
      <c r="L17" s="248"/>
      <c r="M17" s="248" t="s">
        <v>214</v>
      </c>
    </row>
    <row r="18" spans="1:13" ht="20.100000000000001" customHeight="1">
      <c r="A18" s="248"/>
      <c r="B18" s="248" t="s">
        <v>4021</v>
      </c>
      <c r="C18" s="248" t="s">
        <v>4008</v>
      </c>
      <c r="D18" s="248"/>
      <c r="E18" s="248"/>
      <c r="F18" s="248"/>
      <c r="G18" s="248" t="s">
        <v>215</v>
      </c>
      <c r="H18" s="248"/>
      <c r="I18" s="248"/>
      <c r="J18" s="248"/>
      <c r="K18" s="248"/>
      <c r="L18" s="248"/>
      <c r="M18" s="248" t="s">
        <v>216</v>
      </c>
    </row>
    <row r="19" spans="1:13" ht="20.100000000000001" customHeight="1">
      <c r="A19" s="248"/>
      <c r="B19" s="248" t="s">
        <v>4022</v>
      </c>
      <c r="C19" s="248" t="s">
        <v>4008</v>
      </c>
      <c r="D19" s="248"/>
      <c r="E19" s="248"/>
      <c r="F19" s="248"/>
      <c r="G19" s="248" t="s">
        <v>3716</v>
      </c>
      <c r="H19" s="248"/>
      <c r="I19" s="248"/>
      <c r="J19" s="248"/>
      <c r="K19" s="248"/>
      <c r="L19" s="248"/>
      <c r="M19" s="248" t="s">
        <v>216</v>
      </c>
    </row>
    <row r="20" spans="1:13" ht="20.100000000000001" customHeight="1">
      <c r="A20" s="248"/>
      <c r="B20" s="248" t="s">
        <v>4023</v>
      </c>
      <c r="C20" s="248" t="s">
        <v>4008</v>
      </c>
      <c r="D20" s="248"/>
      <c r="E20" s="248"/>
      <c r="F20" s="248"/>
      <c r="G20" s="248" t="s">
        <v>3625</v>
      </c>
      <c r="H20" s="248"/>
      <c r="I20" s="248"/>
      <c r="J20" s="248"/>
      <c r="K20" s="248"/>
      <c r="L20" s="248"/>
      <c r="M20" s="248" t="s">
        <v>3626</v>
      </c>
    </row>
    <row r="21" spans="1:13" ht="20.100000000000001" customHeight="1">
      <c r="A21" s="248"/>
      <c r="B21" s="248" t="s">
        <v>4024</v>
      </c>
      <c r="C21" s="248" t="s">
        <v>4025</v>
      </c>
      <c r="D21" s="248"/>
      <c r="E21" s="248"/>
      <c r="F21" s="248"/>
      <c r="G21" s="248" t="s">
        <v>217</v>
      </c>
      <c r="H21" s="248"/>
      <c r="I21" s="248"/>
      <c r="J21" s="248"/>
      <c r="K21" s="248"/>
      <c r="L21" s="248"/>
      <c r="M21" s="248" t="s">
        <v>3550</v>
      </c>
    </row>
    <row r="22" spans="1:13" ht="20.100000000000001" customHeight="1">
      <c r="A22" s="248"/>
      <c r="B22" s="248" t="s">
        <v>4026</v>
      </c>
      <c r="C22" s="248" t="s">
        <v>4016</v>
      </c>
      <c r="D22" s="248"/>
      <c r="E22" s="248"/>
      <c r="F22" s="248"/>
      <c r="G22" s="248" t="s">
        <v>218</v>
      </c>
      <c r="H22" s="248"/>
      <c r="I22" s="248"/>
      <c r="J22" s="248"/>
      <c r="K22" s="248"/>
      <c r="L22" s="248"/>
      <c r="M22" s="248" t="s">
        <v>3891</v>
      </c>
    </row>
    <row r="23" spans="1:13" ht="20.100000000000001" customHeight="1">
      <c r="A23" s="248"/>
      <c r="B23" s="248" t="s">
        <v>4027</v>
      </c>
      <c r="C23" s="248" t="s">
        <v>4016</v>
      </c>
      <c r="D23" s="248"/>
      <c r="E23" s="248"/>
      <c r="F23" s="248"/>
      <c r="G23" s="248" t="s">
        <v>219</v>
      </c>
      <c r="H23" s="248"/>
      <c r="I23" s="248"/>
      <c r="J23" s="248"/>
      <c r="K23" s="248"/>
      <c r="L23" s="248"/>
      <c r="M23" s="248" t="s">
        <v>220</v>
      </c>
    </row>
    <row r="24" spans="1:13" ht="20.100000000000001" customHeight="1">
      <c r="A24" s="248"/>
      <c r="B24" s="248" t="s">
        <v>4028</v>
      </c>
      <c r="C24" s="248" t="s">
        <v>4014</v>
      </c>
      <c r="D24" s="248"/>
      <c r="E24" s="248"/>
      <c r="F24" s="248"/>
      <c r="G24" s="248" t="s">
        <v>221</v>
      </c>
      <c r="H24" s="248"/>
      <c r="I24" s="248"/>
      <c r="J24" s="248"/>
      <c r="K24" s="248"/>
      <c r="L24" s="248"/>
      <c r="M24" s="248" t="s">
        <v>222</v>
      </c>
    </row>
    <row r="25" spans="1:13" ht="20.100000000000001" customHeight="1">
      <c r="A25" s="248"/>
      <c r="B25" s="248" t="s">
        <v>4029</v>
      </c>
      <c r="C25" s="248" t="s">
        <v>4030</v>
      </c>
      <c r="D25" s="248"/>
      <c r="E25" s="248"/>
      <c r="F25" s="248"/>
      <c r="G25" s="248" t="s">
        <v>223</v>
      </c>
      <c r="H25" s="248"/>
      <c r="I25" s="248"/>
      <c r="J25" s="248"/>
      <c r="K25" s="248"/>
      <c r="L25" s="248"/>
      <c r="M25" s="248" t="s">
        <v>224</v>
      </c>
    </row>
    <row r="26" spans="1:13" ht="20.100000000000001" customHeight="1">
      <c r="A26" s="248"/>
      <c r="B26" s="248" t="s">
        <v>4031</v>
      </c>
      <c r="C26" s="248" t="s">
        <v>4016</v>
      </c>
      <c r="D26" s="248"/>
      <c r="E26" s="248"/>
      <c r="F26" s="248"/>
      <c r="G26" s="248" t="s">
        <v>225</v>
      </c>
      <c r="H26" s="248"/>
      <c r="I26" s="248"/>
      <c r="J26" s="248"/>
      <c r="K26" s="248"/>
      <c r="L26" s="248"/>
      <c r="M26" s="248" t="s">
        <v>226</v>
      </c>
    </row>
    <row r="27" spans="1:13" ht="20.100000000000001" customHeight="1">
      <c r="A27" s="248"/>
      <c r="B27" s="248" t="s">
        <v>4032</v>
      </c>
      <c r="C27" s="248" t="s">
        <v>4008</v>
      </c>
      <c r="D27" s="248"/>
      <c r="E27" s="248"/>
      <c r="F27" s="248"/>
      <c r="G27" s="248" t="s">
        <v>3130</v>
      </c>
      <c r="H27" s="248"/>
      <c r="I27" s="248"/>
      <c r="J27" s="248"/>
      <c r="K27" s="248"/>
      <c r="L27" s="248"/>
      <c r="M27" s="248" t="s">
        <v>3131</v>
      </c>
    </row>
    <row r="28" spans="1:13" ht="20.100000000000001" customHeight="1">
      <c r="A28" s="248"/>
      <c r="B28" s="248" t="s">
        <v>4033</v>
      </c>
      <c r="C28" s="248" t="s">
        <v>4012</v>
      </c>
      <c r="D28" s="248"/>
      <c r="E28" s="248"/>
      <c r="F28" s="248"/>
      <c r="G28" s="248" t="s">
        <v>227</v>
      </c>
      <c r="H28" s="248"/>
      <c r="I28" s="248"/>
      <c r="J28" s="248"/>
      <c r="K28" s="248"/>
      <c r="L28" s="248"/>
      <c r="M28" s="248" t="s">
        <v>228</v>
      </c>
    </row>
    <row r="29" spans="1:13" ht="20.100000000000001" customHeight="1">
      <c r="A29" s="248"/>
      <c r="B29" s="248" t="s">
        <v>4034</v>
      </c>
      <c r="C29" s="248" t="s">
        <v>4025</v>
      </c>
      <c r="D29" s="248"/>
      <c r="E29" s="248"/>
      <c r="F29" s="248"/>
      <c r="G29" s="248" t="s">
        <v>229</v>
      </c>
      <c r="H29" s="248"/>
      <c r="I29" s="248"/>
      <c r="J29" s="248"/>
      <c r="K29" s="248"/>
      <c r="L29" s="248"/>
      <c r="M29" s="248" t="s">
        <v>230</v>
      </c>
    </row>
    <row r="30" spans="1:13" ht="20.100000000000001" customHeight="1">
      <c r="A30" s="248"/>
      <c r="B30" s="248" t="s">
        <v>6351</v>
      </c>
      <c r="C30" s="248" t="s">
        <v>4012</v>
      </c>
      <c r="D30" s="248"/>
      <c r="E30" s="248"/>
      <c r="F30" s="248"/>
      <c r="G30" s="248" t="s">
        <v>6352</v>
      </c>
      <c r="H30" s="248"/>
      <c r="I30" s="248"/>
      <c r="J30" s="248"/>
      <c r="K30" s="248"/>
      <c r="L30" s="248"/>
      <c r="M30" s="248" t="s">
        <v>6353</v>
      </c>
    </row>
    <row r="31" spans="1:13" ht="20.100000000000001" customHeight="1">
      <c r="A31" s="248"/>
      <c r="B31" s="248" t="s">
        <v>6474</v>
      </c>
      <c r="C31" s="248" t="s">
        <v>4012</v>
      </c>
      <c r="D31" s="248"/>
      <c r="E31" s="248"/>
      <c r="F31" s="248"/>
      <c r="G31" s="248" t="s">
        <v>6475</v>
      </c>
      <c r="H31" s="248"/>
      <c r="I31" s="248"/>
      <c r="J31" s="248"/>
      <c r="K31" s="248"/>
      <c r="L31" s="248"/>
      <c r="M31" s="248" t="s">
        <v>6476</v>
      </c>
    </row>
    <row r="32" spans="1:13" ht="20.100000000000001" customHeight="1">
      <c r="A32" s="248"/>
      <c r="B32" s="248" t="s">
        <v>4035</v>
      </c>
      <c r="C32" s="248" t="s">
        <v>4036</v>
      </c>
      <c r="D32" s="248"/>
      <c r="E32" s="248"/>
      <c r="F32" s="248"/>
      <c r="G32" s="248" t="s">
        <v>231</v>
      </c>
      <c r="H32" s="248"/>
      <c r="I32" s="248"/>
      <c r="J32" s="248"/>
      <c r="K32" s="248"/>
      <c r="L32" s="248"/>
      <c r="M32" s="248" t="s">
        <v>232</v>
      </c>
    </row>
    <row r="33" spans="1:13" ht="20.100000000000001" customHeight="1">
      <c r="A33" s="248"/>
      <c r="B33" s="248" t="s">
        <v>4037</v>
      </c>
      <c r="C33" s="248" t="s">
        <v>4014</v>
      </c>
      <c r="D33" s="248"/>
      <c r="E33" s="248"/>
      <c r="F33" s="248"/>
      <c r="G33" s="248" t="s">
        <v>3280</v>
      </c>
      <c r="H33" s="248"/>
      <c r="I33" s="248"/>
      <c r="J33" s="248"/>
      <c r="K33" s="248"/>
      <c r="L33" s="248"/>
      <c r="M33" s="248" t="s">
        <v>196</v>
      </c>
    </row>
    <row r="34" spans="1:13" ht="20.100000000000001" customHeight="1">
      <c r="A34" s="248"/>
      <c r="B34" s="248" t="s">
        <v>4038</v>
      </c>
      <c r="C34" s="248" t="s">
        <v>4025</v>
      </c>
      <c r="D34" s="248"/>
      <c r="E34" s="248"/>
      <c r="F34" s="248"/>
      <c r="G34" s="248" t="s">
        <v>233</v>
      </c>
      <c r="H34" s="248"/>
      <c r="I34" s="248"/>
      <c r="J34" s="248"/>
      <c r="K34" s="248"/>
      <c r="L34" s="248"/>
      <c r="M34" s="248" t="s">
        <v>234</v>
      </c>
    </row>
    <row r="35" spans="1:13" ht="20.100000000000001" customHeight="1">
      <c r="A35" s="248"/>
      <c r="B35" s="248" t="s">
        <v>4039</v>
      </c>
      <c r="C35" s="248" t="s">
        <v>4016</v>
      </c>
      <c r="D35" s="248"/>
      <c r="E35" s="248"/>
      <c r="F35" s="248"/>
      <c r="G35" s="248" t="s">
        <v>6354</v>
      </c>
      <c r="H35" s="248"/>
      <c r="I35" s="248"/>
      <c r="J35" s="248"/>
      <c r="K35" s="248"/>
      <c r="L35" s="248"/>
      <c r="M35" s="248" t="s">
        <v>236</v>
      </c>
    </row>
    <row r="36" spans="1:13" ht="20.100000000000001" customHeight="1">
      <c r="A36" s="248"/>
      <c r="B36" s="248" t="s">
        <v>4040</v>
      </c>
      <c r="C36" s="248" t="s">
        <v>4016</v>
      </c>
      <c r="D36" s="248"/>
      <c r="E36" s="248"/>
      <c r="F36" s="248"/>
      <c r="G36" s="248" t="s">
        <v>3038</v>
      </c>
      <c r="H36" s="248"/>
      <c r="I36" s="248"/>
      <c r="J36" s="248"/>
      <c r="K36" s="248"/>
      <c r="L36" s="248"/>
      <c r="M36" s="248" t="s">
        <v>3039</v>
      </c>
    </row>
    <row r="37" spans="1:13" ht="20.100000000000001" customHeight="1">
      <c r="A37" s="248"/>
      <c r="B37" s="248" t="s">
        <v>4041</v>
      </c>
      <c r="C37" s="248" t="s">
        <v>4003</v>
      </c>
      <c r="D37" s="248"/>
      <c r="E37" s="248"/>
      <c r="F37" s="248"/>
      <c r="G37" s="248" t="s">
        <v>237</v>
      </c>
      <c r="H37" s="248"/>
      <c r="I37" s="248"/>
      <c r="J37" s="248"/>
      <c r="K37" s="248"/>
      <c r="L37" s="248"/>
      <c r="M37" s="248" t="s">
        <v>238</v>
      </c>
    </row>
    <row r="38" spans="1:13" ht="20.100000000000001" customHeight="1">
      <c r="A38" s="248"/>
      <c r="B38" s="248" t="s">
        <v>4042</v>
      </c>
      <c r="C38" s="248" t="s">
        <v>4014</v>
      </c>
      <c r="D38" s="248"/>
      <c r="E38" s="248"/>
      <c r="F38" s="248"/>
      <c r="G38" s="248" t="s">
        <v>239</v>
      </c>
      <c r="H38" s="248"/>
      <c r="I38" s="248"/>
      <c r="J38" s="248"/>
      <c r="K38" s="248"/>
      <c r="L38" s="248"/>
      <c r="M38" s="248" t="s">
        <v>3550</v>
      </c>
    </row>
    <row r="39" spans="1:13" ht="20.100000000000001" customHeight="1">
      <c r="A39" s="248"/>
      <c r="B39" s="248" t="s">
        <v>4043</v>
      </c>
      <c r="C39" s="248" t="s">
        <v>4003</v>
      </c>
      <c r="D39" s="248"/>
      <c r="E39" s="248"/>
      <c r="F39" s="248"/>
      <c r="G39" s="248" t="s">
        <v>240</v>
      </c>
      <c r="H39" s="248"/>
      <c r="I39" s="248"/>
      <c r="J39" s="248"/>
      <c r="K39" s="248"/>
      <c r="L39" s="248"/>
      <c r="M39" s="248" t="s">
        <v>241</v>
      </c>
    </row>
    <row r="40" spans="1:13" ht="20.100000000000001" customHeight="1">
      <c r="A40" s="248"/>
      <c r="B40" s="248" t="s">
        <v>4044</v>
      </c>
      <c r="C40" s="248" t="s">
        <v>4012</v>
      </c>
      <c r="D40" s="248"/>
      <c r="E40" s="248"/>
      <c r="F40" s="248"/>
      <c r="G40" s="248" t="s">
        <v>242</v>
      </c>
      <c r="H40" s="248"/>
      <c r="I40" s="248"/>
      <c r="J40" s="248"/>
      <c r="K40" s="248"/>
      <c r="L40" s="248"/>
      <c r="M40" s="248" t="s">
        <v>243</v>
      </c>
    </row>
    <row r="41" spans="1:13" ht="20.100000000000001" customHeight="1">
      <c r="A41" s="248"/>
      <c r="B41" s="248" t="s">
        <v>4045</v>
      </c>
      <c r="C41" s="248" t="s">
        <v>4003</v>
      </c>
      <c r="D41" s="248"/>
      <c r="E41" s="248"/>
      <c r="F41" s="248"/>
      <c r="G41" s="248" t="s">
        <v>244</v>
      </c>
      <c r="H41" s="248"/>
      <c r="I41" s="248"/>
      <c r="J41" s="248"/>
      <c r="K41" s="248"/>
      <c r="L41" s="248"/>
      <c r="M41" s="248" t="s">
        <v>245</v>
      </c>
    </row>
    <row r="42" spans="1:13" ht="20.100000000000001" customHeight="1">
      <c r="A42" s="248"/>
      <c r="B42" s="248" t="s">
        <v>4046</v>
      </c>
      <c r="C42" s="248" t="s">
        <v>4030</v>
      </c>
      <c r="D42" s="248"/>
      <c r="E42" s="248"/>
      <c r="F42" s="248"/>
      <c r="G42" s="248" t="s">
        <v>3204</v>
      </c>
      <c r="H42" s="248"/>
      <c r="I42" s="248"/>
      <c r="J42" s="248"/>
      <c r="K42" s="248"/>
      <c r="L42" s="248"/>
      <c r="M42" s="248" t="s">
        <v>196</v>
      </c>
    </row>
    <row r="43" spans="1:13" ht="20.100000000000001" customHeight="1">
      <c r="A43" s="248"/>
      <c r="B43" s="248" t="s">
        <v>4047</v>
      </c>
      <c r="C43" s="248" t="s">
        <v>4036</v>
      </c>
      <c r="D43" s="248"/>
      <c r="E43" s="248"/>
      <c r="F43" s="248"/>
      <c r="G43" s="248" t="s">
        <v>246</v>
      </c>
      <c r="H43" s="248"/>
      <c r="I43" s="248"/>
      <c r="J43" s="248"/>
      <c r="K43" s="248"/>
      <c r="L43" s="248"/>
      <c r="M43" s="248" t="s">
        <v>247</v>
      </c>
    </row>
    <row r="44" spans="1:13" ht="20.100000000000001" customHeight="1">
      <c r="A44" s="248"/>
      <c r="B44" s="248" t="s">
        <v>4048</v>
      </c>
      <c r="C44" s="248" t="s">
        <v>4016</v>
      </c>
      <c r="D44" s="248"/>
      <c r="E44" s="248"/>
      <c r="F44" s="248"/>
      <c r="G44" s="248" t="s">
        <v>248</v>
      </c>
      <c r="H44" s="248"/>
      <c r="I44" s="248"/>
      <c r="J44" s="248"/>
      <c r="K44" s="248"/>
      <c r="L44" s="248"/>
      <c r="M44" s="248" t="s">
        <v>249</v>
      </c>
    </row>
    <row r="45" spans="1:13" ht="20.100000000000001" customHeight="1">
      <c r="A45" s="248"/>
      <c r="B45" s="248" t="s">
        <v>4049</v>
      </c>
      <c r="C45" s="248" t="s">
        <v>4050</v>
      </c>
      <c r="D45" s="248"/>
      <c r="E45" s="248"/>
      <c r="F45" s="248"/>
      <c r="G45" s="248" t="s">
        <v>250</v>
      </c>
      <c r="H45" s="248"/>
      <c r="I45" s="248"/>
      <c r="J45" s="248"/>
      <c r="K45" s="248"/>
      <c r="L45" s="248"/>
      <c r="M45" s="248" t="s">
        <v>251</v>
      </c>
    </row>
    <row r="46" spans="1:13" ht="20.100000000000001" customHeight="1">
      <c r="A46" s="248"/>
      <c r="B46" s="248" t="s">
        <v>4051</v>
      </c>
      <c r="C46" s="248" t="s">
        <v>4014</v>
      </c>
      <c r="D46" s="248"/>
      <c r="E46" s="248"/>
      <c r="F46" s="248"/>
      <c r="G46" s="248" t="s">
        <v>6600</v>
      </c>
      <c r="H46" s="248"/>
      <c r="I46" s="248"/>
      <c r="J46" s="248"/>
      <c r="K46" s="248"/>
      <c r="L46" s="248"/>
      <c r="M46" s="248" t="s">
        <v>3550</v>
      </c>
    </row>
    <row r="47" spans="1:13" ht="20.100000000000001" customHeight="1">
      <c r="A47" s="248"/>
      <c r="B47" s="248" t="s">
        <v>4052</v>
      </c>
      <c r="C47" s="248" t="s">
        <v>4050</v>
      </c>
      <c r="D47" s="248"/>
      <c r="E47" s="248"/>
      <c r="F47" s="248"/>
      <c r="G47" s="248" t="s">
        <v>3014</v>
      </c>
      <c r="H47" s="248"/>
      <c r="I47" s="248"/>
      <c r="J47" s="248"/>
      <c r="K47" s="248"/>
      <c r="L47" s="248"/>
      <c r="M47" s="248" t="s">
        <v>251</v>
      </c>
    </row>
    <row r="48" spans="1:13" ht="20.100000000000001" customHeight="1">
      <c r="A48" s="248"/>
      <c r="B48" s="248" t="s">
        <v>4053</v>
      </c>
      <c r="C48" s="248" t="s">
        <v>4014</v>
      </c>
      <c r="D48" s="248"/>
      <c r="E48" s="248"/>
      <c r="F48" s="248"/>
      <c r="G48" s="248" t="s">
        <v>252</v>
      </c>
      <c r="H48" s="248"/>
      <c r="I48" s="248"/>
      <c r="J48" s="248"/>
      <c r="K48" s="248"/>
      <c r="L48" s="248"/>
      <c r="M48" s="248" t="s">
        <v>3550</v>
      </c>
    </row>
    <row r="49" spans="1:13" ht="20.100000000000001" customHeight="1">
      <c r="A49" s="248"/>
      <c r="B49" s="248" t="s">
        <v>4054</v>
      </c>
      <c r="C49" s="248" t="s">
        <v>4014</v>
      </c>
      <c r="D49" s="248"/>
      <c r="E49" s="248"/>
      <c r="F49" s="248"/>
      <c r="G49" s="248" t="s">
        <v>3442</v>
      </c>
      <c r="H49" s="248"/>
      <c r="I49" s="248"/>
      <c r="J49" s="248"/>
      <c r="K49" s="248"/>
      <c r="L49" s="248"/>
      <c r="M49" s="248" t="s">
        <v>196</v>
      </c>
    </row>
    <row r="50" spans="1:13" ht="20.100000000000001" customHeight="1">
      <c r="A50" s="248"/>
      <c r="B50" s="248" t="s">
        <v>6601</v>
      </c>
      <c r="C50" s="248" t="s">
        <v>4003</v>
      </c>
      <c r="D50" s="248"/>
      <c r="E50" s="248"/>
      <c r="F50" s="248"/>
      <c r="G50" s="248" t="s">
        <v>6602</v>
      </c>
      <c r="H50" s="248"/>
      <c r="I50" s="248"/>
      <c r="J50" s="248"/>
      <c r="K50" s="248"/>
      <c r="L50" s="248"/>
      <c r="M50" s="248" t="s">
        <v>3550</v>
      </c>
    </row>
    <row r="51" spans="1:13" ht="20.100000000000001" customHeight="1">
      <c r="A51" s="248"/>
      <c r="B51" s="248" t="s">
        <v>4055</v>
      </c>
      <c r="C51" s="248" t="s">
        <v>4030</v>
      </c>
      <c r="D51" s="248"/>
      <c r="E51" s="248"/>
      <c r="F51" s="248"/>
      <c r="G51" s="248" t="s">
        <v>3053</v>
      </c>
      <c r="H51" s="248"/>
      <c r="I51" s="248"/>
      <c r="J51" s="248"/>
      <c r="K51" s="248"/>
      <c r="L51" s="248"/>
      <c r="M51" s="248" t="s">
        <v>3054</v>
      </c>
    </row>
    <row r="52" spans="1:13" ht="20.100000000000001" customHeight="1">
      <c r="A52" s="248"/>
      <c r="B52" s="248" t="s">
        <v>4056</v>
      </c>
      <c r="C52" s="248" t="s">
        <v>4057</v>
      </c>
      <c r="D52" s="248"/>
      <c r="E52" s="248"/>
      <c r="F52" s="248"/>
      <c r="G52" s="248" t="s">
        <v>6425</v>
      </c>
      <c r="H52" s="248"/>
      <c r="I52" s="248"/>
      <c r="J52" s="248"/>
      <c r="K52" s="248"/>
      <c r="L52" s="248"/>
      <c r="M52" s="248" t="s">
        <v>253</v>
      </c>
    </row>
    <row r="53" spans="1:13" ht="20.100000000000001" customHeight="1">
      <c r="A53" s="248"/>
      <c r="B53" s="248" t="s">
        <v>6603</v>
      </c>
      <c r="C53" s="248" t="s">
        <v>4025</v>
      </c>
      <c r="D53" s="248"/>
      <c r="E53" s="248"/>
      <c r="F53" s="248"/>
      <c r="G53" s="248" t="s">
        <v>6604</v>
      </c>
      <c r="H53" s="248"/>
      <c r="I53" s="248"/>
      <c r="J53" s="248"/>
      <c r="K53" s="248"/>
      <c r="L53" s="248"/>
      <c r="M53" s="248" t="s">
        <v>6605</v>
      </c>
    </row>
    <row r="54" spans="1:13" ht="20.100000000000001" customHeight="1">
      <c r="A54" s="248"/>
      <c r="B54" s="248" t="s">
        <v>4058</v>
      </c>
      <c r="C54" s="248" t="s">
        <v>4012</v>
      </c>
      <c r="D54" s="248"/>
      <c r="E54" s="248"/>
      <c r="F54" s="248"/>
      <c r="G54" s="248" t="s">
        <v>3293</v>
      </c>
      <c r="H54" s="248"/>
      <c r="I54" s="248"/>
      <c r="J54" s="248"/>
      <c r="K54" s="248"/>
      <c r="L54" s="248"/>
      <c r="M54" s="248" t="s">
        <v>254</v>
      </c>
    </row>
    <row r="55" spans="1:13" ht="20.100000000000001" customHeight="1">
      <c r="A55" s="248"/>
      <c r="B55" s="248" t="s">
        <v>4059</v>
      </c>
      <c r="C55" s="248" t="s">
        <v>4036</v>
      </c>
      <c r="D55" s="248"/>
      <c r="E55" s="248"/>
      <c r="F55" s="248"/>
      <c r="G55" s="248" t="s">
        <v>255</v>
      </c>
      <c r="H55" s="248"/>
      <c r="I55" s="248"/>
      <c r="J55" s="248"/>
      <c r="K55" s="248"/>
      <c r="L55" s="248"/>
      <c r="M55" s="248" t="s">
        <v>256</v>
      </c>
    </row>
    <row r="56" spans="1:13" ht="20.100000000000001" customHeight="1">
      <c r="A56" s="248"/>
      <c r="B56" s="248" t="s">
        <v>4060</v>
      </c>
      <c r="C56" s="248" t="s">
        <v>4008</v>
      </c>
      <c r="D56" s="248"/>
      <c r="E56" s="248"/>
      <c r="F56" s="248"/>
      <c r="G56" s="248" t="s">
        <v>257</v>
      </c>
      <c r="H56" s="248"/>
      <c r="I56" s="248"/>
      <c r="J56" s="248"/>
      <c r="K56" s="248"/>
      <c r="L56" s="248"/>
      <c r="M56" s="248" t="s">
        <v>258</v>
      </c>
    </row>
    <row r="57" spans="1:13" ht="20.100000000000001" customHeight="1">
      <c r="A57" s="248"/>
      <c r="B57" s="248" t="s">
        <v>4061</v>
      </c>
      <c r="C57" s="248" t="s">
        <v>4012</v>
      </c>
      <c r="D57" s="248"/>
      <c r="E57" s="248"/>
      <c r="F57" s="248"/>
      <c r="G57" s="248" t="s">
        <v>3495</v>
      </c>
      <c r="H57" s="248"/>
      <c r="I57" s="248"/>
      <c r="J57" s="248"/>
      <c r="K57" s="248"/>
      <c r="L57" s="248"/>
      <c r="M57" s="248" t="s">
        <v>3366</v>
      </c>
    </row>
    <row r="58" spans="1:13" ht="20.100000000000001" customHeight="1">
      <c r="A58" s="248"/>
      <c r="B58" s="248" t="s">
        <v>4062</v>
      </c>
      <c r="C58" s="248" t="s">
        <v>4012</v>
      </c>
      <c r="D58" s="248"/>
      <c r="E58" s="248"/>
      <c r="F58" s="248"/>
      <c r="G58" s="248" t="s">
        <v>259</v>
      </c>
      <c r="H58" s="248"/>
      <c r="I58" s="248"/>
      <c r="J58" s="248"/>
      <c r="K58" s="248"/>
      <c r="L58" s="248"/>
      <c r="M58" s="248" t="s">
        <v>3550</v>
      </c>
    </row>
    <row r="59" spans="1:13" ht="20.100000000000001" customHeight="1">
      <c r="A59" s="248"/>
      <c r="B59" s="248" t="s">
        <v>4063</v>
      </c>
      <c r="C59" s="248" t="s">
        <v>4012</v>
      </c>
      <c r="D59" s="248"/>
      <c r="E59" s="248"/>
      <c r="F59" s="248"/>
      <c r="G59" s="248" t="s">
        <v>3365</v>
      </c>
      <c r="H59" s="248"/>
      <c r="I59" s="248"/>
      <c r="J59" s="248"/>
      <c r="K59" s="248"/>
      <c r="L59" s="248"/>
      <c r="M59" s="248" t="s">
        <v>3366</v>
      </c>
    </row>
    <row r="60" spans="1:13" ht="20.100000000000001" customHeight="1">
      <c r="A60" s="248"/>
      <c r="B60" s="248" t="s">
        <v>6215</v>
      </c>
      <c r="C60" s="248" t="s">
        <v>4008</v>
      </c>
      <c r="D60" s="248"/>
      <c r="E60" s="248"/>
      <c r="F60" s="248"/>
      <c r="G60" s="248" t="s">
        <v>6216</v>
      </c>
      <c r="H60" s="248"/>
      <c r="I60" s="248"/>
      <c r="J60" s="248"/>
      <c r="K60" s="248"/>
      <c r="L60" s="248"/>
      <c r="M60" s="248" t="s">
        <v>6217</v>
      </c>
    </row>
    <row r="61" spans="1:13" ht="20.100000000000001" customHeight="1">
      <c r="A61" s="248"/>
      <c r="B61" s="248" t="s">
        <v>4064</v>
      </c>
      <c r="C61" s="248" t="s">
        <v>4014</v>
      </c>
      <c r="D61" s="248"/>
      <c r="E61" s="248"/>
      <c r="F61" s="248"/>
      <c r="G61" s="248" t="s">
        <v>260</v>
      </c>
      <c r="H61" s="248"/>
      <c r="I61" s="248"/>
      <c r="J61" s="248"/>
      <c r="K61" s="248"/>
      <c r="L61" s="248"/>
      <c r="M61" s="248" t="s">
        <v>3550</v>
      </c>
    </row>
    <row r="62" spans="1:13" ht="20.100000000000001" customHeight="1">
      <c r="A62" s="248"/>
      <c r="B62" s="248" t="s">
        <v>4065</v>
      </c>
      <c r="C62" s="248" t="s">
        <v>4003</v>
      </c>
      <c r="D62" s="248"/>
      <c r="E62" s="248"/>
      <c r="F62" s="248"/>
      <c r="G62" s="248" t="s">
        <v>261</v>
      </c>
      <c r="H62" s="248"/>
      <c r="I62" s="248"/>
      <c r="J62" s="248"/>
      <c r="K62" s="248"/>
      <c r="L62" s="248"/>
      <c r="M62" s="248" t="s">
        <v>262</v>
      </c>
    </row>
    <row r="63" spans="1:13" ht="20.100000000000001" customHeight="1">
      <c r="A63" s="248"/>
      <c r="B63" s="248" t="s">
        <v>4066</v>
      </c>
      <c r="C63" s="248" t="s">
        <v>4014</v>
      </c>
      <c r="D63" s="248"/>
      <c r="E63" s="248"/>
      <c r="F63" s="248"/>
      <c r="G63" s="248" t="s">
        <v>263</v>
      </c>
      <c r="H63" s="248"/>
      <c r="I63" s="248"/>
      <c r="J63" s="248"/>
      <c r="K63" s="248"/>
      <c r="L63" s="248"/>
      <c r="M63" s="248" t="s">
        <v>264</v>
      </c>
    </row>
    <row r="64" spans="1:13" ht="20.100000000000001" customHeight="1">
      <c r="A64" s="248"/>
      <c r="B64" s="248" t="s">
        <v>4067</v>
      </c>
      <c r="C64" s="248" t="s">
        <v>4014</v>
      </c>
      <c r="D64" s="248"/>
      <c r="E64" s="248"/>
      <c r="F64" s="248"/>
      <c r="G64" s="248" t="s">
        <v>265</v>
      </c>
      <c r="H64" s="248"/>
      <c r="I64" s="248"/>
      <c r="J64" s="248"/>
      <c r="K64" s="248"/>
      <c r="L64" s="248"/>
      <c r="M64" s="248" t="s">
        <v>266</v>
      </c>
    </row>
    <row r="65" spans="1:13" ht="20.100000000000001" customHeight="1">
      <c r="A65" s="248"/>
      <c r="B65" s="248" t="s">
        <v>4068</v>
      </c>
      <c r="C65" s="248" t="s">
        <v>4025</v>
      </c>
      <c r="D65" s="248"/>
      <c r="E65" s="248"/>
      <c r="F65" s="248"/>
      <c r="G65" s="248" t="s">
        <v>267</v>
      </c>
      <c r="H65" s="248"/>
      <c r="I65" s="248"/>
      <c r="J65" s="248"/>
      <c r="K65" s="248"/>
      <c r="L65" s="248"/>
      <c r="M65" s="248" t="s">
        <v>268</v>
      </c>
    </row>
    <row r="66" spans="1:13" ht="20.100000000000001" customHeight="1">
      <c r="A66" s="248"/>
      <c r="B66" s="248" t="s">
        <v>4069</v>
      </c>
      <c r="C66" s="248" t="s">
        <v>4016</v>
      </c>
      <c r="D66" s="248"/>
      <c r="E66" s="248"/>
      <c r="F66" s="248"/>
      <c r="G66" s="248" t="s">
        <v>3368</v>
      </c>
      <c r="H66" s="248"/>
      <c r="I66" s="248"/>
      <c r="J66" s="248"/>
      <c r="K66" s="248"/>
      <c r="L66" s="248"/>
      <c r="M66" s="248" t="s">
        <v>3369</v>
      </c>
    </row>
    <row r="67" spans="1:13" ht="20.100000000000001" customHeight="1">
      <c r="A67" s="248"/>
      <c r="B67" s="248" t="s">
        <v>4070</v>
      </c>
      <c r="C67" s="248" t="s">
        <v>4036</v>
      </c>
      <c r="D67" s="248"/>
      <c r="E67" s="248"/>
      <c r="F67" s="248"/>
      <c r="G67" s="248" t="s">
        <v>3252</v>
      </c>
      <c r="H67" s="248"/>
      <c r="I67" s="248"/>
      <c r="J67" s="248"/>
      <c r="K67" s="248"/>
      <c r="L67" s="248"/>
      <c r="M67" s="248" t="s">
        <v>269</v>
      </c>
    </row>
    <row r="68" spans="1:13" ht="20.100000000000001" customHeight="1">
      <c r="A68" s="248"/>
      <c r="B68" s="248" t="s">
        <v>4071</v>
      </c>
      <c r="C68" s="248" t="s">
        <v>4016</v>
      </c>
      <c r="D68" s="248"/>
      <c r="E68" s="248"/>
      <c r="F68" s="248"/>
      <c r="G68" s="248" t="s">
        <v>270</v>
      </c>
      <c r="H68" s="248"/>
      <c r="I68" s="248"/>
      <c r="J68" s="248"/>
      <c r="K68" s="248"/>
      <c r="L68" s="248"/>
      <c r="M68" s="248" t="s">
        <v>271</v>
      </c>
    </row>
    <row r="69" spans="1:13" ht="20.100000000000001" customHeight="1">
      <c r="A69" s="248"/>
      <c r="B69" s="248" t="s">
        <v>4072</v>
      </c>
      <c r="C69" s="248" t="s">
        <v>4030</v>
      </c>
      <c r="D69" s="248"/>
      <c r="E69" s="248"/>
      <c r="F69" s="248"/>
      <c r="G69" s="248" t="s">
        <v>272</v>
      </c>
      <c r="H69" s="248"/>
      <c r="I69" s="248"/>
      <c r="J69" s="248"/>
      <c r="K69" s="248"/>
      <c r="L69" s="248"/>
      <c r="M69" s="248" t="s">
        <v>3550</v>
      </c>
    </row>
    <row r="70" spans="1:13" ht="20.100000000000001" customHeight="1">
      <c r="A70" s="248"/>
      <c r="B70" s="248" t="s">
        <v>6273</v>
      </c>
      <c r="C70" s="248" t="s">
        <v>4016</v>
      </c>
      <c r="D70" s="248"/>
      <c r="E70" s="248"/>
      <c r="F70" s="248"/>
      <c r="G70" s="248" t="s">
        <v>6274</v>
      </c>
      <c r="H70" s="248"/>
      <c r="I70" s="248"/>
      <c r="J70" s="248"/>
      <c r="K70" s="248"/>
      <c r="L70" s="248"/>
      <c r="M70" s="248" t="s">
        <v>273</v>
      </c>
    </row>
    <row r="71" spans="1:13" ht="20.100000000000001" customHeight="1">
      <c r="A71" s="248"/>
      <c r="B71" s="248" t="s">
        <v>6275</v>
      </c>
      <c r="C71" s="248" t="s">
        <v>4014</v>
      </c>
      <c r="D71" s="248"/>
      <c r="E71" s="248"/>
      <c r="F71" s="248"/>
      <c r="G71" s="248" t="s">
        <v>6276</v>
      </c>
      <c r="H71" s="248"/>
      <c r="I71" s="248"/>
      <c r="J71" s="248"/>
      <c r="K71" s="248"/>
      <c r="L71" s="248"/>
      <c r="M71" s="248" t="s">
        <v>6277</v>
      </c>
    </row>
    <row r="72" spans="1:13" ht="20.100000000000001" customHeight="1">
      <c r="A72" s="248"/>
      <c r="B72" s="248" t="s">
        <v>4073</v>
      </c>
      <c r="C72" s="248" t="s">
        <v>4014</v>
      </c>
      <c r="D72" s="248"/>
      <c r="E72" s="248"/>
      <c r="F72" s="248"/>
      <c r="G72" s="248" t="s">
        <v>274</v>
      </c>
      <c r="H72" s="248"/>
      <c r="I72" s="248"/>
      <c r="J72" s="248"/>
      <c r="K72" s="248"/>
      <c r="L72" s="248"/>
      <c r="M72" s="248" t="s">
        <v>275</v>
      </c>
    </row>
    <row r="73" spans="1:13" ht="20.100000000000001" customHeight="1">
      <c r="A73" s="248"/>
      <c r="B73" s="248" t="s">
        <v>4074</v>
      </c>
      <c r="C73" s="248" t="s">
        <v>4014</v>
      </c>
      <c r="D73" s="248"/>
      <c r="E73" s="248"/>
      <c r="F73" s="248"/>
      <c r="G73" s="248" t="s">
        <v>276</v>
      </c>
      <c r="H73" s="248"/>
      <c r="I73" s="248"/>
      <c r="J73" s="248"/>
      <c r="K73" s="248"/>
      <c r="L73" s="248"/>
      <c r="M73" s="248" t="s">
        <v>3550</v>
      </c>
    </row>
    <row r="74" spans="1:13" ht="20.100000000000001" customHeight="1">
      <c r="A74" s="248"/>
      <c r="B74" s="248" t="s">
        <v>4075</v>
      </c>
      <c r="C74" s="248" t="s">
        <v>4014</v>
      </c>
      <c r="D74" s="248"/>
      <c r="E74" s="248"/>
      <c r="F74" s="248"/>
      <c r="G74" s="248" t="s">
        <v>3892</v>
      </c>
      <c r="H74" s="248"/>
      <c r="I74" s="248"/>
      <c r="J74" s="248"/>
      <c r="K74" s="248"/>
      <c r="L74" s="248"/>
      <c r="M74" s="248" t="s">
        <v>196</v>
      </c>
    </row>
    <row r="75" spans="1:13" ht="20.100000000000001" customHeight="1">
      <c r="A75" s="248"/>
      <c r="B75" s="248" t="s">
        <v>4076</v>
      </c>
      <c r="C75" s="248" t="s">
        <v>4012</v>
      </c>
      <c r="D75" s="248"/>
      <c r="E75" s="248"/>
      <c r="F75" s="248"/>
      <c r="G75" s="248" t="s">
        <v>277</v>
      </c>
      <c r="H75" s="248"/>
      <c r="I75" s="248"/>
      <c r="J75" s="248"/>
      <c r="K75" s="248"/>
      <c r="L75" s="248"/>
      <c r="M75" s="248" t="s">
        <v>278</v>
      </c>
    </row>
    <row r="76" spans="1:13" ht="20.100000000000001" customHeight="1">
      <c r="A76" s="248"/>
      <c r="B76" s="248" t="s">
        <v>4077</v>
      </c>
      <c r="C76" s="248" t="s">
        <v>4003</v>
      </c>
      <c r="D76" s="248"/>
      <c r="E76" s="248"/>
      <c r="F76" s="248"/>
      <c r="G76" s="248" t="s">
        <v>279</v>
      </c>
      <c r="H76" s="248"/>
      <c r="I76" s="248"/>
      <c r="J76" s="248"/>
      <c r="K76" s="248"/>
      <c r="L76" s="248"/>
      <c r="M76" s="248" t="s">
        <v>195</v>
      </c>
    </row>
    <row r="77" spans="1:13" ht="20.100000000000001" customHeight="1">
      <c r="A77" s="248"/>
      <c r="B77" s="248" t="s">
        <v>4078</v>
      </c>
      <c r="C77" s="248" t="s">
        <v>4014</v>
      </c>
      <c r="D77" s="248"/>
      <c r="E77" s="248"/>
      <c r="F77" s="248"/>
      <c r="G77" s="248" t="s">
        <v>280</v>
      </c>
      <c r="H77" s="248"/>
      <c r="I77" s="248"/>
      <c r="J77" s="248"/>
      <c r="K77" s="248"/>
      <c r="L77" s="248"/>
      <c r="M77" s="248" t="s">
        <v>266</v>
      </c>
    </row>
    <row r="78" spans="1:13" ht="20.100000000000001" customHeight="1">
      <c r="A78" s="248"/>
      <c r="B78" s="248" t="s">
        <v>4079</v>
      </c>
      <c r="C78" s="248" t="s">
        <v>4012</v>
      </c>
      <c r="D78" s="248"/>
      <c r="E78" s="248"/>
      <c r="F78" s="248"/>
      <c r="G78" s="248" t="s">
        <v>281</v>
      </c>
      <c r="H78" s="248"/>
      <c r="I78" s="248"/>
      <c r="J78" s="248"/>
      <c r="K78" s="248"/>
      <c r="L78" s="248"/>
      <c r="M78" s="248" t="s">
        <v>282</v>
      </c>
    </row>
    <row r="79" spans="1:13" ht="20.100000000000001" customHeight="1">
      <c r="A79" s="248"/>
      <c r="B79" s="248" t="s">
        <v>4080</v>
      </c>
      <c r="C79" s="248" t="s">
        <v>4003</v>
      </c>
      <c r="D79" s="248"/>
      <c r="E79" s="248"/>
      <c r="F79" s="248"/>
      <c r="G79" s="248" t="s">
        <v>283</v>
      </c>
      <c r="H79" s="248"/>
      <c r="I79" s="248"/>
      <c r="J79" s="248"/>
      <c r="K79" s="248"/>
      <c r="L79" s="248"/>
      <c r="M79" s="248" t="s">
        <v>284</v>
      </c>
    </row>
    <row r="80" spans="1:13" ht="20.100000000000001" customHeight="1">
      <c r="A80" s="248"/>
      <c r="B80" s="248" t="s">
        <v>4081</v>
      </c>
      <c r="C80" s="248" t="s">
        <v>4025</v>
      </c>
      <c r="D80" s="248"/>
      <c r="E80" s="248"/>
      <c r="F80" s="248"/>
      <c r="G80" s="248" t="s">
        <v>285</v>
      </c>
      <c r="H80" s="248"/>
      <c r="I80" s="248"/>
      <c r="J80" s="248"/>
      <c r="K80" s="248"/>
      <c r="L80" s="248"/>
      <c r="M80" s="248" t="s">
        <v>286</v>
      </c>
    </row>
    <row r="81" spans="1:13" ht="20.100000000000001" customHeight="1">
      <c r="A81" s="248"/>
      <c r="B81" s="248" t="s">
        <v>4082</v>
      </c>
      <c r="C81" s="248" t="s">
        <v>4008</v>
      </c>
      <c r="D81" s="248"/>
      <c r="E81" s="248"/>
      <c r="F81" s="248"/>
      <c r="G81" s="248" t="s">
        <v>287</v>
      </c>
      <c r="H81" s="248"/>
      <c r="I81" s="248"/>
      <c r="J81" s="248"/>
      <c r="K81" s="248"/>
      <c r="L81" s="248"/>
      <c r="M81" s="248" t="s">
        <v>288</v>
      </c>
    </row>
    <row r="82" spans="1:13" ht="20.100000000000001" customHeight="1">
      <c r="A82" s="249"/>
      <c r="B82" s="249" t="s">
        <v>4083</v>
      </c>
      <c r="C82" s="250" t="s">
        <v>4025</v>
      </c>
      <c r="D82" s="249"/>
      <c r="E82" s="249"/>
      <c r="F82" s="249"/>
      <c r="G82" s="249" t="s">
        <v>289</v>
      </c>
      <c r="H82" s="249"/>
      <c r="I82" s="249"/>
      <c r="J82" s="249"/>
      <c r="K82" s="249"/>
      <c r="L82" s="249"/>
      <c r="M82" s="249" t="s">
        <v>290</v>
      </c>
    </row>
    <row r="83" spans="1:13" ht="20.100000000000001" customHeight="1">
      <c r="A83" s="248"/>
      <c r="B83" s="248" t="s">
        <v>4084</v>
      </c>
      <c r="C83" s="248" t="s">
        <v>4016</v>
      </c>
      <c r="D83" s="248"/>
      <c r="E83" s="248"/>
      <c r="F83" s="248"/>
      <c r="G83" s="248" t="s">
        <v>291</v>
      </c>
      <c r="H83" s="248"/>
      <c r="I83" s="248"/>
      <c r="J83" s="248"/>
      <c r="K83" s="248"/>
      <c r="L83" s="248"/>
      <c r="M83" s="248" t="s">
        <v>292</v>
      </c>
    </row>
    <row r="84" spans="1:13" ht="20.100000000000001" customHeight="1">
      <c r="A84" s="248"/>
      <c r="B84" s="248" t="s">
        <v>4085</v>
      </c>
      <c r="C84" s="248" t="s">
        <v>4012</v>
      </c>
      <c r="D84" s="248"/>
      <c r="E84" s="248"/>
      <c r="F84" s="248"/>
      <c r="G84" s="248" t="s">
        <v>293</v>
      </c>
      <c r="H84" s="248"/>
      <c r="I84" s="248"/>
      <c r="J84" s="248"/>
      <c r="K84" s="248"/>
      <c r="L84" s="248"/>
      <c r="M84" s="248" t="s">
        <v>294</v>
      </c>
    </row>
    <row r="85" spans="1:13" ht="20.100000000000001" customHeight="1">
      <c r="A85" s="248"/>
      <c r="B85" s="248" t="s">
        <v>4086</v>
      </c>
      <c r="C85" s="248" t="s">
        <v>4030</v>
      </c>
      <c r="D85" s="248"/>
      <c r="E85" s="248"/>
      <c r="F85" s="248"/>
      <c r="G85" s="248" t="s">
        <v>295</v>
      </c>
      <c r="H85" s="248"/>
      <c r="I85" s="248"/>
      <c r="J85" s="248"/>
      <c r="K85" s="248"/>
      <c r="L85" s="248"/>
      <c r="M85" s="248" t="s">
        <v>296</v>
      </c>
    </row>
    <row r="86" spans="1:13" ht="20.100000000000001" customHeight="1">
      <c r="A86" s="248"/>
      <c r="B86" s="248" t="s">
        <v>4087</v>
      </c>
      <c r="C86" s="248" t="s">
        <v>4030</v>
      </c>
      <c r="D86" s="248"/>
      <c r="E86" s="248"/>
      <c r="F86" s="248"/>
      <c r="G86" s="248" t="s">
        <v>297</v>
      </c>
      <c r="H86" s="248"/>
      <c r="I86" s="248"/>
      <c r="J86" s="248"/>
      <c r="K86" s="248"/>
      <c r="L86" s="248"/>
      <c r="M86" s="248" t="s">
        <v>298</v>
      </c>
    </row>
    <row r="87" spans="1:13" ht="20.100000000000001" customHeight="1">
      <c r="A87" s="248"/>
      <c r="B87" s="248" t="s">
        <v>4088</v>
      </c>
      <c r="C87" s="248" t="s">
        <v>4012</v>
      </c>
      <c r="D87" s="248"/>
      <c r="E87" s="248"/>
      <c r="F87" s="248"/>
      <c r="G87" s="248" t="s">
        <v>299</v>
      </c>
      <c r="H87" s="248"/>
      <c r="I87" s="248"/>
      <c r="J87" s="248"/>
      <c r="K87" s="248"/>
      <c r="L87" s="248"/>
      <c r="M87" s="248" t="s">
        <v>300</v>
      </c>
    </row>
    <row r="88" spans="1:13" ht="20.100000000000001" customHeight="1">
      <c r="A88" s="248"/>
      <c r="B88" s="248" t="s">
        <v>4089</v>
      </c>
      <c r="C88" s="248" t="s">
        <v>4014</v>
      </c>
      <c r="D88" s="248"/>
      <c r="E88" s="248"/>
      <c r="F88" s="248"/>
      <c r="G88" s="248" t="s">
        <v>301</v>
      </c>
      <c r="H88" s="248"/>
      <c r="I88" s="248"/>
      <c r="J88" s="248"/>
      <c r="K88" s="248"/>
      <c r="L88" s="248"/>
      <c r="M88" s="248" t="s">
        <v>302</v>
      </c>
    </row>
    <row r="89" spans="1:13" ht="20.100000000000001" customHeight="1">
      <c r="A89" s="248"/>
      <c r="B89" s="248" t="s">
        <v>4090</v>
      </c>
      <c r="C89" s="248" t="s">
        <v>4008</v>
      </c>
      <c r="D89" s="248"/>
      <c r="E89" s="248"/>
      <c r="F89" s="248"/>
      <c r="G89" s="248" t="s">
        <v>303</v>
      </c>
      <c r="H89" s="248"/>
      <c r="I89" s="248"/>
      <c r="J89" s="248"/>
      <c r="K89" s="248"/>
      <c r="L89" s="248"/>
      <c r="M89" s="248" t="s">
        <v>3550</v>
      </c>
    </row>
    <row r="90" spans="1:13" ht="20.100000000000001" customHeight="1">
      <c r="A90" s="248"/>
      <c r="B90" s="248" t="s">
        <v>4091</v>
      </c>
      <c r="C90" s="248" t="s">
        <v>4016</v>
      </c>
      <c r="D90" s="248"/>
      <c r="E90" s="248"/>
      <c r="F90" s="248"/>
      <c r="G90" s="248" t="s">
        <v>304</v>
      </c>
      <c r="H90" s="248"/>
      <c r="I90" s="248"/>
      <c r="J90" s="248"/>
      <c r="K90" s="248"/>
      <c r="L90" s="248"/>
      <c r="M90" s="248" t="s">
        <v>305</v>
      </c>
    </row>
    <row r="91" spans="1:13" ht="20.100000000000001" customHeight="1">
      <c r="A91" s="248"/>
      <c r="B91" s="248" t="s">
        <v>4092</v>
      </c>
      <c r="C91" s="248" t="s">
        <v>4025</v>
      </c>
      <c r="D91" s="248"/>
      <c r="E91" s="248"/>
      <c r="F91" s="248"/>
      <c r="G91" s="248" t="s">
        <v>306</v>
      </c>
      <c r="H91" s="248"/>
      <c r="I91" s="248"/>
      <c r="J91" s="248"/>
      <c r="K91" s="248"/>
      <c r="L91" s="248"/>
      <c r="M91" s="248" t="s">
        <v>307</v>
      </c>
    </row>
    <row r="92" spans="1:13" ht="20.100000000000001" customHeight="1">
      <c r="A92" s="248"/>
      <c r="B92" s="248" t="s">
        <v>4093</v>
      </c>
      <c r="C92" s="248" t="s">
        <v>4012</v>
      </c>
      <c r="D92" s="248"/>
      <c r="E92" s="248"/>
      <c r="F92" s="248"/>
      <c r="G92" s="248" t="s">
        <v>3981</v>
      </c>
      <c r="H92" s="248"/>
      <c r="I92" s="248"/>
      <c r="J92" s="248"/>
      <c r="K92" s="248"/>
      <c r="L92" s="248"/>
      <c r="M92" s="248" t="s">
        <v>3939</v>
      </c>
    </row>
    <row r="93" spans="1:13" ht="20.100000000000001" customHeight="1">
      <c r="A93" s="248"/>
      <c r="B93" s="248" t="s">
        <v>4094</v>
      </c>
      <c r="C93" s="248" t="s">
        <v>4036</v>
      </c>
      <c r="D93" s="248"/>
      <c r="E93" s="248"/>
      <c r="F93" s="248"/>
      <c r="G93" s="248" t="s">
        <v>308</v>
      </c>
      <c r="H93" s="248"/>
      <c r="I93" s="248"/>
      <c r="J93" s="248"/>
      <c r="K93" s="248"/>
      <c r="L93" s="248"/>
      <c r="M93" s="248" t="s">
        <v>309</v>
      </c>
    </row>
    <row r="94" spans="1:13" ht="20.100000000000001" customHeight="1">
      <c r="A94" s="248"/>
      <c r="B94" s="248" t="s">
        <v>4095</v>
      </c>
      <c r="C94" s="248" t="s">
        <v>4030</v>
      </c>
      <c r="D94" s="248"/>
      <c r="E94" s="248"/>
      <c r="F94" s="248"/>
      <c r="G94" s="248" t="s">
        <v>310</v>
      </c>
      <c r="H94" s="248"/>
      <c r="I94" s="248"/>
      <c r="J94" s="248"/>
      <c r="K94" s="248"/>
      <c r="L94" s="248"/>
      <c r="M94" s="248" t="s">
        <v>311</v>
      </c>
    </row>
    <row r="95" spans="1:13" ht="20.100000000000001" customHeight="1">
      <c r="A95" s="248"/>
      <c r="B95" s="248" t="s">
        <v>4096</v>
      </c>
      <c r="C95" s="248" t="s">
        <v>4008</v>
      </c>
      <c r="D95" s="248"/>
      <c r="E95" s="248"/>
      <c r="F95" s="248"/>
      <c r="G95" s="248" t="s">
        <v>3173</v>
      </c>
      <c r="H95" s="248"/>
      <c r="I95" s="248"/>
      <c r="J95" s="248"/>
      <c r="K95" s="248"/>
      <c r="L95" s="248"/>
      <c r="M95" s="248" t="s">
        <v>3174</v>
      </c>
    </row>
    <row r="96" spans="1:13" ht="20.100000000000001" customHeight="1">
      <c r="A96" s="248"/>
      <c r="B96" s="248" t="s">
        <v>4097</v>
      </c>
      <c r="C96" s="248" t="s">
        <v>4016</v>
      </c>
      <c r="D96" s="248"/>
      <c r="E96" s="248"/>
      <c r="F96" s="248"/>
      <c r="G96" s="248" t="s">
        <v>312</v>
      </c>
      <c r="H96" s="248"/>
      <c r="I96" s="248"/>
      <c r="J96" s="248"/>
      <c r="K96" s="248"/>
      <c r="L96" s="248"/>
      <c r="M96" s="248" t="s">
        <v>313</v>
      </c>
    </row>
    <row r="97" spans="1:13" ht="20.100000000000001" customHeight="1">
      <c r="A97" s="248"/>
      <c r="B97" s="248" t="s">
        <v>4098</v>
      </c>
      <c r="C97" s="248" t="s">
        <v>4012</v>
      </c>
      <c r="D97" s="248"/>
      <c r="E97" s="248"/>
      <c r="F97" s="248"/>
      <c r="G97" s="248" t="s">
        <v>314</v>
      </c>
      <c r="H97" s="248"/>
      <c r="I97" s="248"/>
      <c r="J97" s="248"/>
      <c r="K97" s="248"/>
      <c r="L97" s="248"/>
      <c r="M97" s="248" t="s">
        <v>315</v>
      </c>
    </row>
    <row r="98" spans="1:13" ht="20.100000000000001" customHeight="1">
      <c r="A98" s="248"/>
      <c r="B98" s="248" t="s">
        <v>4099</v>
      </c>
      <c r="C98" s="248" t="s">
        <v>4003</v>
      </c>
      <c r="D98" s="248"/>
      <c r="E98" s="248"/>
      <c r="F98" s="248"/>
      <c r="G98" s="248" t="s">
        <v>316</v>
      </c>
      <c r="H98" s="248"/>
      <c r="I98" s="248"/>
      <c r="J98" s="248"/>
      <c r="K98" s="248"/>
      <c r="L98" s="248"/>
      <c r="M98" s="248" t="s">
        <v>317</v>
      </c>
    </row>
    <row r="99" spans="1:13" ht="20.100000000000001" customHeight="1">
      <c r="A99" s="248"/>
      <c r="B99" s="248" t="s">
        <v>4100</v>
      </c>
      <c r="C99" s="248" t="s">
        <v>4003</v>
      </c>
      <c r="D99" s="248"/>
      <c r="E99" s="248"/>
      <c r="F99" s="248"/>
      <c r="G99" s="248" t="s">
        <v>318</v>
      </c>
      <c r="H99" s="248"/>
      <c r="I99" s="248"/>
      <c r="J99" s="248"/>
      <c r="K99" s="248"/>
      <c r="L99" s="248"/>
      <c r="M99" s="248" t="s">
        <v>3550</v>
      </c>
    </row>
    <row r="100" spans="1:13" ht="20.100000000000001" customHeight="1">
      <c r="A100" s="248"/>
      <c r="B100" s="248" t="s">
        <v>4101</v>
      </c>
      <c r="C100" s="248" t="s">
        <v>4025</v>
      </c>
      <c r="D100" s="248"/>
      <c r="E100" s="248"/>
      <c r="F100" s="248"/>
      <c r="G100" s="248" t="s">
        <v>3370</v>
      </c>
      <c r="H100" s="248"/>
      <c r="I100" s="248"/>
      <c r="J100" s="248"/>
      <c r="K100" s="248"/>
      <c r="L100" s="248"/>
      <c r="M100" s="248" t="s">
        <v>3371</v>
      </c>
    </row>
    <row r="101" spans="1:13" ht="20.100000000000001" customHeight="1">
      <c r="A101" s="248"/>
      <c r="B101" s="248" t="s">
        <v>4102</v>
      </c>
      <c r="C101" s="248" t="s">
        <v>4008</v>
      </c>
      <c r="D101" s="248"/>
      <c r="E101" s="248"/>
      <c r="F101" s="248"/>
      <c r="G101" s="248" t="s">
        <v>3372</v>
      </c>
      <c r="H101" s="248"/>
      <c r="I101" s="248"/>
      <c r="J101" s="248"/>
      <c r="K101" s="248"/>
      <c r="L101" s="248"/>
      <c r="M101" s="248" t="s">
        <v>3373</v>
      </c>
    </row>
    <row r="102" spans="1:13" ht="20.100000000000001" customHeight="1">
      <c r="A102" s="248"/>
      <c r="B102" s="248" t="s">
        <v>6606</v>
      </c>
      <c r="C102" s="248" t="s">
        <v>4025</v>
      </c>
      <c r="D102" s="248"/>
      <c r="E102" s="248"/>
      <c r="F102" s="248"/>
      <c r="G102" s="248" t="s">
        <v>6607</v>
      </c>
      <c r="H102" s="248"/>
      <c r="I102" s="248"/>
      <c r="J102" s="248"/>
      <c r="K102" s="248"/>
      <c r="L102" s="248"/>
      <c r="M102" s="248" t="s">
        <v>6608</v>
      </c>
    </row>
    <row r="103" spans="1:13" ht="20.100000000000001" customHeight="1">
      <c r="A103" s="248"/>
      <c r="B103" s="248" t="s">
        <v>4103</v>
      </c>
      <c r="C103" s="248" t="s">
        <v>4016</v>
      </c>
      <c r="D103" s="248"/>
      <c r="E103" s="248"/>
      <c r="F103" s="248"/>
      <c r="G103" s="248" t="s">
        <v>319</v>
      </c>
      <c r="H103" s="248"/>
      <c r="I103" s="248"/>
      <c r="J103" s="248"/>
      <c r="K103" s="248"/>
      <c r="L103" s="248"/>
      <c r="M103" s="248" t="s">
        <v>320</v>
      </c>
    </row>
    <row r="104" spans="1:13" ht="20.100000000000001" customHeight="1">
      <c r="A104" s="248"/>
      <c r="B104" s="248" t="s">
        <v>4104</v>
      </c>
      <c r="C104" s="248" t="s">
        <v>4030</v>
      </c>
      <c r="D104" s="248"/>
      <c r="E104" s="248"/>
      <c r="F104" s="248"/>
      <c r="G104" s="248" t="s">
        <v>321</v>
      </c>
      <c r="H104" s="248"/>
      <c r="I104" s="248"/>
      <c r="J104" s="248"/>
      <c r="K104" s="248"/>
      <c r="L104" s="248"/>
      <c r="M104" s="248" t="s">
        <v>322</v>
      </c>
    </row>
    <row r="105" spans="1:13" ht="20.100000000000001" customHeight="1">
      <c r="A105" s="248"/>
      <c r="B105" s="248" t="s">
        <v>4105</v>
      </c>
      <c r="C105" s="248" t="s">
        <v>4036</v>
      </c>
      <c r="D105" s="248"/>
      <c r="E105" s="248"/>
      <c r="F105" s="248"/>
      <c r="G105" s="248" t="s">
        <v>323</v>
      </c>
      <c r="H105" s="248"/>
      <c r="I105" s="248"/>
      <c r="J105" s="248"/>
      <c r="K105" s="248"/>
      <c r="L105" s="248"/>
      <c r="M105" s="248" t="s">
        <v>324</v>
      </c>
    </row>
    <row r="106" spans="1:13" ht="20.100000000000001" customHeight="1">
      <c r="A106" s="248"/>
      <c r="B106" s="248" t="s">
        <v>4106</v>
      </c>
      <c r="C106" s="248" t="s">
        <v>4008</v>
      </c>
      <c r="D106" s="248"/>
      <c r="E106" s="248"/>
      <c r="F106" s="248"/>
      <c r="G106" s="248" t="s">
        <v>325</v>
      </c>
      <c r="H106" s="248"/>
      <c r="I106" s="248"/>
      <c r="J106" s="248"/>
      <c r="K106" s="248"/>
      <c r="L106" s="248"/>
      <c r="M106" s="248" t="s">
        <v>326</v>
      </c>
    </row>
    <row r="107" spans="1:13" ht="20.100000000000001" customHeight="1">
      <c r="A107" s="248"/>
      <c r="B107" s="248" t="s">
        <v>4107</v>
      </c>
      <c r="C107" s="248" t="s">
        <v>4025</v>
      </c>
      <c r="D107" s="248"/>
      <c r="E107" s="248"/>
      <c r="F107" s="248"/>
      <c r="G107" s="248" t="s">
        <v>327</v>
      </c>
      <c r="H107" s="248"/>
      <c r="I107" s="248"/>
      <c r="J107" s="248"/>
      <c r="K107" s="248"/>
      <c r="L107" s="248"/>
      <c r="M107" s="248" t="s">
        <v>3550</v>
      </c>
    </row>
    <row r="108" spans="1:13" ht="20.100000000000001" customHeight="1">
      <c r="A108" s="248"/>
      <c r="B108" s="248" t="s">
        <v>4108</v>
      </c>
      <c r="C108" s="248" t="s">
        <v>4030</v>
      </c>
      <c r="D108" s="248"/>
      <c r="E108" s="248"/>
      <c r="F108" s="248"/>
      <c r="G108" s="248" t="s">
        <v>328</v>
      </c>
      <c r="H108" s="248"/>
      <c r="I108" s="248"/>
      <c r="J108" s="248"/>
      <c r="K108" s="248"/>
      <c r="L108" s="248"/>
      <c r="M108" s="248" t="s">
        <v>3550</v>
      </c>
    </row>
    <row r="109" spans="1:13" ht="20.100000000000001" customHeight="1">
      <c r="A109" s="248"/>
      <c r="B109" s="248" t="s">
        <v>4109</v>
      </c>
      <c r="C109" s="248" t="s">
        <v>4014</v>
      </c>
      <c r="D109" s="248"/>
      <c r="E109" s="248"/>
      <c r="F109" s="248"/>
      <c r="G109" s="248" t="s">
        <v>3982</v>
      </c>
      <c r="H109" s="248"/>
      <c r="I109" s="248"/>
      <c r="J109" s="248"/>
      <c r="K109" s="248"/>
      <c r="L109" s="248"/>
      <c r="M109" s="248" t="s">
        <v>3550</v>
      </c>
    </row>
    <row r="110" spans="1:13" ht="20.100000000000001" customHeight="1">
      <c r="A110" s="248"/>
      <c r="B110" s="248" t="s">
        <v>4110</v>
      </c>
      <c r="C110" s="248" t="s">
        <v>4012</v>
      </c>
      <c r="D110" s="248"/>
      <c r="E110" s="248"/>
      <c r="F110" s="248"/>
      <c r="G110" s="248" t="s">
        <v>329</v>
      </c>
      <c r="H110" s="248"/>
      <c r="I110" s="248"/>
      <c r="J110" s="248"/>
      <c r="K110" s="248"/>
      <c r="L110" s="248"/>
      <c r="M110" s="248" t="s">
        <v>330</v>
      </c>
    </row>
    <row r="111" spans="1:13" ht="20.100000000000001" customHeight="1">
      <c r="A111" s="248"/>
      <c r="B111" s="248" t="s">
        <v>4111</v>
      </c>
      <c r="C111" s="248" t="s">
        <v>4008</v>
      </c>
      <c r="D111" s="248"/>
      <c r="E111" s="248"/>
      <c r="F111" s="248"/>
      <c r="G111" s="248" t="s">
        <v>331</v>
      </c>
      <c r="H111" s="248"/>
      <c r="I111" s="248"/>
      <c r="J111" s="248"/>
      <c r="K111" s="248"/>
      <c r="L111" s="248"/>
      <c r="M111" s="248" t="s">
        <v>3550</v>
      </c>
    </row>
    <row r="112" spans="1:13" ht="20.100000000000001" customHeight="1">
      <c r="A112" s="248"/>
      <c r="B112" s="248" t="s">
        <v>4112</v>
      </c>
      <c r="C112" s="248" t="s">
        <v>4025</v>
      </c>
      <c r="D112" s="248"/>
      <c r="E112" s="248"/>
      <c r="F112" s="248"/>
      <c r="G112" s="248" t="s">
        <v>332</v>
      </c>
      <c r="H112" s="248"/>
      <c r="I112" s="248"/>
      <c r="J112" s="248"/>
      <c r="K112" s="248"/>
      <c r="L112" s="248"/>
      <c r="M112" s="248" t="s">
        <v>333</v>
      </c>
    </row>
    <row r="113" spans="1:13" ht="20.100000000000001" customHeight="1">
      <c r="A113" s="248"/>
      <c r="B113" s="248" t="s">
        <v>4113</v>
      </c>
      <c r="C113" s="248" t="s">
        <v>4008</v>
      </c>
      <c r="D113" s="248"/>
      <c r="E113" s="248"/>
      <c r="F113" s="248"/>
      <c r="G113" s="248" t="s">
        <v>3638</v>
      </c>
      <c r="H113" s="248"/>
      <c r="I113" s="248"/>
      <c r="J113" s="248"/>
      <c r="K113" s="248"/>
      <c r="L113" s="248"/>
      <c r="M113" s="248" t="s">
        <v>3639</v>
      </c>
    </row>
    <row r="114" spans="1:13" ht="20.100000000000001" customHeight="1">
      <c r="A114" s="248"/>
      <c r="B114" s="248" t="s">
        <v>4114</v>
      </c>
      <c r="C114" s="248" t="s">
        <v>4036</v>
      </c>
      <c r="D114" s="248"/>
      <c r="E114" s="248"/>
      <c r="F114" s="248"/>
      <c r="G114" s="248" t="s">
        <v>3672</v>
      </c>
      <c r="H114" s="248"/>
      <c r="I114" s="248"/>
      <c r="J114" s="248"/>
      <c r="K114" s="248"/>
      <c r="L114" s="248"/>
      <c r="M114" s="248" t="s">
        <v>3673</v>
      </c>
    </row>
    <row r="115" spans="1:13" ht="20.100000000000001" customHeight="1">
      <c r="A115" s="248"/>
      <c r="B115" s="248" t="s">
        <v>4115</v>
      </c>
      <c r="C115" s="248" t="s">
        <v>4008</v>
      </c>
      <c r="D115" s="248"/>
      <c r="E115" s="248"/>
      <c r="F115" s="248"/>
      <c r="G115" s="248" t="s">
        <v>3631</v>
      </c>
      <c r="H115" s="248"/>
      <c r="I115" s="248"/>
      <c r="J115" s="248"/>
      <c r="K115" s="248"/>
      <c r="L115" s="248"/>
      <c r="M115" s="248" t="s">
        <v>3632</v>
      </c>
    </row>
    <row r="116" spans="1:13" ht="20.100000000000001" customHeight="1">
      <c r="A116" s="248"/>
      <c r="B116" s="248" t="s">
        <v>4116</v>
      </c>
      <c r="C116" s="248" t="s">
        <v>4036</v>
      </c>
      <c r="D116" s="248"/>
      <c r="E116" s="248"/>
      <c r="F116" s="248"/>
      <c r="G116" s="248" t="s">
        <v>3674</v>
      </c>
      <c r="H116" s="248"/>
      <c r="I116" s="248"/>
      <c r="J116" s="248"/>
      <c r="K116" s="248"/>
      <c r="L116" s="248"/>
      <c r="M116" s="248" t="s">
        <v>3675</v>
      </c>
    </row>
    <row r="117" spans="1:13" ht="20.100000000000001" customHeight="1">
      <c r="A117" s="248"/>
      <c r="B117" s="248" t="s">
        <v>4117</v>
      </c>
      <c r="C117" s="248" t="s">
        <v>4036</v>
      </c>
      <c r="D117" s="248"/>
      <c r="E117" s="248"/>
      <c r="F117" s="248"/>
      <c r="G117" s="248" t="s">
        <v>334</v>
      </c>
      <c r="H117" s="248"/>
      <c r="I117" s="248"/>
      <c r="J117" s="248"/>
      <c r="K117" s="248"/>
      <c r="L117" s="248"/>
      <c r="M117" s="248" t="s">
        <v>335</v>
      </c>
    </row>
    <row r="118" spans="1:13" ht="20.100000000000001" customHeight="1">
      <c r="A118" s="248"/>
      <c r="B118" s="248" t="s">
        <v>4118</v>
      </c>
      <c r="C118" s="248" t="s">
        <v>4003</v>
      </c>
      <c r="D118" s="248"/>
      <c r="E118" s="248"/>
      <c r="F118" s="248"/>
      <c r="G118" s="248" t="s">
        <v>336</v>
      </c>
      <c r="H118" s="248"/>
      <c r="I118" s="248"/>
      <c r="J118" s="248"/>
      <c r="K118" s="248"/>
      <c r="L118" s="248"/>
      <c r="M118" s="248" t="s">
        <v>337</v>
      </c>
    </row>
    <row r="119" spans="1:13" ht="20.100000000000001" customHeight="1">
      <c r="A119" s="248"/>
      <c r="B119" s="248" t="s">
        <v>4119</v>
      </c>
      <c r="C119" s="248" t="s">
        <v>4003</v>
      </c>
      <c r="D119" s="248"/>
      <c r="E119" s="248"/>
      <c r="F119" s="248"/>
      <c r="G119" s="248" t="s">
        <v>338</v>
      </c>
      <c r="H119" s="248"/>
      <c r="I119" s="248"/>
      <c r="J119" s="248"/>
      <c r="K119" s="248"/>
      <c r="L119" s="248"/>
      <c r="M119" s="248" t="s">
        <v>339</v>
      </c>
    </row>
    <row r="120" spans="1:13" ht="20.100000000000001" customHeight="1">
      <c r="A120" s="248"/>
      <c r="B120" s="248" t="s">
        <v>4120</v>
      </c>
      <c r="C120" s="248" t="s">
        <v>4121</v>
      </c>
      <c r="D120" s="248"/>
      <c r="E120" s="248"/>
      <c r="F120" s="248"/>
      <c r="G120" s="248" t="s">
        <v>340</v>
      </c>
      <c r="H120" s="248"/>
      <c r="I120" s="248"/>
      <c r="J120" s="248"/>
      <c r="K120" s="248"/>
      <c r="L120" s="248"/>
      <c r="M120" s="248" t="s">
        <v>341</v>
      </c>
    </row>
    <row r="121" spans="1:13" ht="20.100000000000001" customHeight="1">
      <c r="A121" s="248"/>
      <c r="B121" s="248" t="s">
        <v>4122</v>
      </c>
      <c r="C121" s="248" t="s">
        <v>4036</v>
      </c>
      <c r="D121" s="248"/>
      <c r="E121" s="248"/>
      <c r="F121" s="248"/>
      <c r="G121" s="248" t="s">
        <v>342</v>
      </c>
      <c r="H121" s="248"/>
      <c r="I121" s="248"/>
      <c r="J121" s="248"/>
      <c r="K121" s="248"/>
      <c r="L121" s="248"/>
      <c r="M121" s="248" t="s">
        <v>343</v>
      </c>
    </row>
    <row r="122" spans="1:13" ht="20.100000000000001" customHeight="1">
      <c r="A122" s="248"/>
      <c r="B122" s="248" t="s">
        <v>4123</v>
      </c>
      <c r="C122" s="248" t="s">
        <v>4124</v>
      </c>
      <c r="D122" s="248"/>
      <c r="E122" s="248"/>
      <c r="F122" s="248"/>
      <c r="G122" s="248" t="s">
        <v>344</v>
      </c>
      <c r="H122" s="248"/>
      <c r="I122" s="248"/>
      <c r="J122" s="248"/>
      <c r="K122" s="248"/>
      <c r="L122" s="248"/>
      <c r="M122" s="248" t="s">
        <v>3550</v>
      </c>
    </row>
    <row r="123" spans="1:13" ht="20.100000000000001" customHeight="1">
      <c r="A123" s="248"/>
      <c r="B123" s="248" t="s">
        <v>4125</v>
      </c>
      <c r="C123" s="248" t="s">
        <v>4121</v>
      </c>
      <c r="D123" s="248"/>
      <c r="E123" s="248"/>
      <c r="F123" s="248"/>
      <c r="G123" s="248" t="s">
        <v>345</v>
      </c>
      <c r="H123" s="248"/>
      <c r="I123" s="248"/>
      <c r="J123" s="248"/>
      <c r="K123" s="248"/>
      <c r="L123" s="248"/>
      <c r="M123" s="248" t="s">
        <v>346</v>
      </c>
    </row>
    <row r="124" spans="1:13" ht="20.100000000000001" customHeight="1">
      <c r="A124" s="248"/>
      <c r="B124" s="248" t="s">
        <v>4126</v>
      </c>
      <c r="C124" s="248" t="s">
        <v>4014</v>
      </c>
      <c r="D124" s="248"/>
      <c r="E124" s="248"/>
      <c r="F124" s="248"/>
      <c r="G124" s="248" t="s">
        <v>347</v>
      </c>
      <c r="H124" s="248"/>
      <c r="I124" s="248"/>
      <c r="J124" s="248"/>
      <c r="K124" s="248"/>
      <c r="L124" s="248"/>
      <c r="M124" s="248" t="s">
        <v>348</v>
      </c>
    </row>
    <row r="125" spans="1:13" ht="20.100000000000001" customHeight="1">
      <c r="A125" s="248"/>
      <c r="B125" s="248" t="s">
        <v>4127</v>
      </c>
      <c r="C125" s="248" t="s">
        <v>4036</v>
      </c>
      <c r="D125" s="248"/>
      <c r="E125" s="248"/>
      <c r="F125" s="248"/>
      <c r="G125" s="248" t="s">
        <v>349</v>
      </c>
      <c r="H125" s="248"/>
      <c r="I125" s="248"/>
      <c r="J125" s="248"/>
      <c r="K125" s="248"/>
      <c r="L125" s="248"/>
      <c r="M125" s="248" t="s">
        <v>350</v>
      </c>
    </row>
    <row r="126" spans="1:13" ht="20.100000000000001" customHeight="1">
      <c r="A126" s="248"/>
      <c r="B126" s="248" t="s">
        <v>4128</v>
      </c>
      <c r="C126" s="248" t="s">
        <v>4014</v>
      </c>
      <c r="D126" s="248"/>
      <c r="E126" s="248"/>
      <c r="F126" s="248"/>
      <c r="G126" s="248" t="s">
        <v>351</v>
      </c>
      <c r="H126" s="248"/>
      <c r="I126" s="248"/>
      <c r="J126" s="248"/>
      <c r="K126" s="248"/>
      <c r="L126" s="248"/>
      <c r="M126" s="248" t="s">
        <v>352</v>
      </c>
    </row>
    <row r="127" spans="1:13" ht="20.100000000000001" customHeight="1">
      <c r="A127" s="248"/>
      <c r="B127" s="248" t="s">
        <v>4129</v>
      </c>
      <c r="C127" s="248" t="s">
        <v>4025</v>
      </c>
      <c r="D127" s="248"/>
      <c r="E127" s="248"/>
      <c r="F127" s="248"/>
      <c r="G127" s="248" t="s">
        <v>3443</v>
      </c>
      <c r="H127" s="248"/>
      <c r="I127" s="248"/>
      <c r="J127" s="248"/>
      <c r="K127" s="248"/>
      <c r="L127" s="248"/>
      <c r="M127" s="248" t="s">
        <v>3444</v>
      </c>
    </row>
    <row r="128" spans="1:13" ht="20.100000000000001" customHeight="1">
      <c r="A128" s="248"/>
      <c r="B128" s="248" t="s">
        <v>4130</v>
      </c>
      <c r="C128" s="248" t="s">
        <v>4036</v>
      </c>
      <c r="D128" s="248"/>
      <c r="E128" s="248"/>
      <c r="F128" s="248"/>
      <c r="G128" s="248" t="s">
        <v>3290</v>
      </c>
      <c r="H128" s="248"/>
      <c r="I128" s="248"/>
      <c r="J128" s="248"/>
      <c r="K128" s="248"/>
      <c r="L128" s="248"/>
      <c r="M128" s="248" t="s">
        <v>3983</v>
      </c>
    </row>
    <row r="129" spans="1:13" ht="20.100000000000001" customHeight="1">
      <c r="A129" s="248"/>
      <c r="B129" s="248" t="s">
        <v>4131</v>
      </c>
      <c r="C129" s="248" t="s">
        <v>4036</v>
      </c>
      <c r="D129" s="248"/>
      <c r="E129" s="248"/>
      <c r="F129" s="248"/>
      <c r="G129" s="248" t="s">
        <v>353</v>
      </c>
      <c r="H129" s="248"/>
      <c r="I129" s="248"/>
      <c r="J129" s="248"/>
      <c r="K129" s="248"/>
      <c r="L129" s="248"/>
      <c r="M129" s="248" t="s">
        <v>354</v>
      </c>
    </row>
    <row r="130" spans="1:13" ht="20.100000000000001" customHeight="1">
      <c r="A130" s="248"/>
      <c r="B130" s="248" t="s">
        <v>4132</v>
      </c>
      <c r="C130" s="248" t="s">
        <v>4016</v>
      </c>
      <c r="D130" s="248"/>
      <c r="E130" s="248"/>
      <c r="F130" s="248"/>
      <c r="G130" s="248" t="s">
        <v>3374</v>
      </c>
      <c r="H130" s="248"/>
      <c r="I130" s="248"/>
      <c r="J130" s="248"/>
      <c r="K130" s="248"/>
      <c r="L130" s="248"/>
      <c r="M130" s="248" t="s">
        <v>3375</v>
      </c>
    </row>
    <row r="131" spans="1:13" ht="20.100000000000001" customHeight="1">
      <c r="A131" s="248"/>
      <c r="B131" s="248" t="s">
        <v>4133</v>
      </c>
      <c r="C131" s="248" t="s">
        <v>4016</v>
      </c>
      <c r="D131" s="248"/>
      <c r="E131" s="248"/>
      <c r="F131" s="248"/>
      <c r="G131" s="248" t="s">
        <v>355</v>
      </c>
      <c r="H131" s="248"/>
      <c r="I131" s="248"/>
      <c r="J131" s="248"/>
      <c r="K131" s="248"/>
      <c r="L131" s="248"/>
      <c r="M131" s="248" t="s">
        <v>356</v>
      </c>
    </row>
    <row r="132" spans="1:13" ht="20.100000000000001" customHeight="1">
      <c r="A132" s="248"/>
      <c r="B132" s="248" t="s">
        <v>4134</v>
      </c>
      <c r="C132" s="248" t="s">
        <v>4012</v>
      </c>
      <c r="D132" s="248"/>
      <c r="E132" s="248"/>
      <c r="F132" s="248"/>
      <c r="G132" s="248" t="s">
        <v>357</v>
      </c>
      <c r="H132" s="248"/>
      <c r="I132" s="248"/>
      <c r="J132" s="248"/>
      <c r="K132" s="248"/>
      <c r="L132" s="248"/>
      <c r="M132" s="248" t="s">
        <v>358</v>
      </c>
    </row>
    <row r="133" spans="1:13" ht="20.100000000000001" customHeight="1">
      <c r="A133" s="248"/>
      <c r="B133" s="248" t="s">
        <v>4135</v>
      </c>
      <c r="C133" s="248" t="s">
        <v>4008</v>
      </c>
      <c r="D133" s="248"/>
      <c r="E133" s="248"/>
      <c r="F133" s="248"/>
      <c r="G133" s="248" t="s">
        <v>3822</v>
      </c>
      <c r="H133" s="248"/>
      <c r="I133" s="248"/>
      <c r="J133" s="248"/>
      <c r="K133" s="248"/>
      <c r="L133" s="248"/>
      <c r="M133" s="248" t="s">
        <v>3823</v>
      </c>
    </row>
    <row r="134" spans="1:13" ht="20.100000000000001" customHeight="1">
      <c r="A134" s="248"/>
      <c r="B134" s="248" t="s">
        <v>4136</v>
      </c>
      <c r="C134" s="248" t="s">
        <v>4008</v>
      </c>
      <c r="D134" s="248"/>
      <c r="E134" s="248"/>
      <c r="F134" s="248"/>
      <c r="G134" s="248" t="s">
        <v>359</v>
      </c>
      <c r="H134" s="248"/>
      <c r="I134" s="248"/>
      <c r="J134" s="248"/>
      <c r="K134" s="248"/>
      <c r="L134" s="248"/>
      <c r="M134" s="248" t="s">
        <v>360</v>
      </c>
    </row>
    <row r="135" spans="1:13" ht="20.100000000000001" customHeight="1">
      <c r="A135" s="248"/>
      <c r="B135" s="248" t="s">
        <v>6168</v>
      </c>
      <c r="C135" s="248" t="s">
        <v>4025</v>
      </c>
      <c r="D135" s="248"/>
      <c r="E135" s="248"/>
      <c r="F135" s="248"/>
      <c r="G135" s="248" t="s">
        <v>3864</v>
      </c>
      <c r="H135" s="248"/>
      <c r="I135" s="248"/>
      <c r="J135" s="248"/>
      <c r="K135" s="248"/>
      <c r="L135" s="248"/>
      <c r="M135" s="248" t="s">
        <v>3550</v>
      </c>
    </row>
    <row r="136" spans="1:13" ht="20.100000000000001" customHeight="1">
      <c r="A136" s="248"/>
      <c r="B136" s="248" t="s">
        <v>4137</v>
      </c>
      <c r="C136" s="248" t="s">
        <v>4008</v>
      </c>
      <c r="D136" s="248"/>
      <c r="E136" s="248"/>
      <c r="F136" s="248"/>
      <c r="G136" s="248" t="s">
        <v>3061</v>
      </c>
      <c r="H136" s="248"/>
      <c r="I136" s="248"/>
      <c r="J136" s="248"/>
      <c r="K136" s="248"/>
      <c r="L136" s="248"/>
      <c r="M136" s="248" t="s">
        <v>3062</v>
      </c>
    </row>
    <row r="137" spans="1:13" ht="20.100000000000001" customHeight="1">
      <c r="A137" s="248"/>
      <c r="B137" s="248" t="s">
        <v>4138</v>
      </c>
      <c r="C137" s="248" t="s">
        <v>4025</v>
      </c>
      <c r="D137" s="248"/>
      <c r="E137" s="248"/>
      <c r="F137" s="248"/>
      <c r="G137" s="248" t="s">
        <v>6169</v>
      </c>
      <c r="H137" s="248"/>
      <c r="I137" s="248"/>
      <c r="J137" s="248"/>
      <c r="K137" s="248"/>
      <c r="L137" s="248"/>
      <c r="M137" s="248" t="s">
        <v>196</v>
      </c>
    </row>
    <row r="138" spans="1:13" ht="20.100000000000001" customHeight="1">
      <c r="A138" s="248"/>
      <c r="B138" s="248" t="s">
        <v>6539</v>
      </c>
      <c r="C138" s="248" t="s">
        <v>4003</v>
      </c>
      <c r="D138" s="248"/>
      <c r="E138" s="248"/>
      <c r="F138" s="248"/>
      <c r="G138" s="248" t="s">
        <v>6540</v>
      </c>
      <c r="H138" s="248"/>
      <c r="I138" s="248"/>
      <c r="J138" s="248"/>
      <c r="K138" s="248"/>
      <c r="L138" s="248"/>
      <c r="M138" s="248" t="s">
        <v>6541</v>
      </c>
    </row>
    <row r="139" spans="1:13" ht="20.100000000000001" customHeight="1">
      <c r="A139" s="248"/>
      <c r="B139" s="248" t="s">
        <v>4139</v>
      </c>
      <c r="C139" s="248" t="s">
        <v>4036</v>
      </c>
      <c r="D139" s="248"/>
      <c r="E139" s="248"/>
      <c r="F139" s="248"/>
      <c r="G139" s="248" t="s">
        <v>361</v>
      </c>
      <c r="H139" s="248"/>
      <c r="I139" s="248"/>
      <c r="J139" s="248"/>
      <c r="K139" s="248"/>
      <c r="L139" s="248"/>
      <c r="M139" s="248" t="s">
        <v>362</v>
      </c>
    </row>
    <row r="140" spans="1:13" ht="20.100000000000001" customHeight="1">
      <c r="A140" s="248"/>
      <c r="B140" s="248" t="s">
        <v>4140</v>
      </c>
      <c r="C140" s="248" t="s">
        <v>4016</v>
      </c>
      <c r="D140" s="248"/>
      <c r="E140" s="248"/>
      <c r="F140" s="248"/>
      <c r="G140" s="248" t="s">
        <v>3612</v>
      </c>
      <c r="H140" s="248"/>
      <c r="I140" s="248"/>
      <c r="J140" s="248"/>
      <c r="K140" s="248"/>
      <c r="L140" s="248"/>
      <c r="M140" s="248" t="s">
        <v>3613</v>
      </c>
    </row>
    <row r="141" spans="1:13" ht="20.100000000000001" customHeight="1">
      <c r="A141" s="248"/>
      <c r="B141" s="248" t="s">
        <v>4141</v>
      </c>
      <c r="C141" s="248" t="s">
        <v>4121</v>
      </c>
      <c r="D141" s="248"/>
      <c r="E141" s="248"/>
      <c r="F141" s="248"/>
      <c r="G141" s="248" t="s">
        <v>363</v>
      </c>
      <c r="H141" s="248"/>
      <c r="I141" s="248"/>
      <c r="J141" s="248"/>
      <c r="K141" s="248"/>
      <c r="L141" s="248"/>
      <c r="M141" s="248" t="s">
        <v>364</v>
      </c>
    </row>
    <row r="142" spans="1:13" ht="20.100000000000001" customHeight="1">
      <c r="A142" s="248"/>
      <c r="B142" s="248" t="s">
        <v>4142</v>
      </c>
      <c r="C142" s="248" t="s">
        <v>4025</v>
      </c>
      <c r="D142" s="248"/>
      <c r="E142" s="248"/>
      <c r="F142" s="248"/>
      <c r="G142" s="248" t="s">
        <v>365</v>
      </c>
      <c r="H142" s="248"/>
      <c r="I142" s="248"/>
      <c r="J142" s="248"/>
      <c r="K142" s="248"/>
      <c r="L142" s="248"/>
      <c r="M142" s="248" t="s">
        <v>366</v>
      </c>
    </row>
    <row r="143" spans="1:13" ht="20.100000000000001" customHeight="1">
      <c r="A143" s="248"/>
      <c r="B143" s="248" t="s">
        <v>4143</v>
      </c>
      <c r="C143" s="248" t="s">
        <v>4036</v>
      </c>
      <c r="D143" s="248"/>
      <c r="E143" s="248"/>
      <c r="F143" s="248"/>
      <c r="G143" s="248" t="s">
        <v>3445</v>
      </c>
      <c r="H143" s="248"/>
      <c r="I143" s="248"/>
      <c r="J143" s="248"/>
      <c r="K143" s="248"/>
      <c r="L143" s="248"/>
      <c r="M143" s="248" t="s">
        <v>3446</v>
      </c>
    </row>
    <row r="144" spans="1:13" ht="20.100000000000001" customHeight="1">
      <c r="A144" s="248"/>
      <c r="B144" s="248" t="s">
        <v>6609</v>
      </c>
      <c r="C144" s="248" t="s">
        <v>4012</v>
      </c>
      <c r="D144" s="248"/>
      <c r="E144" s="248"/>
      <c r="F144" s="248"/>
      <c r="G144" s="248" t="s">
        <v>6610</v>
      </c>
      <c r="H144" s="248"/>
      <c r="I144" s="248"/>
      <c r="J144" s="248"/>
      <c r="K144" s="248"/>
      <c r="L144" s="248"/>
      <c r="M144" s="248" t="s">
        <v>6611</v>
      </c>
    </row>
    <row r="145" spans="1:13" ht="20.100000000000001" customHeight="1">
      <c r="A145" s="248"/>
      <c r="B145" s="248" t="s">
        <v>4144</v>
      </c>
      <c r="C145" s="248" t="s">
        <v>4036</v>
      </c>
      <c r="D145" s="248"/>
      <c r="E145" s="248"/>
      <c r="F145" s="248"/>
      <c r="G145" s="248" t="s">
        <v>6355</v>
      </c>
      <c r="H145" s="248"/>
      <c r="I145" s="248"/>
      <c r="J145" s="248"/>
      <c r="K145" s="248"/>
      <c r="L145" s="248"/>
      <c r="M145" s="248" t="s">
        <v>367</v>
      </c>
    </row>
    <row r="146" spans="1:13" ht="20.100000000000001" customHeight="1">
      <c r="A146" s="248"/>
      <c r="B146" s="248" t="s">
        <v>4145</v>
      </c>
      <c r="C146" s="248" t="s">
        <v>4146</v>
      </c>
      <c r="D146" s="248"/>
      <c r="E146" s="248"/>
      <c r="F146" s="248"/>
      <c r="G146" s="248" t="s">
        <v>368</v>
      </c>
      <c r="H146" s="248"/>
      <c r="I146" s="248"/>
      <c r="J146" s="248"/>
      <c r="K146" s="248"/>
      <c r="L146" s="248"/>
      <c r="M146" s="248" t="s">
        <v>369</v>
      </c>
    </row>
    <row r="147" spans="1:13" ht="20.100000000000001" customHeight="1">
      <c r="A147" s="248"/>
      <c r="B147" s="248" t="s">
        <v>4147</v>
      </c>
      <c r="C147" s="248" t="s">
        <v>4003</v>
      </c>
      <c r="D147" s="248"/>
      <c r="E147" s="248"/>
      <c r="F147" s="248"/>
      <c r="G147" s="248" t="s">
        <v>370</v>
      </c>
      <c r="H147" s="248"/>
      <c r="I147" s="248"/>
      <c r="J147" s="248"/>
      <c r="K147" s="248"/>
      <c r="L147" s="248"/>
      <c r="M147" s="248" t="s">
        <v>371</v>
      </c>
    </row>
    <row r="148" spans="1:13" ht="20.100000000000001" customHeight="1">
      <c r="A148" s="248"/>
      <c r="B148" s="248" t="s">
        <v>4148</v>
      </c>
      <c r="C148" s="248" t="s">
        <v>4003</v>
      </c>
      <c r="D148" s="248"/>
      <c r="E148" s="248"/>
      <c r="F148" s="248"/>
      <c r="G148" s="248" t="s">
        <v>372</v>
      </c>
      <c r="H148" s="248"/>
      <c r="I148" s="248"/>
      <c r="J148" s="248"/>
      <c r="K148" s="248"/>
      <c r="L148" s="248"/>
      <c r="M148" s="248" t="s">
        <v>373</v>
      </c>
    </row>
    <row r="149" spans="1:13" ht="20.100000000000001" customHeight="1">
      <c r="A149" s="248"/>
      <c r="B149" s="248" t="s">
        <v>4149</v>
      </c>
      <c r="C149" s="248" t="s">
        <v>4014</v>
      </c>
      <c r="D149" s="248"/>
      <c r="E149" s="248"/>
      <c r="F149" s="248"/>
      <c r="G149" s="248" t="s">
        <v>374</v>
      </c>
      <c r="H149" s="248"/>
      <c r="I149" s="248"/>
      <c r="J149" s="248"/>
      <c r="K149" s="248"/>
      <c r="L149" s="248"/>
      <c r="M149" s="248" t="s">
        <v>375</v>
      </c>
    </row>
    <row r="150" spans="1:13" ht="20.100000000000001" customHeight="1">
      <c r="A150" s="248"/>
      <c r="B150" s="248" t="s">
        <v>4150</v>
      </c>
      <c r="C150" s="248" t="s">
        <v>4030</v>
      </c>
      <c r="D150" s="248"/>
      <c r="E150" s="248"/>
      <c r="F150" s="248"/>
      <c r="G150" s="248" t="s">
        <v>376</v>
      </c>
      <c r="H150" s="248"/>
      <c r="I150" s="248"/>
      <c r="J150" s="248"/>
      <c r="K150" s="248"/>
      <c r="L150" s="248"/>
      <c r="M150" s="248" t="s">
        <v>377</v>
      </c>
    </row>
    <row r="151" spans="1:13" ht="20.100000000000001" customHeight="1">
      <c r="A151" s="248"/>
      <c r="B151" s="248" t="s">
        <v>6426</v>
      </c>
      <c r="C151" s="248" t="s">
        <v>4008</v>
      </c>
      <c r="D151" s="248"/>
      <c r="E151" s="248"/>
      <c r="F151" s="248"/>
      <c r="G151" s="248" t="s">
        <v>6427</v>
      </c>
      <c r="H151" s="248"/>
      <c r="I151" s="248"/>
      <c r="J151" s="248"/>
      <c r="K151" s="248"/>
      <c r="L151" s="248"/>
      <c r="M151" s="248" t="s">
        <v>196</v>
      </c>
    </row>
    <row r="152" spans="1:13" ht="20.100000000000001" customHeight="1">
      <c r="A152" s="248"/>
      <c r="B152" s="248" t="s">
        <v>6542</v>
      </c>
      <c r="C152" s="248" t="s">
        <v>4012</v>
      </c>
      <c r="D152" s="248"/>
      <c r="E152" s="248"/>
      <c r="F152" s="248"/>
      <c r="G152" s="248" t="s">
        <v>6543</v>
      </c>
      <c r="H152" s="248"/>
      <c r="I152" s="248"/>
      <c r="J152" s="248"/>
      <c r="K152" s="248"/>
      <c r="L152" s="248"/>
      <c r="M152" s="248" t="s">
        <v>6544</v>
      </c>
    </row>
    <row r="153" spans="1:13" ht="20.100000000000001" customHeight="1">
      <c r="A153" s="248"/>
      <c r="B153" s="248" t="s">
        <v>4151</v>
      </c>
      <c r="C153" s="248" t="s">
        <v>4003</v>
      </c>
      <c r="D153" s="248"/>
      <c r="E153" s="248"/>
      <c r="F153" s="248"/>
      <c r="G153" s="248" t="s">
        <v>3127</v>
      </c>
      <c r="H153" s="248"/>
      <c r="I153" s="248"/>
      <c r="J153" s="248"/>
      <c r="K153" s="248"/>
      <c r="L153" s="248"/>
      <c r="M153" s="248" t="s">
        <v>3128</v>
      </c>
    </row>
    <row r="154" spans="1:13" ht="20.100000000000001" customHeight="1">
      <c r="A154" s="248"/>
      <c r="B154" s="248" t="s">
        <v>4152</v>
      </c>
      <c r="C154" s="248" t="s">
        <v>4050</v>
      </c>
      <c r="D154" s="248"/>
      <c r="E154" s="248"/>
      <c r="F154" s="248"/>
      <c r="G154" s="248" t="s">
        <v>378</v>
      </c>
      <c r="H154" s="248"/>
      <c r="I154" s="248"/>
      <c r="J154" s="248"/>
      <c r="K154" s="248"/>
      <c r="L154" s="248"/>
      <c r="M154" s="248" t="s">
        <v>379</v>
      </c>
    </row>
    <row r="155" spans="1:13" ht="20.100000000000001" customHeight="1">
      <c r="A155" s="249"/>
      <c r="B155" s="249" t="s">
        <v>6278</v>
      </c>
      <c r="C155" s="250" t="s">
        <v>4036</v>
      </c>
      <c r="D155" s="249"/>
      <c r="E155" s="249"/>
      <c r="F155" s="249"/>
      <c r="G155" s="249" t="s">
        <v>6279</v>
      </c>
      <c r="H155" s="249"/>
      <c r="I155" s="249"/>
      <c r="J155" s="249"/>
      <c r="K155" s="249"/>
      <c r="L155" s="249"/>
      <c r="M155" s="249" t="s">
        <v>3447</v>
      </c>
    </row>
    <row r="156" spans="1:13" ht="20.100000000000001" customHeight="1">
      <c r="A156" s="248"/>
      <c r="B156" s="248" t="s">
        <v>4153</v>
      </c>
      <c r="C156" s="248" t="s">
        <v>4012</v>
      </c>
      <c r="D156" s="248"/>
      <c r="E156" s="248"/>
      <c r="F156" s="248"/>
      <c r="G156" s="248" t="s">
        <v>380</v>
      </c>
      <c r="H156" s="248"/>
      <c r="I156" s="248"/>
      <c r="J156" s="248"/>
      <c r="K156" s="248"/>
      <c r="L156" s="248"/>
      <c r="M156" s="248" t="s">
        <v>381</v>
      </c>
    </row>
    <row r="157" spans="1:13" ht="20.100000000000001" customHeight="1">
      <c r="A157" s="248"/>
      <c r="B157" s="248" t="s">
        <v>4154</v>
      </c>
      <c r="C157" s="248" t="s">
        <v>4030</v>
      </c>
      <c r="D157" s="248"/>
      <c r="E157" s="248"/>
      <c r="F157" s="248"/>
      <c r="G157" s="248" t="s">
        <v>3242</v>
      </c>
      <c r="H157" s="248"/>
      <c r="I157" s="248"/>
      <c r="J157" s="248"/>
      <c r="K157" s="248"/>
      <c r="L157" s="248"/>
      <c r="M157" s="248" t="s">
        <v>3243</v>
      </c>
    </row>
    <row r="158" spans="1:13" ht="20.100000000000001" customHeight="1">
      <c r="A158" s="249"/>
      <c r="B158" s="249" t="s">
        <v>6428</v>
      </c>
      <c r="C158" s="250" t="s">
        <v>4057</v>
      </c>
      <c r="D158" s="249"/>
      <c r="E158" s="249"/>
      <c r="F158" s="249"/>
      <c r="G158" s="249" t="s">
        <v>6429</v>
      </c>
      <c r="H158" s="249"/>
      <c r="I158" s="249"/>
      <c r="J158" s="249"/>
      <c r="K158" s="249"/>
      <c r="L158" s="249"/>
      <c r="M158" s="249" t="s">
        <v>196</v>
      </c>
    </row>
    <row r="159" spans="1:13" ht="20.100000000000001" customHeight="1">
      <c r="A159" s="249"/>
      <c r="B159" s="249" t="s">
        <v>4155</v>
      </c>
      <c r="C159" s="250" t="s">
        <v>4012</v>
      </c>
      <c r="D159" s="249"/>
      <c r="E159" s="249"/>
      <c r="F159" s="249"/>
      <c r="G159" s="249" t="s">
        <v>382</v>
      </c>
      <c r="H159" s="249"/>
      <c r="I159" s="249"/>
      <c r="J159" s="249"/>
      <c r="K159" s="249"/>
      <c r="L159" s="249"/>
      <c r="M159" s="249" t="s">
        <v>383</v>
      </c>
    </row>
    <row r="160" spans="1:13" ht="20.100000000000001" customHeight="1">
      <c r="A160" s="248"/>
      <c r="B160" s="248" t="s">
        <v>4156</v>
      </c>
      <c r="C160" s="248" t="s">
        <v>4016</v>
      </c>
      <c r="D160" s="248"/>
      <c r="E160" s="248"/>
      <c r="F160" s="248"/>
      <c r="G160" s="248" t="s">
        <v>3331</v>
      </c>
      <c r="H160" s="248"/>
      <c r="I160" s="248"/>
      <c r="J160" s="248"/>
      <c r="K160" s="248"/>
      <c r="L160" s="248"/>
      <c r="M160" s="248" t="s">
        <v>3332</v>
      </c>
    </row>
    <row r="161" spans="1:13" ht="20.100000000000001" customHeight="1">
      <c r="A161" s="248"/>
      <c r="B161" s="248" t="s">
        <v>4157</v>
      </c>
      <c r="C161" s="248" t="s">
        <v>4008</v>
      </c>
      <c r="D161" s="248"/>
      <c r="E161" s="248"/>
      <c r="F161" s="248"/>
      <c r="G161" s="248" t="s">
        <v>384</v>
      </c>
      <c r="H161" s="248"/>
      <c r="I161" s="248"/>
      <c r="J161" s="248"/>
      <c r="K161" s="248"/>
      <c r="L161" s="248"/>
      <c r="M161" s="248" t="s">
        <v>385</v>
      </c>
    </row>
    <row r="162" spans="1:13" ht="20.100000000000001" customHeight="1">
      <c r="A162" s="248"/>
      <c r="B162" s="248" t="s">
        <v>6477</v>
      </c>
      <c r="C162" s="248" t="s">
        <v>4003</v>
      </c>
      <c r="D162" s="248"/>
      <c r="E162" s="248"/>
      <c r="F162" s="248"/>
      <c r="G162" s="248" t="s">
        <v>6478</v>
      </c>
      <c r="H162" s="248"/>
      <c r="I162" s="248"/>
      <c r="J162" s="248"/>
      <c r="K162" s="248"/>
      <c r="L162" s="248"/>
      <c r="M162" s="248" t="s">
        <v>6479</v>
      </c>
    </row>
    <row r="163" spans="1:13" ht="20.100000000000001" customHeight="1">
      <c r="A163" s="248"/>
      <c r="B163" s="248" t="s">
        <v>4158</v>
      </c>
      <c r="C163" s="248" t="s">
        <v>4016</v>
      </c>
      <c r="D163" s="248"/>
      <c r="E163" s="248"/>
      <c r="F163" s="248"/>
      <c r="G163" s="248" t="s">
        <v>3448</v>
      </c>
      <c r="H163" s="248"/>
      <c r="I163" s="248"/>
      <c r="J163" s="248"/>
      <c r="K163" s="248"/>
      <c r="L163" s="248"/>
      <c r="M163" s="248" t="s">
        <v>3449</v>
      </c>
    </row>
    <row r="164" spans="1:13" ht="20.100000000000001" customHeight="1">
      <c r="A164" s="248"/>
      <c r="B164" s="248" t="s">
        <v>4159</v>
      </c>
      <c r="C164" s="248" t="s">
        <v>4057</v>
      </c>
      <c r="D164" s="248"/>
      <c r="E164" s="248"/>
      <c r="F164" s="248"/>
      <c r="G164" s="248" t="s">
        <v>386</v>
      </c>
      <c r="H164" s="248"/>
      <c r="I164" s="248"/>
      <c r="J164" s="248"/>
      <c r="K164" s="248"/>
      <c r="L164" s="248"/>
      <c r="M164" s="248" t="s">
        <v>387</v>
      </c>
    </row>
    <row r="165" spans="1:13" ht="20.100000000000001" customHeight="1">
      <c r="A165" s="248"/>
      <c r="B165" s="248" t="s">
        <v>4160</v>
      </c>
      <c r="C165" s="248" t="s">
        <v>4121</v>
      </c>
      <c r="D165" s="248"/>
      <c r="E165" s="248"/>
      <c r="F165" s="248"/>
      <c r="G165" s="248" t="s">
        <v>388</v>
      </c>
      <c r="H165" s="248"/>
      <c r="I165" s="248"/>
      <c r="J165" s="248"/>
      <c r="K165" s="248"/>
      <c r="L165" s="248"/>
      <c r="M165" s="248" t="s">
        <v>389</v>
      </c>
    </row>
    <row r="166" spans="1:13" ht="20.100000000000001" customHeight="1">
      <c r="A166" s="248"/>
      <c r="B166" s="248" t="s">
        <v>4161</v>
      </c>
      <c r="C166" s="248" t="s">
        <v>4025</v>
      </c>
      <c r="D166" s="248"/>
      <c r="E166" s="248"/>
      <c r="F166" s="248"/>
      <c r="G166" s="248" t="s">
        <v>390</v>
      </c>
      <c r="H166" s="248"/>
      <c r="I166" s="248"/>
      <c r="J166" s="248"/>
      <c r="K166" s="248"/>
      <c r="L166" s="248"/>
      <c r="M166" s="248" t="s">
        <v>391</v>
      </c>
    </row>
    <row r="167" spans="1:13" ht="20.100000000000001" customHeight="1">
      <c r="A167" s="248"/>
      <c r="B167" s="248" t="s">
        <v>4162</v>
      </c>
      <c r="C167" s="248" t="s">
        <v>4012</v>
      </c>
      <c r="D167" s="248"/>
      <c r="E167" s="248"/>
      <c r="F167" s="248"/>
      <c r="G167" s="248" t="s">
        <v>3145</v>
      </c>
      <c r="H167" s="248"/>
      <c r="I167" s="248"/>
      <c r="J167" s="248"/>
      <c r="K167" s="248"/>
      <c r="L167" s="248"/>
      <c r="M167" s="248" t="s">
        <v>3146</v>
      </c>
    </row>
    <row r="168" spans="1:13" ht="20.100000000000001" customHeight="1">
      <c r="A168" s="248"/>
      <c r="B168" s="248" t="s">
        <v>4163</v>
      </c>
      <c r="C168" s="248" t="s">
        <v>4016</v>
      </c>
      <c r="D168" s="248"/>
      <c r="E168" s="248"/>
      <c r="F168" s="248"/>
      <c r="G168" s="248" t="s">
        <v>392</v>
      </c>
      <c r="H168" s="248"/>
      <c r="I168" s="248"/>
      <c r="J168" s="248"/>
      <c r="K168" s="248"/>
      <c r="L168" s="248"/>
      <c r="M168" s="248" t="s">
        <v>393</v>
      </c>
    </row>
    <row r="169" spans="1:13" ht="20.100000000000001" customHeight="1">
      <c r="A169" s="248"/>
      <c r="B169" s="248" t="s">
        <v>4164</v>
      </c>
      <c r="C169" s="248" t="s">
        <v>4030</v>
      </c>
      <c r="D169" s="248"/>
      <c r="E169" s="248"/>
      <c r="F169" s="248"/>
      <c r="G169" s="248" t="s">
        <v>394</v>
      </c>
      <c r="H169" s="248"/>
      <c r="I169" s="248"/>
      <c r="J169" s="248"/>
      <c r="K169" s="248"/>
      <c r="L169" s="248"/>
      <c r="M169" s="248" t="s">
        <v>395</v>
      </c>
    </row>
    <row r="170" spans="1:13" ht="20.100000000000001" customHeight="1">
      <c r="A170" s="248"/>
      <c r="B170" s="248" t="s">
        <v>4165</v>
      </c>
      <c r="C170" s="248" t="s">
        <v>4012</v>
      </c>
      <c r="D170" s="248"/>
      <c r="E170" s="248"/>
      <c r="F170" s="248"/>
      <c r="G170" s="248" t="s">
        <v>396</v>
      </c>
      <c r="H170" s="248"/>
      <c r="I170" s="248"/>
      <c r="J170" s="248"/>
      <c r="K170" s="248"/>
      <c r="L170" s="248"/>
      <c r="M170" s="248" t="s">
        <v>397</v>
      </c>
    </row>
    <row r="171" spans="1:13" ht="20.100000000000001" customHeight="1">
      <c r="A171" s="248"/>
      <c r="B171" s="248" t="s">
        <v>4166</v>
      </c>
      <c r="C171" s="248" t="s">
        <v>4003</v>
      </c>
      <c r="D171" s="248"/>
      <c r="E171" s="248"/>
      <c r="F171" s="248"/>
      <c r="G171" s="248" t="s">
        <v>3233</v>
      </c>
      <c r="H171" s="248"/>
      <c r="I171" s="248"/>
      <c r="J171" s="248"/>
      <c r="K171" s="248"/>
      <c r="L171" s="248"/>
      <c r="M171" s="248" t="s">
        <v>3234</v>
      </c>
    </row>
    <row r="172" spans="1:13" ht="20.100000000000001" customHeight="1">
      <c r="A172" s="248"/>
      <c r="B172" s="248" t="s">
        <v>4167</v>
      </c>
      <c r="C172" s="248" t="s">
        <v>4016</v>
      </c>
      <c r="D172" s="248"/>
      <c r="E172" s="248"/>
      <c r="F172" s="248"/>
      <c r="G172" s="248" t="s">
        <v>3253</v>
      </c>
      <c r="H172" s="248"/>
      <c r="I172" s="248"/>
      <c r="J172" s="248"/>
      <c r="K172" s="248"/>
      <c r="L172" s="248"/>
      <c r="M172" s="248" t="s">
        <v>398</v>
      </c>
    </row>
    <row r="173" spans="1:13" ht="20.100000000000001" customHeight="1">
      <c r="A173" s="248"/>
      <c r="B173" s="248" t="s">
        <v>4168</v>
      </c>
      <c r="C173" s="248" t="s">
        <v>4014</v>
      </c>
      <c r="D173" s="248"/>
      <c r="E173" s="248"/>
      <c r="F173" s="248"/>
      <c r="G173" s="248" t="s">
        <v>399</v>
      </c>
      <c r="H173" s="248"/>
      <c r="I173" s="248"/>
      <c r="J173" s="248"/>
      <c r="K173" s="248"/>
      <c r="L173" s="248"/>
      <c r="M173" s="248" t="s">
        <v>400</v>
      </c>
    </row>
    <row r="174" spans="1:13" ht="20.100000000000001" customHeight="1">
      <c r="A174" s="248"/>
      <c r="B174" s="248" t="s">
        <v>4169</v>
      </c>
      <c r="C174" s="248" t="s">
        <v>4016</v>
      </c>
      <c r="D174" s="248"/>
      <c r="E174" s="248"/>
      <c r="F174" s="248"/>
      <c r="G174" s="248" t="s">
        <v>3824</v>
      </c>
      <c r="H174" s="248"/>
      <c r="I174" s="248"/>
      <c r="J174" s="248"/>
      <c r="K174" s="248"/>
      <c r="L174" s="248"/>
      <c r="M174" s="248" t="s">
        <v>3550</v>
      </c>
    </row>
    <row r="175" spans="1:13" ht="20.100000000000001" customHeight="1">
      <c r="A175" s="248"/>
      <c r="B175" s="248" t="s">
        <v>4170</v>
      </c>
      <c r="C175" s="248" t="s">
        <v>4008</v>
      </c>
      <c r="D175" s="248"/>
      <c r="E175" s="248"/>
      <c r="F175" s="248"/>
      <c r="G175" s="248" t="s">
        <v>401</v>
      </c>
      <c r="H175" s="248"/>
      <c r="I175" s="248"/>
      <c r="J175" s="248"/>
      <c r="K175" s="248"/>
      <c r="L175" s="248"/>
      <c r="M175" s="248" t="s">
        <v>3165</v>
      </c>
    </row>
    <row r="176" spans="1:13" ht="20.100000000000001" customHeight="1">
      <c r="A176" s="248"/>
      <c r="B176" s="248" t="s">
        <v>4171</v>
      </c>
      <c r="C176" s="248" t="s">
        <v>4008</v>
      </c>
      <c r="D176" s="248"/>
      <c r="E176" s="248"/>
      <c r="F176" s="248"/>
      <c r="G176" s="248" t="s">
        <v>402</v>
      </c>
      <c r="H176" s="248"/>
      <c r="I176" s="248"/>
      <c r="J176" s="248"/>
      <c r="K176" s="248"/>
      <c r="L176" s="248"/>
      <c r="M176" s="248" t="s">
        <v>403</v>
      </c>
    </row>
    <row r="177" spans="1:13" ht="20.100000000000001" customHeight="1">
      <c r="A177" s="248"/>
      <c r="B177" s="248" t="s">
        <v>4172</v>
      </c>
      <c r="C177" s="248" t="s">
        <v>4036</v>
      </c>
      <c r="D177" s="248"/>
      <c r="E177" s="248"/>
      <c r="F177" s="248"/>
      <c r="G177" s="248" t="s">
        <v>404</v>
      </c>
      <c r="H177" s="248"/>
      <c r="I177" s="248"/>
      <c r="J177" s="248"/>
      <c r="K177" s="248"/>
      <c r="L177" s="248"/>
      <c r="M177" s="248" t="s">
        <v>405</v>
      </c>
    </row>
    <row r="178" spans="1:13" ht="20.100000000000001" customHeight="1">
      <c r="A178" s="248"/>
      <c r="B178" s="248" t="s">
        <v>6280</v>
      </c>
      <c r="C178" s="248" t="s">
        <v>4036</v>
      </c>
      <c r="D178" s="248"/>
      <c r="E178" s="248"/>
      <c r="F178" s="248"/>
      <c r="G178" s="248" t="s">
        <v>6281</v>
      </c>
      <c r="H178" s="248"/>
      <c r="I178" s="248"/>
      <c r="J178" s="248"/>
      <c r="K178" s="248"/>
      <c r="L178" s="248"/>
      <c r="M178" s="248" t="s">
        <v>6282</v>
      </c>
    </row>
    <row r="179" spans="1:13" ht="20.100000000000001" customHeight="1">
      <c r="A179" s="248"/>
      <c r="B179" s="248" t="s">
        <v>4173</v>
      </c>
      <c r="C179" s="248" t="s">
        <v>4174</v>
      </c>
      <c r="D179" s="248"/>
      <c r="E179" s="248"/>
      <c r="F179" s="248"/>
      <c r="G179" s="248" t="s">
        <v>406</v>
      </c>
      <c r="H179" s="248"/>
      <c r="I179" s="248"/>
      <c r="J179" s="248"/>
      <c r="K179" s="248"/>
      <c r="L179" s="248"/>
      <c r="M179" s="248" t="s">
        <v>407</v>
      </c>
    </row>
    <row r="180" spans="1:13" ht="20.100000000000001" customHeight="1">
      <c r="A180" s="248"/>
      <c r="B180" s="248" t="s">
        <v>4175</v>
      </c>
      <c r="C180" s="248" t="s">
        <v>4025</v>
      </c>
      <c r="D180" s="248"/>
      <c r="E180" s="248"/>
      <c r="F180" s="248"/>
      <c r="G180" s="248" t="s">
        <v>408</v>
      </c>
      <c r="H180" s="248"/>
      <c r="I180" s="248"/>
      <c r="J180" s="248"/>
      <c r="K180" s="248"/>
      <c r="L180" s="248"/>
      <c r="M180" s="248" t="s">
        <v>409</v>
      </c>
    </row>
    <row r="181" spans="1:13" ht="20.100000000000001" customHeight="1">
      <c r="A181" s="248"/>
      <c r="B181" s="248" t="s">
        <v>4176</v>
      </c>
      <c r="C181" s="248" t="s">
        <v>4016</v>
      </c>
      <c r="D181" s="248"/>
      <c r="E181" s="248"/>
      <c r="F181" s="248"/>
      <c r="G181" s="248" t="s">
        <v>410</v>
      </c>
      <c r="H181" s="248"/>
      <c r="I181" s="248"/>
      <c r="J181" s="248"/>
      <c r="K181" s="248"/>
      <c r="L181" s="248"/>
      <c r="M181" s="248" t="s">
        <v>411</v>
      </c>
    </row>
    <row r="182" spans="1:13" ht="20.100000000000001" customHeight="1">
      <c r="A182" s="248"/>
      <c r="B182" s="248" t="s">
        <v>4177</v>
      </c>
      <c r="C182" s="248" t="s">
        <v>4016</v>
      </c>
      <c r="D182" s="248"/>
      <c r="E182" s="248"/>
      <c r="F182" s="248"/>
      <c r="G182" s="248" t="s">
        <v>6392</v>
      </c>
      <c r="H182" s="248"/>
      <c r="I182" s="248"/>
      <c r="J182" s="248"/>
      <c r="K182" s="248"/>
      <c r="L182" s="248"/>
      <c r="M182" s="248" t="s">
        <v>411</v>
      </c>
    </row>
    <row r="183" spans="1:13" ht="20.100000000000001" customHeight="1">
      <c r="A183" s="248"/>
      <c r="B183" s="248" t="s">
        <v>4178</v>
      </c>
      <c r="C183" s="248" t="s">
        <v>4012</v>
      </c>
      <c r="D183" s="248"/>
      <c r="E183" s="248"/>
      <c r="F183" s="248"/>
      <c r="G183" s="248" t="s">
        <v>412</v>
      </c>
      <c r="H183" s="248"/>
      <c r="I183" s="248"/>
      <c r="J183" s="248"/>
      <c r="K183" s="248"/>
      <c r="L183" s="248"/>
      <c r="M183" s="248" t="s">
        <v>413</v>
      </c>
    </row>
    <row r="184" spans="1:13" ht="20.100000000000001" customHeight="1">
      <c r="A184" s="248"/>
      <c r="B184" s="248" t="s">
        <v>4179</v>
      </c>
      <c r="C184" s="248" t="s">
        <v>4016</v>
      </c>
      <c r="D184" s="248"/>
      <c r="E184" s="248"/>
      <c r="F184" s="248"/>
      <c r="G184" s="248" t="s">
        <v>6356</v>
      </c>
      <c r="H184" s="248"/>
      <c r="I184" s="248"/>
      <c r="J184" s="248"/>
      <c r="K184" s="248"/>
      <c r="L184" s="248"/>
      <c r="M184" s="248" t="s">
        <v>415</v>
      </c>
    </row>
    <row r="185" spans="1:13" ht="20.100000000000001" customHeight="1">
      <c r="A185" s="248"/>
      <c r="B185" s="248" t="s">
        <v>4180</v>
      </c>
      <c r="C185" s="248" t="s">
        <v>4030</v>
      </c>
      <c r="D185" s="248"/>
      <c r="E185" s="248"/>
      <c r="F185" s="248"/>
      <c r="G185" s="248" t="s">
        <v>416</v>
      </c>
      <c r="H185" s="248"/>
      <c r="I185" s="248"/>
      <c r="J185" s="248"/>
      <c r="K185" s="248"/>
      <c r="L185" s="248"/>
      <c r="M185" s="248" t="s">
        <v>417</v>
      </c>
    </row>
    <row r="186" spans="1:13" ht="20.100000000000001" customHeight="1">
      <c r="A186" s="248"/>
      <c r="B186" s="248" t="s">
        <v>4181</v>
      </c>
      <c r="C186" s="248" t="s">
        <v>4008</v>
      </c>
      <c r="D186" s="248"/>
      <c r="E186" s="248"/>
      <c r="F186" s="248"/>
      <c r="G186" s="248" t="s">
        <v>418</v>
      </c>
      <c r="H186" s="248"/>
      <c r="I186" s="248"/>
      <c r="J186" s="248"/>
      <c r="K186" s="248"/>
      <c r="L186" s="248"/>
      <c r="M186" s="248" t="s">
        <v>419</v>
      </c>
    </row>
    <row r="187" spans="1:13" ht="20.100000000000001" customHeight="1">
      <c r="A187" s="248"/>
      <c r="B187" s="248" t="s">
        <v>4182</v>
      </c>
      <c r="C187" s="248" t="s">
        <v>4025</v>
      </c>
      <c r="D187" s="248"/>
      <c r="E187" s="248"/>
      <c r="F187" s="248"/>
      <c r="G187" s="248" t="s">
        <v>3748</v>
      </c>
      <c r="H187" s="248"/>
      <c r="I187" s="248"/>
      <c r="J187" s="248"/>
      <c r="K187" s="248"/>
      <c r="L187" s="248"/>
      <c r="M187" s="248" t="s">
        <v>3749</v>
      </c>
    </row>
    <row r="188" spans="1:13" ht="20.100000000000001" customHeight="1">
      <c r="A188" s="248"/>
      <c r="B188" s="248" t="s">
        <v>4183</v>
      </c>
      <c r="C188" s="248" t="s">
        <v>4016</v>
      </c>
      <c r="D188" s="248"/>
      <c r="E188" s="248"/>
      <c r="F188" s="248"/>
      <c r="G188" s="248" t="s">
        <v>420</v>
      </c>
      <c r="H188" s="248"/>
      <c r="I188" s="248"/>
      <c r="J188" s="248"/>
      <c r="K188" s="248"/>
      <c r="L188" s="248"/>
      <c r="M188" s="248" t="s">
        <v>3550</v>
      </c>
    </row>
    <row r="189" spans="1:13" ht="20.100000000000001" customHeight="1">
      <c r="A189" s="248"/>
      <c r="B189" s="248" t="s">
        <v>4184</v>
      </c>
      <c r="C189" s="248" t="s">
        <v>4003</v>
      </c>
      <c r="D189" s="248"/>
      <c r="E189" s="248"/>
      <c r="F189" s="248"/>
      <c r="G189" s="248" t="s">
        <v>421</v>
      </c>
      <c r="H189" s="248"/>
      <c r="I189" s="248"/>
      <c r="J189" s="248"/>
      <c r="K189" s="248"/>
      <c r="L189" s="248"/>
      <c r="M189" s="248" t="s">
        <v>422</v>
      </c>
    </row>
    <row r="190" spans="1:13" ht="20.100000000000001" customHeight="1">
      <c r="A190" s="248"/>
      <c r="B190" s="248" t="s">
        <v>4185</v>
      </c>
      <c r="C190" s="248" t="s">
        <v>4146</v>
      </c>
      <c r="D190" s="248"/>
      <c r="E190" s="248"/>
      <c r="F190" s="248"/>
      <c r="G190" s="248" t="s">
        <v>423</v>
      </c>
      <c r="H190" s="248"/>
      <c r="I190" s="248"/>
      <c r="J190" s="248"/>
      <c r="K190" s="248"/>
      <c r="L190" s="248"/>
      <c r="M190" s="248" t="s">
        <v>424</v>
      </c>
    </row>
    <row r="191" spans="1:13" ht="20.100000000000001" customHeight="1">
      <c r="A191" s="248"/>
      <c r="B191" s="248" t="s">
        <v>6132</v>
      </c>
      <c r="C191" s="248" t="s">
        <v>4008</v>
      </c>
      <c r="D191" s="248"/>
      <c r="E191" s="248"/>
      <c r="F191" s="248"/>
      <c r="G191" s="248" t="s">
        <v>6133</v>
      </c>
      <c r="H191" s="248"/>
      <c r="I191" s="248"/>
      <c r="J191" s="248"/>
      <c r="K191" s="248"/>
      <c r="L191" s="248"/>
      <c r="M191" s="248" t="s">
        <v>6134</v>
      </c>
    </row>
    <row r="192" spans="1:13" ht="20.100000000000001" customHeight="1">
      <c r="A192" s="248"/>
      <c r="B192" s="248" t="s">
        <v>4186</v>
      </c>
      <c r="C192" s="248" t="s">
        <v>4014</v>
      </c>
      <c r="D192" s="248"/>
      <c r="E192" s="248"/>
      <c r="F192" s="248"/>
      <c r="G192" s="248" t="s">
        <v>425</v>
      </c>
      <c r="H192" s="248"/>
      <c r="I192" s="248"/>
      <c r="J192" s="248"/>
      <c r="K192" s="248"/>
      <c r="L192" s="248"/>
      <c r="M192" s="248" t="s">
        <v>426</v>
      </c>
    </row>
    <row r="193" spans="1:13" ht="20.100000000000001" customHeight="1">
      <c r="A193" s="248"/>
      <c r="B193" s="248" t="s">
        <v>4187</v>
      </c>
      <c r="C193" s="248" t="s">
        <v>4012</v>
      </c>
      <c r="D193" s="248"/>
      <c r="E193" s="248"/>
      <c r="F193" s="248"/>
      <c r="G193" s="248" t="s">
        <v>427</v>
      </c>
      <c r="H193" s="248"/>
      <c r="I193" s="248"/>
      <c r="J193" s="248"/>
      <c r="K193" s="248"/>
      <c r="L193" s="248"/>
      <c r="M193" s="248" t="s">
        <v>428</v>
      </c>
    </row>
    <row r="194" spans="1:13" ht="20.100000000000001" customHeight="1">
      <c r="A194" s="248"/>
      <c r="B194" s="248" t="s">
        <v>4188</v>
      </c>
      <c r="C194" s="248" t="s">
        <v>4012</v>
      </c>
      <c r="D194" s="248"/>
      <c r="E194" s="248"/>
      <c r="F194" s="248"/>
      <c r="G194" s="248" t="s">
        <v>429</v>
      </c>
      <c r="H194" s="248"/>
      <c r="I194" s="248"/>
      <c r="J194" s="248"/>
      <c r="K194" s="248"/>
      <c r="L194" s="248"/>
      <c r="M194" s="248" t="s">
        <v>430</v>
      </c>
    </row>
    <row r="195" spans="1:13" ht="20.100000000000001" customHeight="1">
      <c r="A195" s="248"/>
      <c r="B195" s="248" t="s">
        <v>4189</v>
      </c>
      <c r="C195" s="248" t="s">
        <v>4190</v>
      </c>
      <c r="D195" s="248"/>
      <c r="E195" s="248"/>
      <c r="F195" s="248"/>
      <c r="G195" s="248" t="s">
        <v>431</v>
      </c>
      <c r="H195" s="248"/>
      <c r="I195" s="248"/>
      <c r="J195" s="248"/>
      <c r="K195" s="248"/>
      <c r="L195" s="248"/>
      <c r="M195" s="248" t="s">
        <v>432</v>
      </c>
    </row>
    <row r="196" spans="1:13" ht="20.100000000000001" customHeight="1">
      <c r="A196" s="248"/>
      <c r="B196" s="248" t="s">
        <v>4191</v>
      </c>
      <c r="C196" s="248" t="s">
        <v>4025</v>
      </c>
      <c r="D196" s="248"/>
      <c r="E196" s="248"/>
      <c r="F196" s="248"/>
      <c r="G196" s="248" t="s">
        <v>3091</v>
      </c>
      <c r="H196" s="248"/>
      <c r="I196" s="248"/>
      <c r="J196" s="248"/>
      <c r="K196" s="248"/>
      <c r="L196" s="248"/>
      <c r="M196" s="248" t="s">
        <v>3092</v>
      </c>
    </row>
    <row r="197" spans="1:13" ht="20.100000000000001" customHeight="1">
      <c r="A197" s="248"/>
      <c r="B197" s="248" t="s">
        <v>4192</v>
      </c>
      <c r="C197" s="248" t="s">
        <v>4005</v>
      </c>
      <c r="D197" s="248"/>
      <c r="E197" s="248"/>
      <c r="F197" s="248"/>
      <c r="G197" s="248" t="s">
        <v>3893</v>
      </c>
      <c r="H197" s="248"/>
      <c r="I197" s="248"/>
      <c r="J197" s="248"/>
      <c r="K197" s="248"/>
      <c r="L197" s="248"/>
      <c r="M197" s="248" t="s">
        <v>3894</v>
      </c>
    </row>
    <row r="198" spans="1:13" ht="20.100000000000001" customHeight="1">
      <c r="A198" s="248"/>
      <c r="B198" s="248" t="s">
        <v>4193</v>
      </c>
      <c r="C198" s="248" t="s">
        <v>4016</v>
      </c>
      <c r="D198" s="248"/>
      <c r="E198" s="248"/>
      <c r="F198" s="248"/>
      <c r="G198" s="248" t="s">
        <v>433</v>
      </c>
      <c r="H198" s="248"/>
      <c r="I198" s="248"/>
      <c r="J198" s="248"/>
      <c r="K198" s="248"/>
      <c r="L198" s="248"/>
      <c r="M198" s="248" t="s">
        <v>434</v>
      </c>
    </row>
    <row r="199" spans="1:13" ht="20.100000000000001" customHeight="1">
      <c r="A199" s="248"/>
      <c r="B199" s="248" t="s">
        <v>4194</v>
      </c>
      <c r="C199" s="248" t="s">
        <v>4016</v>
      </c>
      <c r="D199" s="248"/>
      <c r="E199" s="248"/>
      <c r="F199" s="248"/>
      <c r="G199" s="248" t="s">
        <v>435</v>
      </c>
      <c r="H199" s="248"/>
      <c r="I199" s="248"/>
      <c r="J199" s="248"/>
      <c r="K199" s="248"/>
      <c r="L199" s="248"/>
      <c r="M199" s="248" t="s">
        <v>3550</v>
      </c>
    </row>
    <row r="200" spans="1:13" ht="20.100000000000001" customHeight="1">
      <c r="A200" s="248"/>
      <c r="B200" s="248" t="s">
        <v>4195</v>
      </c>
      <c r="C200" s="248" t="s">
        <v>4030</v>
      </c>
      <c r="D200" s="248"/>
      <c r="E200" s="248"/>
      <c r="F200" s="248"/>
      <c r="G200" s="248" t="s">
        <v>3189</v>
      </c>
      <c r="H200" s="248"/>
      <c r="I200" s="248"/>
      <c r="J200" s="248"/>
      <c r="K200" s="248"/>
      <c r="L200" s="248"/>
      <c r="M200" s="248" t="s">
        <v>3190</v>
      </c>
    </row>
    <row r="201" spans="1:13" ht="20.100000000000001" customHeight="1">
      <c r="A201" s="248"/>
      <c r="B201" s="248" t="s">
        <v>4196</v>
      </c>
      <c r="C201" s="248" t="s">
        <v>4057</v>
      </c>
      <c r="D201" s="248"/>
      <c r="E201" s="248"/>
      <c r="F201" s="248"/>
      <c r="G201" s="248" t="s">
        <v>436</v>
      </c>
      <c r="H201" s="248"/>
      <c r="I201" s="248"/>
      <c r="J201" s="248"/>
      <c r="K201" s="248"/>
      <c r="L201" s="248"/>
      <c r="M201" s="248" t="s">
        <v>437</v>
      </c>
    </row>
    <row r="202" spans="1:13" ht="20.100000000000001" customHeight="1">
      <c r="A202" s="248"/>
      <c r="B202" s="248" t="s">
        <v>4197</v>
      </c>
      <c r="C202" s="248" t="s">
        <v>4174</v>
      </c>
      <c r="D202" s="248"/>
      <c r="E202" s="248"/>
      <c r="F202" s="248"/>
      <c r="G202" s="248" t="s">
        <v>438</v>
      </c>
      <c r="H202" s="248"/>
      <c r="I202" s="248"/>
      <c r="J202" s="248"/>
      <c r="K202" s="248"/>
      <c r="L202" s="248"/>
      <c r="M202" s="248" t="s">
        <v>439</v>
      </c>
    </row>
    <row r="203" spans="1:13" ht="20.100000000000001" customHeight="1">
      <c r="A203" s="248"/>
      <c r="B203" s="248" t="s">
        <v>4198</v>
      </c>
      <c r="C203" s="248" t="s">
        <v>4174</v>
      </c>
      <c r="D203" s="248"/>
      <c r="E203" s="248"/>
      <c r="F203" s="248"/>
      <c r="G203" s="248" t="s">
        <v>3825</v>
      </c>
      <c r="H203" s="248"/>
      <c r="I203" s="248"/>
      <c r="J203" s="248"/>
      <c r="K203" s="248"/>
      <c r="L203" s="248"/>
      <c r="M203" s="248" t="s">
        <v>3550</v>
      </c>
    </row>
    <row r="204" spans="1:13" ht="20.100000000000001" customHeight="1">
      <c r="A204" s="248"/>
      <c r="B204" s="248" t="s">
        <v>4199</v>
      </c>
      <c r="C204" s="248" t="s">
        <v>4008</v>
      </c>
      <c r="D204" s="248"/>
      <c r="E204" s="248"/>
      <c r="F204" s="248"/>
      <c r="G204" s="248" t="s">
        <v>440</v>
      </c>
      <c r="H204" s="248"/>
      <c r="I204" s="248"/>
      <c r="J204" s="248"/>
      <c r="K204" s="248"/>
      <c r="L204" s="248"/>
      <c r="M204" s="248" t="s">
        <v>441</v>
      </c>
    </row>
    <row r="205" spans="1:13" ht="20.100000000000001" customHeight="1">
      <c r="A205" s="248"/>
      <c r="B205" s="248" t="s">
        <v>4200</v>
      </c>
      <c r="C205" s="248" t="s">
        <v>4008</v>
      </c>
      <c r="D205" s="248"/>
      <c r="E205" s="248"/>
      <c r="F205" s="248"/>
      <c r="G205" s="248" t="s">
        <v>442</v>
      </c>
      <c r="H205" s="248"/>
      <c r="I205" s="248"/>
      <c r="J205" s="248"/>
      <c r="K205" s="248"/>
      <c r="L205" s="248"/>
      <c r="M205" s="248" t="s">
        <v>443</v>
      </c>
    </row>
    <row r="206" spans="1:13" ht="20.100000000000001" customHeight="1">
      <c r="A206" s="248"/>
      <c r="B206" s="248" t="s">
        <v>4201</v>
      </c>
      <c r="C206" s="248" t="s">
        <v>4025</v>
      </c>
      <c r="D206" s="248"/>
      <c r="E206" s="248"/>
      <c r="F206" s="248"/>
      <c r="G206" s="248" t="s">
        <v>444</v>
      </c>
      <c r="H206" s="248"/>
      <c r="I206" s="248"/>
      <c r="J206" s="248"/>
      <c r="K206" s="248"/>
      <c r="L206" s="248"/>
      <c r="M206" s="248" t="s">
        <v>445</v>
      </c>
    </row>
    <row r="207" spans="1:13" ht="20.100000000000001" customHeight="1">
      <c r="A207" s="248"/>
      <c r="B207" s="248" t="s">
        <v>4202</v>
      </c>
      <c r="C207" s="248" t="s">
        <v>4030</v>
      </c>
      <c r="D207" s="248"/>
      <c r="E207" s="248"/>
      <c r="F207" s="248"/>
      <c r="G207" s="248" t="s">
        <v>446</v>
      </c>
      <c r="H207" s="248"/>
      <c r="I207" s="248"/>
      <c r="J207" s="248"/>
      <c r="K207" s="248"/>
      <c r="L207" s="248"/>
      <c r="M207" s="248" t="s">
        <v>3550</v>
      </c>
    </row>
    <row r="208" spans="1:13" ht="20.100000000000001" customHeight="1">
      <c r="A208" s="248"/>
      <c r="B208" s="248" t="s">
        <v>4203</v>
      </c>
      <c r="C208" s="248" t="s">
        <v>4012</v>
      </c>
      <c r="D208" s="248"/>
      <c r="E208" s="248"/>
      <c r="F208" s="248"/>
      <c r="G208" s="248" t="s">
        <v>447</v>
      </c>
      <c r="H208" s="248"/>
      <c r="I208" s="248"/>
      <c r="J208" s="248"/>
      <c r="K208" s="248"/>
      <c r="L208" s="248"/>
      <c r="M208" s="248" t="s">
        <v>448</v>
      </c>
    </row>
    <row r="209" spans="1:13" ht="20.100000000000001" customHeight="1">
      <c r="A209" s="248"/>
      <c r="B209" s="248" t="s">
        <v>4204</v>
      </c>
      <c r="C209" s="248" t="s">
        <v>4008</v>
      </c>
      <c r="D209" s="248"/>
      <c r="E209" s="248"/>
      <c r="F209" s="248"/>
      <c r="G209" s="248" t="s">
        <v>449</v>
      </c>
      <c r="H209" s="248"/>
      <c r="I209" s="248"/>
      <c r="J209" s="248"/>
      <c r="K209" s="248"/>
      <c r="L209" s="248"/>
      <c r="M209" s="248" t="s">
        <v>3550</v>
      </c>
    </row>
    <row r="210" spans="1:13" ht="20.100000000000001" customHeight="1">
      <c r="A210" s="248"/>
      <c r="B210" s="248" t="s">
        <v>4205</v>
      </c>
      <c r="C210" s="248" t="s">
        <v>4030</v>
      </c>
      <c r="D210" s="248"/>
      <c r="E210" s="248"/>
      <c r="F210" s="248"/>
      <c r="G210" s="248" t="s">
        <v>3132</v>
      </c>
      <c r="H210" s="248"/>
      <c r="I210" s="248"/>
      <c r="J210" s="248"/>
      <c r="K210" s="248"/>
      <c r="L210" s="248"/>
      <c r="M210" s="248" t="s">
        <v>3133</v>
      </c>
    </row>
    <row r="211" spans="1:13" ht="20.100000000000001" customHeight="1">
      <c r="A211" s="248"/>
      <c r="B211" s="248" t="s">
        <v>4206</v>
      </c>
      <c r="C211" s="248" t="s">
        <v>4016</v>
      </c>
      <c r="D211" s="248"/>
      <c r="E211" s="248"/>
      <c r="F211" s="248"/>
      <c r="G211" s="248" t="s">
        <v>450</v>
      </c>
      <c r="H211" s="248"/>
      <c r="I211" s="248"/>
      <c r="J211" s="248"/>
      <c r="K211" s="248"/>
      <c r="L211" s="248"/>
      <c r="M211" s="248" t="s">
        <v>3550</v>
      </c>
    </row>
    <row r="212" spans="1:13" ht="20.100000000000001" customHeight="1">
      <c r="A212" s="248"/>
      <c r="B212" s="248" t="s">
        <v>4207</v>
      </c>
      <c r="C212" s="248" t="s">
        <v>4030</v>
      </c>
      <c r="D212" s="248"/>
      <c r="E212" s="248"/>
      <c r="F212" s="248"/>
      <c r="G212" s="248" t="s">
        <v>3771</v>
      </c>
      <c r="H212" s="248"/>
      <c r="I212" s="248"/>
      <c r="J212" s="248"/>
      <c r="K212" s="248"/>
      <c r="L212" s="248"/>
      <c r="M212" s="248" t="s">
        <v>3772</v>
      </c>
    </row>
    <row r="213" spans="1:13" ht="20.100000000000001" customHeight="1">
      <c r="A213" s="248"/>
      <c r="B213" s="248" t="s">
        <v>6218</v>
      </c>
      <c r="C213" s="248" t="s">
        <v>4016</v>
      </c>
      <c r="D213" s="248"/>
      <c r="E213" s="248"/>
      <c r="F213" s="248"/>
      <c r="G213" s="248" t="s">
        <v>6219</v>
      </c>
      <c r="H213" s="248"/>
      <c r="I213" s="248"/>
      <c r="J213" s="248"/>
      <c r="K213" s="248"/>
      <c r="L213" s="248"/>
      <c r="M213" s="248" t="s">
        <v>6220</v>
      </c>
    </row>
    <row r="214" spans="1:13" ht="20.100000000000001" customHeight="1">
      <c r="A214" s="248"/>
      <c r="B214" s="248" t="s">
        <v>4208</v>
      </c>
      <c r="C214" s="248" t="s">
        <v>4025</v>
      </c>
      <c r="D214" s="248"/>
      <c r="E214" s="248"/>
      <c r="F214" s="248"/>
      <c r="G214" s="248" t="s">
        <v>451</v>
      </c>
      <c r="H214" s="248"/>
      <c r="I214" s="248"/>
      <c r="J214" s="248"/>
      <c r="K214" s="248"/>
      <c r="L214" s="248"/>
      <c r="M214" s="248" t="s">
        <v>452</v>
      </c>
    </row>
    <row r="215" spans="1:13" ht="20.100000000000001" customHeight="1">
      <c r="A215" s="248"/>
      <c r="B215" s="248" t="s">
        <v>4209</v>
      </c>
      <c r="C215" s="248" t="s">
        <v>4030</v>
      </c>
      <c r="D215" s="248"/>
      <c r="E215" s="248"/>
      <c r="F215" s="248"/>
      <c r="G215" s="248" t="s">
        <v>453</v>
      </c>
      <c r="H215" s="248"/>
      <c r="I215" s="248"/>
      <c r="J215" s="248"/>
      <c r="K215" s="248"/>
      <c r="L215" s="248"/>
      <c r="M215" s="248" t="s">
        <v>454</v>
      </c>
    </row>
    <row r="216" spans="1:13" ht="20.100000000000001" customHeight="1">
      <c r="A216" s="248"/>
      <c r="B216" s="248" t="s">
        <v>4210</v>
      </c>
      <c r="C216" s="248" t="s">
        <v>4012</v>
      </c>
      <c r="D216" s="248"/>
      <c r="E216" s="248"/>
      <c r="F216" s="248"/>
      <c r="G216" s="248" t="s">
        <v>455</v>
      </c>
      <c r="H216" s="248"/>
      <c r="I216" s="248"/>
      <c r="J216" s="248"/>
      <c r="K216" s="248"/>
      <c r="L216" s="248"/>
      <c r="M216" s="248" t="s">
        <v>456</v>
      </c>
    </row>
    <row r="217" spans="1:13" ht="20.100000000000001" customHeight="1">
      <c r="A217" s="248"/>
      <c r="B217" s="248" t="s">
        <v>4211</v>
      </c>
      <c r="C217" s="248" t="s">
        <v>4012</v>
      </c>
      <c r="D217" s="248"/>
      <c r="E217" s="248"/>
      <c r="F217" s="248"/>
      <c r="G217" s="248" t="s">
        <v>457</v>
      </c>
      <c r="H217" s="248"/>
      <c r="I217" s="248"/>
      <c r="J217" s="248"/>
      <c r="K217" s="248"/>
      <c r="L217" s="248"/>
      <c r="M217" s="248" t="s">
        <v>458</v>
      </c>
    </row>
    <row r="218" spans="1:13" ht="20.100000000000001" customHeight="1">
      <c r="A218" s="248"/>
      <c r="B218" s="248" t="s">
        <v>4212</v>
      </c>
      <c r="C218" s="248" t="s">
        <v>4008</v>
      </c>
      <c r="D218" s="248"/>
      <c r="E218" s="248"/>
      <c r="F218" s="248"/>
      <c r="G218" s="248" t="s">
        <v>459</v>
      </c>
      <c r="H218" s="248"/>
      <c r="I218" s="248"/>
      <c r="J218" s="248"/>
      <c r="K218" s="248"/>
      <c r="L218" s="248"/>
      <c r="M218" s="248" t="s">
        <v>460</v>
      </c>
    </row>
    <row r="219" spans="1:13" ht="20.100000000000001" customHeight="1">
      <c r="A219" s="248"/>
      <c r="B219" s="248" t="s">
        <v>4213</v>
      </c>
      <c r="C219" s="248" t="s">
        <v>4036</v>
      </c>
      <c r="D219" s="248"/>
      <c r="E219" s="248"/>
      <c r="F219" s="248"/>
      <c r="G219" s="248" t="s">
        <v>461</v>
      </c>
      <c r="H219" s="248"/>
      <c r="I219" s="248"/>
      <c r="J219" s="248"/>
      <c r="K219" s="248"/>
      <c r="L219" s="248"/>
      <c r="M219" s="248" t="s">
        <v>462</v>
      </c>
    </row>
    <row r="220" spans="1:13" ht="20.100000000000001" customHeight="1">
      <c r="A220" s="248"/>
      <c r="B220" s="248" t="s">
        <v>4214</v>
      </c>
      <c r="C220" s="248" t="s">
        <v>4025</v>
      </c>
      <c r="D220" s="248"/>
      <c r="E220" s="248"/>
      <c r="F220" s="248"/>
      <c r="G220" s="248" t="s">
        <v>3205</v>
      </c>
      <c r="H220" s="248"/>
      <c r="I220" s="248"/>
      <c r="J220" s="248"/>
      <c r="K220" s="248"/>
      <c r="L220" s="248"/>
      <c r="M220" s="248" t="s">
        <v>3206</v>
      </c>
    </row>
    <row r="221" spans="1:13" ht="20.100000000000001" customHeight="1">
      <c r="A221" s="248"/>
      <c r="B221" s="248" t="s">
        <v>4215</v>
      </c>
      <c r="C221" s="248" t="s">
        <v>4036</v>
      </c>
      <c r="D221" s="248"/>
      <c r="E221" s="248"/>
      <c r="F221" s="248"/>
      <c r="G221" s="248" t="s">
        <v>463</v>
      </c>
      <c r="H221" s="248"/>
      <c r="I221" s="248"/>
      <c r="J221" s="248"/>
      <c r="K221" s="248"/>
      <c r="L221" s="248"/>
      <c r="M221" s="248" t="s">
        <v>464</v>
      </c>
    </row>
    <row r="222" spans="1:13" ht="20.100000000000001" customHeight="1">
      <c r="A222" s="248"/>
      <c r="B222" s="248" t="s">
        <v>4216</v>
      </c>
      <c r="C222" s="248" t="s">
        <v>4036</v>
      </c>
      <c r="D222" s="248"/>
      <c r="E222" s="248"/>
      <c r="F222" s="248"/>
      <c r="G222" s="248" t="s">
        <v>465</v>
      </c>
      <c r="H222" s="248"/>
      <c r="I222" s="248"/>
      <c r="J222" s="248"/>
      <c r="K222" s="248"/>
      <c r="L222" s="248"/>
      <c r="M222" s="248" t="s">
        <v>466</v>
      </c>
    </row>
    <row r="223" spans="1:13" ht="20.100000000000001" customHeight="1">
      <c r="A223" s="248"/>
      <c r="B223" s="248" t="s">
        <v>4217</v>
      </c>
      <c r="C223" s="248" t="s">
        <v>4025</v>
      </c>
      <c r="D223" s="248"/>
      <c r="E223" s="248"/>
      <c r="F223" s="248"/>
      <c r="G223" s="248" t="s">
        <v>467</v>
      </c>
      <c r="H223" s="248"/>
      <c r="I223" s="248"/>
      <c r="J223" s="248"/>
      <c r="K223" s="248"/>
      <c r="L223" s="248"/>
      <c r="M223" s="248" t="s">
        <v>468</v>
      </c>
    </row>
    <row r="224" spans="1:13" ht="20.100000000000001" customHeight="1">
      <c r="A224" s="248"/>
      <c r="B224" s="248" t="s">
        <v>4218</v>
      </c>
      <c r="C224" s="248" t="s">
        <v>4025</v>
      </c>
      <c r="D224" s="248"/>
      <c r="E224" s="248"/>
      <c r="F224" s="248"/>
      <c r="G224" s="248" t="s">
        <v>469</v>
      </c>
      <c r="H224" s="248"/>
      <c r="I224" s="248"/>
      <c r="J224" s="248"/>
      <c r="K224" s="248"/>
      <c r="L224" s="248"/>
      <c r="M224" s="248" t="s">
        <v>468</v>
      </c>
    </row>
    <row r="225" spans="1:13" ht="20.100000000000001" customHeight="1">
      <c r="A225" s="248"/>
      <c r="B225" s="248" t="s">
        <v>4219</v>
      </c>
      <c r="C225" s="248" t="s">
        <v>4030</v>
      </c>
      <c r="D225" s="248"/>
      <c r="E225" s="248"/>
      <c r="F225" s="248"/>
      <c r="G225" s="248" t="s">
        <v>470</v>
      </c>
      <c r="H225" s="248"/>
      <c r="I225" s="248"/>
      <c r="J225" s="248"/>
      <c r="K225" s="248"/>
      <c r="L225" s="248"/>
      <c r="M225" s="248" t="s">
        <v>471</v>
      </c>
    </row>
    <row r="226" spans="1:13" ht="20.100000000000001" customHeight="1">
      <c r="A226" s="248"/>
      <c r="B226" s="248" t="s">
        <v>4220</v>
      </c>
      <c r="C226" s="248" t="s">
        <v>4036</v>
      </c>
      <c r="D226" s="248"/>
      <c r="E226" s="248"/>
      <c r="F226" s="248"/>
      <c r="G226" s="248" t="s">
        <v>3281</v>
      </c>
      <c r="H226" s="248"/>
      <c r="I226" s="248"/>
      <c r="J226" s="248"/>
      <c r="K226" s="248"/>
      <c r="L226" s="248"/>
      <c r="M226" s="248" t="s">
        <v>3282</v>
      </c>
    </row>
    <row r="227" spans="1:13" ht="20.100000000000001" customHeight="1">
      <c r="A227" s="248"/>
      <c r="B227" s="248" t="s">
        <v>4221</v>
      </c>
      <c r="C227" s="248" t="s">
        <v>4014</v>
      </c>
      <c r="D227" s="248"/>
      <c r="E227" s="248"/>
      <c r="F227" s="248"/>
      <c r="G227" s="248" t="s">
        <v>472</v>
      </c>
      <c r="H227" s="248"/>
      <c r="I227" s="248"/>
      <c r="J227" s="248"/>
      <c r="K227" s="248"/>
      <c r="L227" s="248"/>
      <c r="M227" s="248" t="s">
        <v>473</v>
      </c>
    </row>
    <row r="228" spans="1:13" ht="20.100000000000001" customHeight="1">
      <c r="A228" s="248"/>
      <c r="B228" s="248" t="s">
        <v>4222</v>
      </c>
      <c r="C228" s="248" t="s">
        <v>4036</v>
      </c>
      <c r="D228" s="248"/>
      <c r="E228" s="248"/>
      <c r="F228" s="248"/>
      <c r="G228" s="248" t="s">
        <v>3519</v>
      </c>
      <c r="H228" s="248"/>
      <c r="I228" s="248"/>
      <c r="J228" s="248"/>
      <c r="K228" s="248"/>
      <c r="L228" s="248"/>
      <c r="M228" s="248" t="s">
        <v>474</v>
      </c>
    </row>
    <row r="229" spans="1:13" ht="20.100000000000001" customHeight="1">
      <c r="A229" s="248"/>
      <c r="B229" s="248" t="s">
        <v>4223</v>
      </c>
      <c r="C229" s="248" t="s">
        <v>4036</v>
      </c>
      <c r="D229" s="248"/>
      <c r="E229" s="248"/>
      <c r="F229" s="248"/>
      <c r="G229" s="248" t="s">
        <v>3254</v>
      </c>
      <c r="H229" s="248"/>
      <c r="I229" s="248"/>
      <c r="J229" s="248"/>
      <c r="K229" s="248"/>
      <c r="L229" s="248"/>
      <c r="M229" s="248" t="s">
        <v>3031</v>
      </c>
    </row>
    <row r="230" spans="1:13" ht="20.100000000000001" customHeight="1">
      <c r="A230" s="248"/>
      <c r="B230" s="248" t="s">
        <v>4224</v>
      </c>
      <c r="C230" s="248" t="s">
        <v>4012</v>
      </c>
      <c r="D230" s="248"/>
      <c r="E230" s="248"/>
      <c r="F230" s="248"/>
      <c r="G230" s="248" t="s">
        <v>3895</v>
      </c>
      <c r="H230" s="248"/>
      <c r="I230" s="248"/>
      <c r="J230" s="248"/>
      <c r="K230" s="248"/>
      <c r="L230" s="248"/>
      <c r="M230" s="248" t="s">
        <v>3896</v>
      </c>
    </row>
    <row r="231" spans="1:13" ht="20.100000000000001" customHeight="1">
      <c r="A231" s="248"/>
      <c r="B231" s="248" t="s">
        <v>4225</v>
      </c>
      <c r="C231" s="248" t="s">
        <v>4003</v>
      </c>
      <c r="D231" s="248"/>
      <c r="E231" s="248"/>
      <c r="F231" s="248"/>
      <c r="G231" s="248" t="s">
        <v>475</v>
      </c>
      <c r="H231" s="248"/>
      <c r="I231" s="248"/>
      <c r="J231" s="248"/>
      <c r="K231" s="248"/>
      <c r="L231" s="248"/>
      <c r="M231" s="248" t="s">
        <v>476</v>
      </c>
    </row>
    <row r="232" spans="1:13" ht="20.100000000000001" customHeight="1">
      <c r="A232" s="248"/>
      <c r="B232" s="248" t="s">
        <v>4226</v>
      </c>
      <c r="C232" s="248" t="s">
        <v>4016</v>
      </c>
      <c r="D232" s="248"/>
      <c r="E232" s="248"/>
      <c r="F232" s="248"/>
      <c r="G232" s="248" t="s">
        <v>477</v>
      </c>
      <c r="H232" s="248"/>
      <c r="I232" s="248"/>
      <c r="J232" s="248"/>
      <c r="K232" s="248"/>
      <c r="L232" s="248"/>
      <c r="M232" s="248" t="s">
        <v>478</v>
      </c>
    </row>
    <row r="233" spans="1:13" ht="20.100000000000001" customHeight="1">
      <c r="A233" s="248"/>
      <c r="B233" s="248" t="s">
        <v>4227</v>
      </c>
      <c r="C233" s="248" t="s">
        <v>4008</v>
      </c>
      <c r="D233" s="248"/>
      <c r="E233" s="248"/>
      <c r="F233" s="248"/>
      <c r="G233" s="248" t="s">
        <v>479</v>
      </c>
      <c r="H233" s="248"/>
      <c r="I233" s="248"/>
      <c r="J233" s="248"/>
      <c r="K233" s="248"/>
      <c r="L233" s="248"/>
      <c r="M233" s="248" t="s">
        <v>480</v>
      </c>
    </row>
    <row r="234" spans="1:13" ht="20.100000000000001" customHeight="1">
      <c r="A234" s="248"/>
      <c r="B234" s="248" t="s">
        <v>4228</v>
      </c>
      <c r="C234" s="248" t="s">
        <v>4014</v>
      </c>
      <c r="D234" s="248"/>
      <c r="E234" s="248"/>
      <c r="F234" s="248"/>
      <c r="G234" s="248" t="s">
        <v>3191</v>
      </c>
      <c r="H234" s="248"/>
      <c r="I234" s="248"/>
      <c r="J234" s="248"/>
      <c r="K234" s="248"/>
      <c r="L234" s="248"/>
      <c r="M234" s="248" t="s">
        <v>196</v>
      </c>
    </row>
    <row r="235" spans="1:13" ht="20.100000000000001" customHeight="1">
      <c r="A235" s="248"/>
      <c r="B235" s="248" t="s">
        <v>4229</v>
      </c>
      <c r="C235" s="248" t="s">
        <v>4008</v>
      </c>
      <c r="D235" s="248"/>
      <c r="E235" s="248"/>
      <c r="F235" s="248"/>
      <c r="G235" s="248" t="s">
        <v>481</v>
      </c>
      <c r="H235" s="248"/>
      <c r="I235" s="248"/>
      <c r="J235" s="248"/>
      <c r="K235" s="248"/>
      <c r="L235" s="248"/>
      <c r="M235" s="248" t="s">
        <v>3750</v>
      </c>
    </row>
    <row r="236" spans="1:13" ht="20.100000000000001" customHeight="1">
      <c r="A236" s="248"/>
      <c r="B236" s="248" t="s">
        <v>4230</v>
      </c>
      <c r="C236" s="248" t="s">
        <v>4016</v>
      </c>
      <c r="D236" s="248"/>
      <c r="E236" s="248"/>
      <c r="F236" s="248"/>
      <c r="G236" s="248" t="s">
        <v>482</v>
      </c>
      <c r="H236" s="248"/>
      <c r="I236" s="248"/>
      <c r="J236" s="248"/>
      <c r="K236" s="248"/>
      <c r="L236" s="248"/>
      <c r="M236" s="248" t="s">
        <v>483</v>
      </c>
    </row>
    <row r="237" spans="1:13" ht="20.100000000000001" customHeight="1">
      <c r="A237" s="248"/>
      <c r="B237" s="248" t="s">
        <v>4231</v>
      </c>
      <c r="C237" s="248" t="s">
        <v>4003</v>
      </c>
      <c r="D237" s="248"/>
      <c r="E237" s="248"/>
      <c r="F237" s="248"/>
      <c r="G237" s="248" t="s">
        <v>3717</v>
      </c>
      <c r="H237" s="248"/>
      <c r="I237" s="248"/>
      <c r="J237" s="248"/>
      <c r="K237" s="248"/>
      <c r="L237" s="248"/>
      <c r="M237" s="248" t="s">
        <v>484</v>
      </c>
    </row>
    <row r="238" spans="1:13" ht="20.100000000000001" customHeight="1">
      <c r="A238" s="248"/>
      <c r="B238" s="248" t="s">
        <v>4232</v>
      </c>
      <c r="C238" s="248" t="s">
        <v>4003</v>
      </c>
      <c r="D238" s="248"/>
      <c r="E238" s="248"/>
      <c r="F238" s="248"/>
      <c r="G238" s="248" t="s">
        <v>3718</v>
      </c>
      <c r="H238" s="248"/>
      <c r="I238" s="248"/>
      <c r="J238" s="248"/>
      <c r="K238" s="248"/>
      <c r="L238" s="248"/>
      <c r="M238" s="248" t="s">
        <v>485</v>
      </c>
    </row>
    <row r="239" spans="1:13" ht="20.100000000000001" customHeight="1">
      <c r="A239" s="248"/>
      <c r="B239" s="248" t="s">
        <v>4233</v>
      </c>
      <c r="C239" s="248" t="s">
        <v>4036</v>
      </c>
      <c r="D239" s="248"/>
      <c r="E239" s="248"/>
      <c r="F239" s="248"/>
      <c r="G239" s="248" t="s">
        <v>487</v>
      </c>
      <c r="H239" s="248"/>
      <c r="I239" s="248"/>
      <c r="J239" s="248"/>
      <c r="K239" s="248"/>
      <c r="L239" s="248"/>
      <c r="M239" s="248" t="s">
        <v>488</v>
      </c>
    </row>
    <row r="240" spans="1:13" ht="20.100000000000001" customHeight="1">
      <c r="A240" s="248"/>
      <c r="B240" s="248" t="s">
        <v>4234</v>
      </c>
      <c r="C240" s="248" t="s">
        <v>4016</v>
      </c>
      <c r="D240" s="248"/>
      <c r="E240" s="248"/>
      <c r="F240" s="248"/>
      <c r="G240" s="248" t="s">
        <v>3720</v>
      </c>
      <c r="H240" s="248"/>
      <c r="I240" s="248"/>
      <c r="J240" s="248"/>
      <c r="K240" s="248"/>
      <c r="L240" s="248"/>
      <c r="M240" s="248" t="s">
        <v>489</v>
      </c>
    </row>
    <row r="241" spans="1:13" ht="20.100000000000001" customHeight="1">
      <c r="A241" s="248"/>
      <c r="B241" s="248" t="s">
        <v>4235</v>
      </c>
      <c r="C241" s="248" t="s">
        <v>4050</v>
      </c>
      <c r="D241" s="248"/>
      <c r="E241" s="248"/>
      <c r="F241" s="248"/>
      <c r="G241" s="248" t="s">
        <v>490</v>
      </c>
      <c r="H241" s="248"/>
      <c r="I241" s="248"/>
      <c r="J241" s="248"/>
      <c r="K241" s="248"/>
      <c r="L241" s="248"/>
      <c r="M241" s="248" t="s">
        <v>491</v>
      </c>
    </row>
    <row r="242" spans="1:13" ht="20.100000000000001" customHeight="1">
      <c r="A242" s="248"/>
      <c r="B242" s="248" t="s">
        <v>4236</v>
      </c>
      <c r="C242" s="248" t="s">
        <v>4012</v>
      </c>
      <c r="D242" s="248"/>
      <c r="E242" s="248"/>
      <c r="F242" s="248"/>
      <c r="G242" s="248" t="s">
        <v>492</v>
      </c>
      <c r="H242" s="248"/>
      <c r="I242" s="248"/>
      <c r="J242" s="248"/>
      <c r="K242" s="248"/>
      <c r="L242" s="248"/>
      <c r="M242" s="248" t="s">
        <v>493</v>
      </c>
    </row>
    <row r="243" spans="1:13" ht="20.100000000000001" customHeight="1">
      <c r="A243" s="248"/>
      <c r="B243" s="248" t="s">
        <v>4237</v>
      </c>
      <c r="C243" s="248" t="s">
        <v>4005</v>
      </c>
      <c r="D243" s="248"/>
      <c r="E243" s="248"/>
      <c r="F243" s="248"/>
      <c r="G243" s="248" t="s">
        <v>494</v>
      </c>
      <c r="H243" s="248"/>
      <c r="I243" s="248"/>
      <c r="J243" s="248"/>
      <c r="K243" s="248"/>
      <c r="L243" s="248"/>
      <c r="M243" s="248" t="s">
        <v>495</v>
      </c>
    </row>
    <row r="244" spans="1:13" ht="20.100000000000001" customHeight="1">
      <c r="A244" s="248"/>
      <c r="B244" s="248" t="s">
        <v>4238</v>
      </c>
      <c r="C244" s="248" t="s">
        <v>4014</v>
      </c>
      <c r="D244" s="248"/>
      <c r="E244" s="248"/>
      <c r="F244" s="248"/>
      <c r="G244" s="248" t="s">
        <v>496</v>
      </c>
      <c r="H244" s="248"/>
      <c r="I244" s="248"/>
      <c r="J244" s="248"/>
      <c r="K244" s="248"/>
      <c r="L244" s="248"/>
      <c r="M244" s="248" t="s">
        <v>497</v>
      </c>
    </row>
    <row r="245" spans="1:13" ht="20.100000000000001" customHeight="1">
      <c r="A245" s="248"/>
      <c r="B245" s="248" t="s">
        <v>4239</v>
      </c>
      <c r="C245" s="248" t="s">
        <v>4008</v>
      </c>
      <c r="D245" s="248"/>
      <c r="E245" s="248"/>
      <c r="F245" s="248"/>
      <c r="G245" s="248" t="s">
        <v>506</v>
      </c>
      <c r="H245" s="248"/>
      <c r="I245" s="248"/>
      <c r="J245" s="248"/>
      <c r="K245" s="248"/>
      <c r="L245" s="248"/>
      <c r="M245" s="248" t="s">
        <v>507</v>
      </c>
    </row>
    <row r="246" spans="1:13" ht="20.100000000000001" customHeight="1">
      <c r="A246" s="248"/>
      <c r="B246" s="248" t="s">
        <v>4240</v>
      </c>
      <c r="C246" s="248" t="s">
        <v>4036</v>
      </c>
      <c r="D246" s="248"/>
      <c r="E246" s="248"/>
      <c r="F246" s="248"/>
      <c r="G246" s="248" t="s">
        <v>500</v>
      </c>
      <c r="H246" s="248"/>
      <c r="I246" s="248"/>
      <c r="J246" s="248"/>
      <c r="K246" s="248"/>
      <c r="L246" s="248"/>
      <c r="M246" s="248" t="s">
        <v>501</v>
      </c>
    </row>
    <row r="247" spans="1:13" ht="20.100000000000001" customHeight="1">
      <c r="A247" s="248"/>
      <c r="B247" s="248" t="s">
        <v>4241</v>
      </c>
      <c r="C247" s="248" t="s">
        <v>4003</v>
      </c>
      <c r="D247" s="248"/>
      <c r="E247" s="248"/>
      <c r="F247" s="248"/>
      <c r="G247" s="248" t="s">
        <v>502</v>
      </c>
      <c r="H247" s="248"/>
      <c r="I247" s="248"/>
      <c r="J247" s="248"/>
      <c r="K247" s="248"/>
      <c r="L247" s="248"/>
      <c r="M247" s="248" t="s">
        <v>503</v>
      </c>
    </row>
    <row r="248" spans="1:13" ht="20.100000000000001" customHeight="1">
      <c r="A248" s="248"/>
      <c r="B248" s="248" t="s">
        <v>4242</v>
      </c>
      <c r="C248" s="248" t="s">
        <v>4016</v>
      </c>
      <c r="D248" s="248"/>
      <c r="E248" s="248"/>
      <c r="F248" s="248"/>
      <c r="G248" s="248" t="s">
        <v>504</v>
      </c>
      <c r="H248" s="248"/>
      <c r="I248" s="248"/>
      <c r="J248" s="248"/>
      <c r="K248" s="248"/>
      <c r="L248" s="248"/>
      <c r="M248" s="248" t="s">
        <v>505</v>
      </c>
    </row>
    <row r="249" spans="1:13" ht="20.100000000000001" customHeight="1">
      <c r="A249" s="248"/>
      <c r="B249" s="248" t="s">
        <v>4243</v>
      </c>
      <c r="C249" s="248" t="s">
        <v>4003</v>
      </c>
      <c r="D249" s="248"/>
      <c r="E249" s="248"/>
      <c r="F249" s="248"/>
      <c r="G249" s="248" t="s">
        <v>508</v>
      </c>
      <c r="H249" s="248"/>
      <c r="I249" s="248"/>
      <c r="J249" s="248"/>
      <c r="K249" s="248"/>
      <c r="L249" s="248"/>
      <c r="M249" s="248" t="s">
        <v>509</v>
      </c>
    </row>
    <row r="250" spans="1:13" ht="20.100000000000001" customHeight="1">
      <c r="A250" s="248"/>
      <c r="B250" s="248" t="s">
        <v>4244</v>
      </c>
      <c r="C250" s="248" t="s">
        <v>4016</v>
      </c>
      <c r="D250" s="248"/>
      <c r="E250" s="248"/>
      <c r="F250" s="248"/>
      <c r="G250" s="248" t="s">
        <v>3450</v>
      </c>
      <c r="H250" s="248"/>
      <c r="I250" s="248"/>
      <c r="J250" s="248"/>
      <c r="K250" s="248"/>
      <c r="L250" s="248"/>
      <c r="M250" s="248" t="s">
        <v>3451</v>
      </c>
    </row>
    <row r="251" spans="1:13" ht="20.100000000000001" customHeight="1">
      <c r="A251" s="248"/>
      <c r="B251" s="248" t="s">
        <v>4245</v>
      </c>
      <c r="C251" s="248" t="s">
        <v>4016</v>
      </c>
      <c r="D251" s="248"/>
      <c r="E251" s="248"/>
      <c r="F251" s="248"/>
      <c r="G251" s="248" t="s">
        <v>511</v>
      </c>
      <c r="H251" s="248"/>
      <c r="I251" s="248"/>
      <c r="J251" s="248"/>
      <c r="K251" s="248"/>
      <c r="L251" s="248"/>
      <c r="M251" s="248" t="s">
        <v>3550</v>
      </c>
    </row>
    <row r="252" spans="1:13" ht="20.100000000000001" customHeight="1">
      <c r="A252" s="248"/>
      <c r="B252" s="248" t="s">
        <v>4246</v>
      </c>
      <c r="C252" s="248" t="s">
        <v>4003</v>
      </c>
      <c r="D252" s="248"/>
      <c r="E252" s="248"/>
      <c r="F252" s="248"/>
      <c r="G252" s="248" t="s">
        <v>3551</v>
      </c>
      <c r="H252" s="248"/>
      <c r="I252" s="248"/>
      <c r="J252" s="248"/>
      <c r="K252" s="248"/>
      <c r="L252" s="248"/>
      <c r="M252" s="248" t="s">
        <v>3552</v>
      </c>
    </row>
    <row r="253" spans="1:13" ht="20.100000000000001" customHeight="1">
      <c r="A253" s="248"/>
      <c r="B253" s="248" t="s">
        <v>4247</v>
      </c>
      <c r="C253" s="248" t="s">
        <v>4012</v>
      </c>
      <c r="D253" s="248"/>
      <c r="E253" s="248"/>
      <c r="F253" s="248"/>
      <c r="G253" s="248" t="s">
        <v>6170</v>
      </c>
      <c r="H253" s="248"/>
      <c r="I253" s="248"/>
      <c r="J253" s="248"/>
      <c r="K253" s="248"/>
      <c r="L253" s="248"/>
      <c r="M253" s="248" t="s">
        <v>512</v>
      </c>
    </row>
    <row r="254" spans="1:13" ht="20.100000000000001" customHeight="1">
      <c r="A254" s="248"/>
      <c r="B254" s="248" t="s">
        <v>4248</v>
      </c>
      <c r="C254" s="248" t="s">
        <v>4016</v>
      </c>
      <c r="D254" s="248"/>
      <c r="E254" s="248"/>
      <c r="F254" s="248"/>
      <c r="G254" s="248" t="s">
        <v>513</v>
      </c>
      <c r="H254" s="248"/>
      <c r="I254" s="248"/>
      <c r="J254" s="248"/>
      <c r="K254" s="248"/>
      <c r="L254" s="248"/>
      <c r="M254" s="248" t="s">
        <v>514</v>
      </c>
    </row>
    <row r="255" spans="1:13" ht="20.100000000000001" customHeight="1">
      <c r="A255" s="248"/>
      <c r="B255" s="248" t="s">
        <v>4249</v>
      </c>
      <c r="C255" s="248" t="s">
        <v>4003</v>
      </c>
      <c r="D255" s="248"/>
      <c r="E255" s="248"/>
      <c r="F255" s="248"/>
      <c r="G255" s="248" t="s">
        <v>515</v>
      </c>
      <c r="H255" s="248"/>
      <c r="I255" s="248"/>
      <c r="J255" s="248"/>
      <c r="K255" s="248"/>
      <c r="L255" s="248"/>
      <c r="M255" s="248" t="s">
        <v>516</v>
      </c>
    </row>
    <row r="256" spans="1:13" ht="20.100000000000001" customHeight="1">
      <c r="A256" s="248"/>
      <c r="B256" s="248" t="s">
        <v>4250</v>
      </c>
      <c r="C256" s="248" t="s">
        <v>4036</v>
      </c>
      <c r="D256" s="248"/>
      <c r="E256" s="248"/>
      <c r="F256" s="248"/>
      <c r="G256" s="248" t="s">
        <v>517</v>
      </c>
      <c r="H256" s="248"/>
      <c r="I256" s="248"/>
      <c r="J256" s="248"/>
      <c r="K256" s="248"/>
      <c r="L256" s="248"/>
      <c r="M256" s="248" t="s">
        <v>518</v>
      </c>
    </row>
    <row r="257" spans="1:13" ht="20.100000000000001" customHeight="1">
      <c r="A257" s="248"/>
      <c r="B257" s="248" t="s">
        <v>6221</v>
      </c>
      <c r="C257" s="248" t="s">
        <v>4036</v>
      </c>
      <c r="D257" s="248"/>
      <c r="E257" s="248"/>
      <c r="F257" s="248"/>
      <c r="G257" s="248" t="s">
        <v>3719</v>
      </c>
      <c r="H257" s="248"/>
      <c r="I257" s="248"/>
      <c r="J257" s="248"/>
      <c r="K257" s="248"/>
      <c r="L257" s="248"/>
      <c r="M257" s="248" t="s">
        <v>486</v>
      </c>
    </row>
    <row r="258" spans="1:13" ht="20.100000000000001" customHeight="1">
      <c r="A258" s="248"/>
      <c r="B258" s="248" t="s">
        <v>4251</v>
      </c>
      <c r="C258" s="248" t="s">
        <v>4008</v>
      </c>
      <c r="D258" s="248"/>
      <c r="E258" s="248"/>
      <c r="F258" s="248"/>
      <c r="G258" s="248" t="s">
        <v>519</v>
      </c>
      <c r="H258" s="248"/>
      <c r="I258" s="248"/>
      <c r="J258" s="248"/>
      <c r="K258" s="248"/>
      <c r="L258" s="248"/>
      <c r="M258" s="248" t="s">
        <v>520</v>
      </c>
    </row>
    <row r="259" spans="1:13" ht="20.100000000000001" customHeight="1">
      <c r="A259" s="248"/>
      <c r="B259" s="248" t="s">
        <v>4252</v>
      </c>
      <c r="C259" s="248" t="s">
        <v>4025</v>
      </c>
      <c r="D259" s="248"/>
      <c r="E259" s="248"/>
      <c r="F259" s="248"/>
      <c r="G259" s="248" t="s">
        <v>521</v>
      </c>
      <c r="H259" s="248"/>
      <c r="I259" s="248"/>
      <c r="J259" s="248"/>
      <c r="K259" s="248"/>
      <c r="L259" s="248"/>
      <c r="M259" s="248" t="s">
        <v>522</v>
      </c>
    </row>
    <row r="260" spans="1:13" ht="20.100000000000001" customHeight="1">
      <c r="A260" s="248"/>
      <c r="B260" s="248" t="s">
        <v>4253</v>
      </c>
      <c r="C260" s="248" t="s">
        <v>4012</v>
      </c>
      <c r="D260" s="248"/>
      <c r="E260" s="248"/>
      <c r="F260" s="248"/>
      <c r="G260" s="248" t="s">
        <v>3113</v>
      </c>
      <c r="H260" s="248"/>
      <c r="I260" s="248"/>
      <c r="J260" s="248"/>
      <c r="K260" s="248"/>
      <c r="L260" s="248"/>
      <c r="M260" s="248" t="s">
        <v>196</v>
      </c>
    </row>
    <row r="261" spans="1:13" ht="20.100000000000001" customHeight="1">
      <c r="A261" s="248"/>
      <c r="B261" s="248" t="s">
        <v>4254</v>
      </c>
      <c r="C261" s="248" t="s">
        <v>4030</v>
      </c>
      <c r="D261" s="248"/>
      <c r="E261" s="248"/>
      <c r="F261" s="248"/>
      <c r="G261" s="248" t="s">
        <v>523</v>
      </c>
      <c r="H261" s="248"/>
      <c r="I261" s="248"/>
      <c r="J261" s="248"/>
      <c r="K261" s="248"/>
      <c r="L261" s="248"/>
      <c r="M261" s="248" t="s">
        <v>524</v>
      </c>
    </row>
    <row r="262" spans="1:13" ht="20.100000000000001" customHeight="1">
      <c r="A262" s="248"/>
      <c r="B262" s="248" t="s">
        <v>4255</v>
      </c>
      <c r="C262" s="248" t="s">
        <v>4146</v>
      </c>
      <c r="D262" s="248"/>
      <c r="E262" s="248"/>
      <c r="F262" s="248"/>
      <c r="G262" s="248" t="s">
        <v>525</v>
      </c>
      <c r="H262" s="248"/>
      <c r="I262" s="248"/>
      <c r="J262" s="248"/>
      <c r="K262" s="248"/>
      <c r="L262" s="248"/>
      <c r="M262" s="248" t="s">
        <v>526</v>
      </c>
    </row>
    <row r="263" spans="1:13" ht="20.100000000000001" customHeight="1">
      <c r="A263" s="248"/>
      <c r="B263" s="248" t="s">
        <v>4256</v>
      </c>
      <c r="C263" s="248" t="s">
        <v>4025</v>
      </c>
      <c r="D263" s="248"/>
      <c r="E263" s="248"/>
      <c r="F263" s="248"/>
      <c r="G263" s="248" t="s">
        <v>527</v>
      </c>
      <c r="H263" s="248"/>
      <c r="I263" s="248"/>
      <c r="J263" s="248"/>
      <c r="K263" s="248"/>
      <c r="L263" s="248"/>
      <c r="M263" s="248" t="s">
        <v>528</v>
      </c>
    </row>
    <row r="264" spans="1:13" ht="20.100000000000001" customHeight="1">
      <c r="A264" s="248"/>
      <c r="B264" s="248" t="s">
        <v>6222</v>
      </c>
      <c r="C264" s="248" t="s">
        <v>4030</v>
      </c>
      <c r="D264" s="248"/>
      <c r="E264" s="248"/>
      <c r="F264" s="248"/>
      <c r="G264" s="248" t="s">
        <v>6223</v>
      </c>
      <c r="H264" s="248"/>
      <c r="I264" s="248"/>
      <c r="J264" s="248"/>
      <c r="K264" s="248"/>
      <c r="L264" s="248"/>
      <c r="M264" s="248" t="s">
        <v>6224</v>
      </c>
    </row>
    <row r="265" spans="1:13" ht="20.100000000000001" customHeight="1">
      <c r="A265" s="248"/>
      <c r="B265" s="248" t="s">
        <v>4257</v>
      </c>
      <c r="C265" s="248" t="s">
        <v>4014</v>
      </c>
      <c r="D265" s="248"/>
      <c r="E265" s="248"/>
      <c r="F265" s="248"/>
      <c r="G265" s="248" t="s">
        <v>529</v>
      </c>
      <c r="H265" s="248"/>
      <c r="I265" s="248"/>
      <c r="J265" s="248"/>
      <c r="K265" s="248"/>
      <c r="L265" s="248"/>
      <c r="M265" s="248" t="s">
        <v>530</v>
      </c>
    </row>
    <row r="266" spans="1:13" ht="20.100000000000001" customHeight="1">
      <c r="A266" s="248"/>
      <c r="B266" s="248" t="s">
        <v>6393</v>
      </c>
      <c r="C266" s="248" t="s">
        <v>4036</v>
      </c>
      <c r="D266" s="248"/>
      <c r="E266" s="248"/>
      <c r="F266" s="248"/>
      <c r="G266" s="248" t="s">
        <v>6394</v>
      </c>
      <c r="H266" s="248"/>
      <c r="I266" s="248"/>
      <c r="J266" s="248"/>
      <c r="K266" s="248"/>
      <c r="L266" s="248"/>
      <c r="M266" s="248" t="s">
        <v>196</v>
      </c>
    </row>
    <row r="267" spans="1:13" ht="20.100000000000001" customHeight="1">
      <c r="A267" s="248"/>
      <c r="B267" s="248" t="s">
        <v>6225</v>
      </c>
      <c r="C267" s="248" t="s">
        <v>4005</v>
      </c>
      <c r="D267" s="248"/>
      <c r="E267" s="248"/>
      <c r="F267" s="248"/>
      <c r="G267" s="248" t="s">
        <v>6226</v>
      </c>
      <c r="H267" s="248"/>
      <c r="I267" s="248"/>
      <c r="J267" s="248"/>
      <c r="K267" s="248"/>
      <c r="L267" s="248"/>
      <c r="M267" s="248" t="s">
        <v>6227</v>
      </c>
    </row>
    <row r="268" spans="1:13" ht="20.100000000000001" customHeight="1">
      <c r="A268" s="248"/>
      <c r="B268" s="248" t="s">
        <v>4258</v>
      </c>
      <c r="C268" s="248" t="s">
        <v>4036</v>
      </c>
      <c r="D268" s="248"/>
      <c r="E268" s="248"/>
      <c r="F268" s="248"/>
      <c r="G268" s="248" t="s">
        <v>531</v>
      </c>
      <c r="H268" s="248"/>
      <c r="I268" s="248"/>
      <c r="J268" s="248"/>
      <c r="K268" s="248"/>
      <c r="L268" s="248"/>
      <c r="M268" s="248" t="s">
        <v>532</v>
      </c>
    </row>
    <row r="269" spans="1:13" ht="20.100000000000001" customHeight="1">
      <c r="A269" s="248"/>
      <c r="B269" s="248" t="s">
        <v>4259</v>
      </c>
      <c r="C269" s="248" t="s">
        <v>4025</v>
      </c>
      <c r="D269" s="248"/>
      <c r="E269" s="248"/>
      <c r="F269" s="248"/>
      <c r="G269" s="248" t="s">
        <v>3011</v>
      </c>
      <c r="H269" s="248"/>
      <c r="I269" s="248"/>
      <c r="J269" s="248"/>
      <c r="K269" s="248"/>
      <c r="L269" s="248"/>
      <c r="M269" s="248" t="s">
        <v>3550</v>
      </c>
    </row>
    <row r="270" spans="1:13" ht="20.100000000000001" customHeight="1">
      <c r="A270" s="248"/>
      <c r="B270" s="248" t="s">
        <v>6171</v>
      </c>
      <c r="C270" s="248" t="s">
        <v>4008</v>
      </c>
      <c r="D270" s="248"/>
      <c r="E270" s="248"/>
      <c r="F270" s="248"/>
      <c r="G270" s="248" t="s">
        <v>6172</v>
      </c>
      <c r="H270" s="248"/>
      <c r="I270" s="248"/>
      <c r="J270" s="248"/>
      <c r="K270" s="248"/>
      <c r="L270" s="248"/>
      <c r="M270" s="248" t="s">
        <v>6173</v>
      </c>
    </row>
    <row r="271" spans="1:13" ht="20.100000000000001" customHeight="1">
      <c r="A271" s="248"/>
      <c r="B271" s="248" t="s">
        <v>6228</v>
      </c>
      <c r="C271" s="248" t="s">
        <v>4008</v>
      </c>
      <c r="D271" s="248"/>
      <c r="E271" s="248"/>
      <c r="F271" s="248"/>
      <c r="G271" s="248" t="s">
        <v>6229</v>
      </c>
      <c r="H271" s="248"/>
      <c r="I271" s="248"/>
      <c r="J271" s="248"/>
      <c r="K271" s="248"/>
      <c r="L271" s="248"/>
      <c r="M271" s="248" t="s">
        <v>6230</v>
      </c>
    </row>
    <row r="272" spans="1:13" ht="20.100000000000001" customHeight="1">
      <c r="A272" s="248"/>
      <c r="B272" s="248" t="s">
        <v>4260</v>
      </c>
      <c r="C272" s="248" t="s">
        <v>4008</v>
      </c>
      <c r="D272" s="248"/>
      <c r="E272" s="248"/>
      <c r="F272" s="248"/>
      <c r="G272" s="248" t="s">
        <v>533</v>
      </c>
      <c r="H272" s="248"/>
      <c r="I272" s="248"/>
      <c r="J272" s="248"/>
      <c r="K272" s="248"/>
      <c r="L272" s="248"/>
      <c r="M272" s="248" t="s">
        <v>534</v>
      </c>
    </row>
    <row r="273" spans="1:13" ht="20.100000000000001" customHeight="1">
      <c r="A273" s="248"/>
      <c r="B273" s="248" t="s">
        <v>4261</v>
      </c>
      <c r="C273" s="248" t="s">
        <v>4016</v>
      </c>
      <c r="D273" s="248"/>
      <c r="E273" s="248"/>
      <c r="F273" s="248"/>
      <c r="G273" s="248" t="s">
        <v>3940</v>
      </c>
      <c r="H273" s="248"/>
      <c r="I273" s="248"/>
      <c r="J273" s="248"/>
      <c r="K273" s="248"/>
      <c r="L273" s="248"/>
      <c r="M273" s="248" t="s">
        <v>3550</v>
      </c>
    </row>
    <row r="274" spans="1:13" ht="20.100000000000001" customHeight="1">
      <c r="A274" s="248"/>
      <c r="B274" s="248" t="s">
        <v>4262</v>
      </c>
      <c r="C274" s="248" t="s">
        <v>4003</v>
      </c>
      <c r="D274" s="248"/>
      <c r="E274" s="248"/>
      <c r="F274" s="248"/>
      <c r="G274" s="248" t="s">
        <v>535</v>
      </c>
      <c r="H274" s="248"/>
      <c r="I274" s="248"/>
      <c r="J274" s="248"/>
      <c r="K274" s="248"/>
      <c r="L274" s="248"/>
      <c r="M274" s="248" t="s">
        <v>536</v>
      </c>
    </row>
    <row r="275" spans="1:13" ht="20.100000000000001" customHeight="1">
      <c r="A275" s="248"/>
      <c r="B275" s="248" t="s">
        <v>4263</v>
      </c>
      <c r="C275" s="248" t="s">
        <v>4014</v>
      </c>
      <c r="D275" s="248"/>
      <c r="E275" s="248"/>
      <c r="F275" s="248"/>
      <c r="G275" s="248" t="s">
        <v>3181</v>
      </c>
      <c r="H275" s="248"/>
      <c r="I275" s="248"/>
      <c r="J275" s="248"/>
      <c r="K275" s="248"/>
      <c r="L275" s="248"/>
      <c r="M275" s="248" t="s">
        <v>196</v>
      </c>
    </row>
    <row r="276" spans="1:13" ht="20.100000000000001" customHeight="1">
      <c r="A276" s="248"/>
      <c r="B276" s="248" t="s">
        <v>4264</v>
      </c>
      <c r="C276" s="248" t="s">
        <v>4008</v>
      </c>
      <c r="D276" s="248"/>
      <c r="E276" s="248"/>
      <c r="F276" s="248"/>
      <c r="G276" s="248" t="s">
        <v>3134</v>
      </c>
      <c r="H276" s="248"/>
      <c r="I276" s="248"/>
      <c r="J276" s="248"/>
      <c r="K276" s="248"/>
      <c r="L276" s="248"/>
      <c r="M276" s="248" t="s">
        <v>3135</v>
      </c>
    </row>
    <row r="277" spans="1:13" ht="20.100000000000001" customHeight="1">
      <c r="A277" s="248"/>
      <c r="B277" s="248" t="s">
        <v>4265</v>
      </c>
      <c r="C277" s="248" t="s">
        <v>4003</v>
      </c>
      <c r="D277" s="248"/>
      <c r="E277" s="248"/>
      <c r="F277" s="248"/>
      <c r="G277" s="248" t="s">
        <v>537</v>
      </c>
      <c r="H277" s="248"/>
      <c r="I277" s="248"/>
      <c r="J277" s="248"/>
      <c r="K277" s="248"/>
      <c r="L277" s="248"/>
      <c r="M277" s="248" t="s">
        <v>538</v>
      </c>
    </row>
    <row r="278" spans="1:13" ht="20.100000000000001" customHeight="1">
      <c r="A278" s="248"/>
      <c r="B278" s="248" t="s">
        <v>4266</v>
      </c>
      <c r="C278" s="248" t="s">
        <v>4036</v>
      </c>
      <c r="D278" s="248"/>
      <c r="E278" s="248"/>
      <c r="F278" s="248"/>
      <c r="G278" s="248" t="s">
        <v>3255</v>
      </c>
      <c r="H278" s="248"/>
      <c r="I278" s="248"/>
      <c r="J278" s="248"/>
      <c r="K278" s="248"/>
      <c r="L278" s="248"/>
      <c r="M278" s="248" t="s">
        <v>539</v>
      </c>
    </row>
    <row r="279" spans="1:13" ht="20.100000000000001" customHeight="1">
      <c r="A279" s="248"/>
      <c r="B279" s="248" t="s">
        <v>6480</v>
      </c>
      <c r="C279" s="248" t="s">
        <v>4008</v>
      </c>
      <c r="D279" s="248"/>
      <c r="E279" s="248"/>
      <c r="F279" s="248"/>
      <c r="G279" s="248" t="s">
        <v>6481</v>
      </c>
      <c r="H279" s="248"/>
      <c r="I279" s="248"/>
      <c r="J279" s="248"/>
      <c r="K279" s="248"/>
      <c r="L279" s="248"/>
      <c r="M279" s="248" t="s">
        <v>6482</v>
      </c>
    </row>
    <row r="280" spans="1:13" ht="20.100000000000001" customHeight="1">
      <c r="A280" s="248"/>
      <c r="B280" s="248" t="s">
        <v>4267</v>
      </c>
      <c r="C280" s="248" t="s">
        <v>4025</v>
      </c>
      <c r="D280" s="248"/>
      <c r="E280" s="248"/>
      <c r="F280" s="248"/>
      <c r="G280" s="248" t="s">
        <v>3826</v>
      </c>
      <c r="H280" s="248"/>
      <c r="I280" s="248"/>
      <c r="J280" s="248"/>
      <c r="K280" s="248"/>
      <c r="L280" s="248"/>
      <c r="M280" s="248" t="s">
        <v>3827</v>
      </c>
    </row>
    <row r="281" spans="1:13" ht="20.100000000000001" customHeight="1">
      <c r="A281" s="248"/>
      <c r="B281" s="248" t="s">
        <v>4268</v>
      </c>
      <c r="C281" s="248" t="s">
        <v>4012</v>
      </c>
      <c r="D281" s="248"/>
      <c r="E281" s="248"/>
      <c r="F281" s="248"/>
      <c r="G281" s="248" t="s">
        <v>540</v>
      </c>
      <c r="H281" s="248"/>
      <c r="I281" s="248"/>
      <c r="J281" s="248"/>
      <c r="K281" s="248"/>
      <c r="L281" s="248"/>
      <c r="M281" s="248" t="s">
        <v>541</v>
      </c>
    </row>
    <row r="282" spans="1:13" ht="20.100000000000001" customHeight="1">
      <c r="A282" s="248"/>
      <c r="B282" s="248" t="s">
        <v>4269</v>
      </c>
      <c r="C282" s="248" t="s">
        <v>4014</v>
      </c>
      <c r="D282" s="248"/>
      <c r="E282" s="248"/>
      <c r="F282" s="248"/>
      <c r="G282" s="248" t="s">
        <v>3640</v>
      </c>
      <c r="H282" s="248"/>
      <c r="I282" s="248"/>
      <c r="J282" s="248"/>
      <c r="K282" s="248"/>
      <c r="L282" s="248"/>
      <c r="M282" s="248" t="s">
        <v>3641</v>
      </c>
    </row>
    <row r="283" spans="1:13" ht="20.100000000000001" customHeight="1">
      <c r="A283" s="248"/>
      <c r="B283" s="248" t="s">
        <v>4270</v>
      </c>
      <c r="C283" s="248" t="s">
        <v>4271</v>
      </c>
      <c r="D283" s="248"/>
      <c r="E283" s="248"/>
      <c r="F283" s="248"/>
      <c r="G283" s="248" t="s">
        <v>542</v>
      </c>
      <c r="H283" s="248"/>
      <c r="I283" s="248"/>
      <c r="J283" s="248"/>
      <c r="K283" s="248"/>
      <c r="L283" s="248"/>
      <c r="M283" s="248" t="s">
        <v>543</v>
      </c>
    </row>
    <row r="284" spans="1:13" ht="20.100000000000001" customHeight="1">
      <c r="A284" s="248"/>
      <c r="B284" s="248" t="s">
        <v>4272</v>
      </c>
      <c r="C284" s="248" t="s">
        <v>4025</v>
      </c>
      <c r="D284" s="248"/>
      <c r="E284" s="248"/>
      <c r="F284" s="248"/>
      <c r="G284" s="248" t="s">
        <v>3984</v>
      </c>
      <c r="H284" s="248"/>
      <c r="I284" s="248"/>
      <c r="J284" s="248"/>
      <c r="K284" s="248"/>
      <c r="L284" s="248"/>
      <c r="M284" s="248" t="s">
        <v>3985</v>
      </c>
    </row>
    <row r="285" spans="1:13" ht="20.100000000000001" customHeight="1">
      <c r="A285" s="248"/>
      <c r="B285" s="248" t="s">
        <v>6135</v>
      </c>
      <c r="C285" s="248" t="s">
        <v>4025</v>
      </c>
      <c r="D285" s="248"/>
      <c r="E285" s="248"/>
      <c r="F285" s="248"/>
      <c r="G285" s="248" t="s">
        <v>544</v>
      </c>
      <c r="H285" s="248"/>
      <c r="I285" s="248"/>
      <c r="J285" s="248"/>
      <c r="K285" s="248"/>
      <c r="L285" s="248"/>
      <c r="M285" s="248" t="s">
        <v>545</v>
      </c>
    </row>
    <row r="286" spans="1:13" ht="20.100000000000001" customHeight="1">
      <c r="A286" s="248"/>
      <c r="B286" s="248" t="s">
        <v>4273</v>
      </c>
      <c r="C286" s="248" t="s">
        <v>4036</v>
      </c>
      <c r="D286" s="248"/>
      <c r="E286" s="248"/>
      <c r="F286" s="248"/>
      <c r="G286" s="248" t="s">
        <v>546</v>
      </c>
      <c r="H286" s="248"/>
      <c r="I286" s="248"/>
      <c r="J286" s="248"/>
      <c r="K286" s="248"/>
      <c r="L286" s="248"/>
      <c r="M286" s="248" t="s">
        <v>547</v>
      </c>
    </row>
    <row r="287" spans="1:13" ht="20.100000000000001" customHeight="1">
      <c r="A287" s="248"/>
      <c r="B287" s="248" t="s">
        <v>6231</v>
      </c>
      <c r="C287" s="248" t="s">
        <v>4008</v>
      </c>
      <c r="D287" s="248"/>
      <c r="E287" s="248"/>
      <c r="F287" s="248"/>
      <c r="G287" s="248" t="s">
        <v>6232</v>
      </c>
      <c r="H287" s="248"/>
      <c r="I287" s="248"/>
      <c r="J287" s="248"/>
      <c r="K287" s="248"/>
      <c r="L287" s="248"/>
      <c r="M287" s="248" t="s">
        <v>196</v>
      </c>
    </row>
    <row r="288" spans="1:13" ht="20.100000000000001" customHeight="1">
      <c r="A288" s="248"/>
      <c r="B288" s="248" t="s">
        <v>4274</v>
      </c>
      <c r="C288" s="248" t="s">
        <v>4008</v>
      </c>
      <c r="D288" s="248"/>
      <c r="E288" s="248"/>
      <c r="F288" s="248"/>
      <c r="G288" s="248" t="s">
        <v>3059</v>
      </c>
      <c r="H288" s="248"/>
      <c r="I288" s="248"/>
      <c r="J288" s="248"/>
      <c r="K288" s="248"/>
      <c r="L288" s="248"/>
      <c r="M288" s="248" t="s">
        <v>3060</v>
      </c>
    </row>
    <row r="289" spans="1:13" ht="20.100000000000001" customHeight="1">
      <c r="A289" s="248"/>
      <c r="B289" s="248" t="s">
        <v>4275</v>
      </c>
      <c r="C289" s="248" t="s">
        <v>4008</v>
      </c>
      <c r="D289" s="248"/>
      <c r="E289" s="248"/>
      <c r="F289" s="248"/>
      <c r="G289" s="248" t="s">
        <v>548</v>
      </c>
      <c r="H289" s="248"/>
      <c r="I289" s="248"/>
      <c r="J289" s="248"/>
      <c r="K289" s="248"/>
      <c r="L289" s="248"/>
      <c r="M289" s="248" t="s">
        <v>549</v>
      </c>
    </row>
    <row r="290" spans="1:13" ht="20.100000000000001" customHeight="1">
      <c r="A290" s="248"/>
      <c r="B290" s="248" t="s">
        <v>4276</v>
      </c>
      <c r="C290" s="248" t="s">
        <v>4050</v>
      </c>
      <c r="D290" s="248"/>
      <c r="E290" s="248"/>
      <c r="F290" s="248"/>
      <c r="G290" s="248" t="s">
        <v>550</v>
      </c>
      <c r="H290" s="248"/>
      <c r="I290" s="248"/>
      <c r="J290" s="248"/>
      <c r="K290" s="248"/>
      <c r="L290" s="248"/>
      <c r="M290" s="248" t="s">
        <v>551</v>
      </c>
    </row>
    <row r="291" spans="1:13" ht="20.100000000000001" customHeight="1">
      <c r="A291" s="248"/>
      <c r="B291" s="248" t="s">
        <v>4277</v>
      </c>
      <c r="C291" s="248" t="s">
        <v>4014</v>
      </c>
      <c r="D291" s="248"/>
      <c r="E291" s="248"/>
      <c r="F291" s="248"/>
      <c r="G291" s="248" t="s">
        <v>3642</v>
      </c>
      <c r="H291" s="248"/>
      <c r="I291" s="248"/>
      <c r="J291" s="248"/>
      <c r="K291" s="248"/>
      <c r="L291" s="248"/>
      <c r="M291" s="248" t="s">
        <v>196</v>
      </c>
    </row>
    <row r="292" spans="1:13" ht="20.100000000000001" customHeight="1">
      <c r="A292" s="248"/>
      <c r="B292" s="248" t="s">
        <v>4278</v>
      </c>
      <c r="C292" s="248" t="s">
        <v>4030</v>
      </c>
      <c r="D292" s="248"/>
      <c r="E292" s="248"/>
      <c r="F292" s="248"/>
      <c r="G292" s="248" t="s">
        <v>3109</v>
      </c>
      <c r="H292" s="248"/>
      <c r="I292" s="248"/>
      <c r="J292" s="248"/>
      <c r="K292" s="248"/>
      <c r="L292" s="248"/>
      <c r="M292" s="248" t="s">
        <v>3110</v>
      </c>
    </row>
    <row r="293" spans="1:13" ht="20.100000000000001" customHeight="1">
      <c r="A293" s="248"/>
      <c r="B293" s="248" t="s">
        <v>4279</v>
      </c>
      <c r="C293" s="248" t="s">
        <v>4030</v>
      </c>
      <c r="D293" s="248"/>
      <c r="E293" s="248"/>
      <c r="F293" s="248"/>
      <c r="G293" s="248" t="s">
        <v>552</v>
      </c>
      <c r="H293" s="248"/>
      <c r="I293" s="248"/>
      <c r="J293" s="248"/>
      <c r="K293" s="248"/>
      <c r="L293" s="248"/>
      <c r="M293" s="248" t="s">
        <v>553</v>
      </c>
    </row>
    <row r="294" spans="1:13" ht="20.100000000000001" customHeight="1">
      <c r="A294" s="248"/>
      <c r="B294" s="248" t="s">
        <v>6283</v>
      </c>
      <c r="C294" s="248" t="s">
        <v>4036</v>
      </c>
      <c r="D294" s="248"/>
      <c r="E294" s="248"/>
      <c r="F294" s="248"/>
      <c r="G294" s="248" t="s">
        <v>6284</v>
      </c>
      <c r="H294" s="248"/>
      <c r="I294" s="248"/>
      <c r="J294" s="248"/>
      <c r="K294" s="248"/>
      <c r="L294" s="248"/>
      <c r="M294" s="248" t="s">
        <v>3550</v>
      </c>
    </row>
    <row r="295" spans="1:13" ht="20.100000000000001" customHeight="1">
      <c r="A295" s="248"/>
      <c r="B295" s="248" t="s">
        <v>4280</v>
      </c>
      <c r="C295" s="248" t="s">
        <v>4003</v>
      </c>
      <c r="D295" s="248"/>
      <c r="E295" s="248"/>
      <c r="F295" s="248"/>
      <c r="G295" s="248" t="s">
        <v>554</v>
      </c>
      <c r="H295" s="248"/>
      <c r="I295" s="248"/>
      <c r="J295" s="248"/>
      <c r="K295" s="248"/>
      <c r="L295" s="248"/>
      <c r="M295" s="248" t="s">
        <v>555</v>
      </c>
    </row>
    <row r="296" spans="1:13" ht="20.100000000000001" customHeight="1">
      <c r="A296" s="248"/>
      <c r="B296" s="248" t="s">
        <v>4281</v>
      </c>
      <c r="C296" s="248" t="s">
        <v>4124</v>
      </c>
      <c r="D296" s="248"/>
      <c r="E296" s="248"/>
      <c r="F296" s="248"/>
      <c r="G296" s="248" t="s">
        <v>556</v>
      </c>
      <c r="H296" s="248"/>
      <c r="I296" s="248"/>
      <c r="J296" s="248"/>
      <c r="K296" s="248"/>
      <c r="L296" s="248"/>
      <c r="M296" s="248" t="s">
        <v>557</v>
      </c>
    </row>
    <row r="297" spans="1:13" ht="20.100000000000001" customHeight="1">
      <c r="A297" s="248"/>
      <c r="B297" s="248" t="s">
        <v>4282</v>
      </c>
      <c r="C297" s="248" t="s">
        <v>4012</v>
      </c>
      <c r="D297" s="248"/>
      <c r="E297" s="248"/>
      <c r="F297" s="248"/>
      <c r="G297" s="248" t="s">
        <v>558</v>
      </c>
      <c r="H297" s="248"/>
      <c r="I297" s="248"/>
      <c r="J297" s="248"/>
      <c r="K297" s="248"/>
      <c r="L297" s="248"/>
      <c r="M297" s="248" t="s">
        <v>559</v>
      </c>
    </row>
    <row r="298" spans="1:13" ht="20.100000000000001" customHeight="1">
      <c r="A298" s="249"/>
      <c r="B298" s="249" t="s">
        <v>4283</v>
      </c>
      <c r="C298" s="250" t="s">
        <v>4036</v>
      </c>
      <c r="D298" s="249"/>
      <c r="E298" s="249"/>
      <c r="F298" s="249"/>
      <c r="G298" s="249" t="s">
        <v>560</v>
      </c>
      <c r="H298" s="249"/>
      <c r="I298" s="249"/>
      <c r="J298" s="249"/>
      <c r="K298" s="249"/>
      <c r="L298" s="249"/>
      <c r="M298" s="249" t="s">
        <v>3550</v>
      </c>
    </row>
    <row r="299" spans="1:13" ht="20.100000000000001" customHeight="1">
      <c r="A299" s="248"/>
      <c r="B299" s="248" t="s">
        <v>4284</v>
      </c>
      <c r="C299" s="248" t="s">
        <v>4016</v>
      </c>
      <c r="D299" s="248"/>
      <c r="E299" s="248"/>
      <c r="F299" s="248"/>
      <c r="G299" s="248" t="s">
        <v>561</v>
      </c>
      <c r="H299" s="248"/>
      <c r="I299" s="248"/>
      <c r="J299" s="248"/>
      <c r="K299" s="248"/>
      <c r="L299" s="248"/>
      <c r="M299" s="248" t="s">
        <v>562</v>
      </c>
    </row>
    <row r="300" spans="1:13" ht="20.100000000000001" customHeight="1">
      <c r="A300" s="248"/>
      <c r="B300" s="248" t="s">
        <v>4285</v>
      </c>
      <c r="C300" s="248" t="s">
        <v>4003</v>
      </c>
      <c r="D300" s="248"/>
      <c r="E300" s="248"/>
      <c r="F300" s="248"/>
      <c r="G300" s="248" t="s">
        <v>563</v>
      </c>
      <c r="H300" s="248"/>
      <c r="I300" s="248"/>
      <c r="J300" s="248"/>
      <c r="K300" s="248"/>
      <c r="L300" s="248"/>
      <c r="M300" s="248" t="s">
        <v>564</v>
      </c>
    </row>
    <row r="301" spans="1:13" ht="20.100000000000001" customHeight="1">
      <c r="A301" s="248"/>
      <c r="B301" s="248" t="s">
        <v>4286</v>
      </c>
      <c r="C301" s="248" t="s">
        <v>4016</v>
      </c>
      <c r="D301" s="248"/>
      <c r="E301" s="248"/>
      <c r="F301" s="248"/>
      <c r="G301" s="248" t="s">
        <v>3773</v>
      </c>
      <c r="H301" s="248"/>
      <c r="I301" s="248"/>
      <c r="J301" s="248"/>
      <c r="K301" s="248"/>
      <c r="L301" s="248"/>
      <c r="M301" s="248" t="s">
        <v>565</v>
      </c>
    </row>
    <row r="302" spans="1:13" ht="20.100000000000001" customHeight="1">
      <c r="A302" s="248"/>
      <c r="B302" s="248" t="s">
        <v>4287</v>
      </c>
      <c r="C302" s="248" t="s">
        <v>4016</v>
      </c>
      <c r="D302" s="248"/>
      <c r="E302" s="248"/>
      <c r="F302" s="248"/>
      <c r="G302" s="248" t="s">
        <v>566</v>
      </c>
      <c r="H302" s="248"/>
      <c r="I302" s="248"/>
      <c r="J302" s="248"/>
      <c r="K302" s="248"/>
      <c r="L302" s="248"/>
      <c r="M302" s="248" t="s">
        <v>3550</v>
      </c>
    </row>
    <row r="303" spans="1:13" ht="20.100000000000001" customHeight="1">
      <c r="A303" s="248"/>
      <c r="B303" s="248" t="s">
        <v>4288</v>
      </c>
      <c r="C303" s="248" t="s">
        <v>4016</v>
      </c>
      <c r="D303" s="248"/>
      <c r="E303" s="248"/>
      <c r="F303" s="248"/>
      <c r="G303" s="248" t="s">
        <v>567</v>
      </c>
      <c r="H303" s="248"/>
      <c r="I303" s="248"/>
      <c r="J303" s="248"/>
      <c r="K303" s="248"/>
      <c r="L303" s="248"/>
      <c r="M303" s="248" t="s">
        <v>3550</v>
      </c>
    </row>
    <row r="304" spans="1:13" ht="20.100000000000001" customHeight="1">
      <c r="A304" s="248"/>
      <c r="B304" s="248" t="s">
        <v>4289</v>
      </c>
      <c r="C304" s="248" t="s">
        <v>4008</v>
      </c>
      <c r="D304" s="248"/>
      <c r="E304" s="248"/>
      <c r="F304" s="248"/>
      <c r="G304" s="248" t="s">
        <v>568</v>
      </c>
      <c r="H304" s="248"/>
      <c r="I304" s="248"/>
      <c r="J304" s="248"/>
      <c r="K304" s="248"/>
      <c r="L304" s="248"/>
      <c r="M304" s="248" t="s">
        <v>569</v>
      </c>
    </row>
    <row r="305" spans="1:13" ht="20.100000000000001" customHeight="1">
      <c r="A305" s="248"/>
      <c r="B305" s="248" t="s">
        <v>4290</v>
      </c>
      <c r="C305" s="248" t="s">
        <v>4050</v>
      </c>
      <c r="D305" s="248"/>
      <c r="E305" s="248"/>
      <c r="F305" s="248"/>
      <c r="G305" s="248" t="s">
        <v>570</v>
      </c>
      <c r="H305" s="248"/>
      <c r="I305" s="248"/>
      <c r="J305" s="248"/>
      <c r="K305" s="248"/>
      <c r="L305" s="248"/>
      <c r="M305" s="248" t="s">
        <v>571</v>
      </c>
    </row>
    <row r="306" spans="1:13" ht="20.100000000000001" customHeight="1">
      <c r="A306" s="248"/>
      <c r="B306" s="248" t="s">
        <v>4291</v>
      </c>
      <c r="C306" s="248" t="s">
        <v>4012</v>
      </c>
      <c r="D306" s="248"/>
      <c r="E306" s="248"/>
      <c r="F306" s="248"/>
      <c r="G306" s="248" t="s">
        <v>572</v>
      </c>
      <c r="H306" s="248"/>
      <c r="I306" s="248"/>
      <c r="J306" s="248"/>
      <c r="K306" s="248"/>
      <c r="L306" s="248"/>
      <c r="M306" s="248" t="s">
        <v>573</v>
      </c>
    </row>
    <row r="307" spans="1:13" ht="20.100000000000001" customHeight="1">
      <c r="A307" s="248"/>
      <c r="B307" s="248" t="s">
        <v>4292</v>
      </c>
      <c r="C307" s="248" t="s">
        <v>4008</v>
      </c>
      <c r="D307" s="248"/>
      <c r="E307" s="248"/>
      <c r="F307" s="248"/>
      <c r="G307" s="248" t="s">
        <v>3986</v>
      </c>
      <c r="H307" s="248"/>
      <c r="I307" s="248"/>
      <c r="J307" s="248"/>
      <c r="K307" s="248"/>
      <c r="L307" s="248"/>
      <c r="M307" s="248" t="s">
        <v>3550</v>
      </c>
    </row>
    <row r="308" spans="1:13" ht="20.100000000000001" customHeight="1">
      <c r="A308" s="248"/>
      <c r="B308" s="248" t="s">
        <v>4293</v>
      </c>
      <c r="C308" s="248" t="s">
        <v>4016</v>
      </c>
      <c r="D308" s="248"/>
      <c r="E308" s="248"/>
      <c r="F308" s="248"/>
      <c r="G308" s="248" t="s">
        <v>574</v>
      </c>
      <c r="H308" s="248"/>
      <c r="I308" s="248"/>
      <c r="J308" s="248"/>
      <c r="K308" s="248"/>
      <c r="L308" s="248"/>
      <c r="M308" s="248" t="s">
        <v>575</v>
      </c>
    </row>
    <row r="309" spans="1:13" ht="20.100000000000001" customHeight="1">
      <c r="A309" s="248"/>
      <c r="B309" s="248" t="s">
        <v>4294</v>
      </c>
      <c r="C309" s="248" t="s">
        <v>4016</v>
      </c>
      <c r="D309" s="248"/>
      <c r="E309" s="248"/>
      <c r="F309" s="248"/>
      <c r="G309" s="248" t="s">
        <v>3603</v>
      </c>
      <c r="H309" s="248"/>
      <c r="I309" s="248"/>
      <c r="J309" s="248"/>
      <c r="K309" s="248"/>
      <c r="L309" s="248"/>
      <c r="M309" s="248" t="s">
        <v>196</v>
      </c>
    </row>
    <row r="310" spans="1:13" ht="20.100000000000001" customHeight="1">
      <c r="A310" s="248"/>
      <c r="B310" s="248" t="s">
        <v>4295</v>
      </c>
      <c r="C310" s="248" t="s">
        <v>4014</v>
      </c>
      <c r="D310" s="248"/>
      <c r="E310" s="248"/>
      <c r="F310" s="248"/>
      <c r="G310" s="248" t="s">
        <v>3774</v>
      </c>
      <c r="H310" s="248"/>
      <c r="I310" s="248"/>
      <c r="J310" s="248"/>
      <c r="K310" s="248"/>
      <c r="L310" s="248"/>
      <c r="M310" s="248" t="s">
        <v>3550</v>
      </c>
    </row>
    <row r="311" spans="1:13" ht="20.100000000000001" customHeight="1">
      <c r="A311" s="248"/>
      <c r="B311" s="248" t="s">
        <v>4296</v>
      </c>
      <c r="C311" s="248" t="s">
        <v>4030</v>
      </c>
      <c r="D311" s="248"/>
      <c r="E311" s="248"/>
      <c r="F311" s="248"/>
      <c r="G311" s="248" t="s">
        <v>576</v>
      </c>
      <c r="H311" s="248"/>
      <c r="I311" s="248"/>
      <c r="J311" s="248"/>
      <c r="K311" s="248"/>
      <c r="L311" s="248"/>
      <c r="M311" s="248" t="s">
        <v>577</v>
      </c>
    </row>
    <row r="312" spans="1:13" ht="20.100000000000001" customHeight="1">
      <c r="A312" s="248"/>
      <c r="B312" s="248" t="s">
        <v>4297</v>
      </c>
      <c r="C312" s="248" t="s">
        <v>4012</v>
      </c>
      <c r="D312" s="248"/>
      <c r="E312" s="248"/>
      <c r="F312" s="248"/>
      <c r="G312" s="248" t="s">
        <v>578</v>
      </c>
      <c r="H312" s="248"/>
      <c r="I312" s="248"/>
      <c r="J312" s="248"/>
      <c r="K312" s="248"/>
      <c r="L312" s="248"/>
      <c r="M312" s="248" t="s">
        <v>579</v>
      </c>
    </row>
    <row r="313" spans="1:13" ht="20.100000000000001" customHeight="1">
      <c r="A313" s="248"/>
      <c r="B313" s="248" t="s">
        <v>4298</v>
      </c>
      <c r="C313" s="248" t="s">
        <v>4014</v>
      </c>
      <c r="D313" s="248"/>
      <c r="E313" s="248"/>
      <c r="F313" s="248"/>
      <c r="G313" s="248" t="s">
        <v>580</v>
      </c>
      <c r="H313" s="248"/>
      <c r="I313" s="248"/>
      <c r="J313" s="248"/>
      <c r="K313" s="248"/>
      <c r="L313" s="248"/>
      <c r="M313" s="248" t="s">
        <v>581</v>
      </c>
    </row>
    <row r="314" spans="1:13" ht="20.100000000000001" customHeight="1">
      <c r="A314" s="248"/>
      <c r="B314" s="248" t="s">
        <v>4299</v>
      </c>
      <c r="C314" s="248" t="s">
        <v>4003</v>
      </c>
      <c r="D314" s="248"/>
      <c r="E314" s="248"/>
      <c r="F314" s="248"/>
      <c r="G314" s="248" t="s">
        <v>582</v>
      </c>
      <c r="H314" s="248"/>
      <c r="I314" s="248"/>
      <c r="J314" s="248"/>
      <c r="K314" s="248"/>
      <c r="L314" s="248"/>
      <c r="M314" s="248" t="s">
        <v>583</v>
      </c>
    </row>
    <row r="315" spans="1:13" ht="20.100000000000001" customHeight="1">
      <c r="A315" s="248"/>
      <c r="B315" s="248" t="s">
        <v>4300</v>
      </c>
      <c r="C315" s="248" t="s">
        <v>4036</v>
      </c>
      <c r="D315" s="248"/>
      <c r="E315" s="248"/>
      <c r="F315" s="248"/>
      <c r="G315" s="248" t="s">
        <v>3496</v>
      </c>
      <c r="H315" s="248"/>
      <c r="I315" s="248"/>
      <c r="J315" s="248"/>
      <c r="K315" s="248"/>
      <c r="L315" s="248"/>
      <c r="M315" s="248" t="s">
        <v>3497</v>
      </c>
    </row>
    <row r="316" spans="1:13" ht="20.100000000000001" customHeight="1">
      <c r="A316" s="248"/>
      <c r="B316" s="248" t="s">
        <v>4301</v>
      </c>
      <c r="C316" s="248" t="s">
        <v>4016</v>
      </c>
      <c r="D316" s="248"/>
      <c r="E316" s="248"/>
      <c r="F316" s="248"/>
      <c r="G316" s="248" t="s">
        <v>584</v>
      </c>
      <c r="H316" s="248"/>
      <c r="I316" s="248"/>
      <c r="J316" s="248"/>
      <c r="K316" s="248"/>
      <c r="L316" s="248"/>
      <c r="M316" s="248" t="s">
        <v>585</v>
      </c>
    </row>
    <row r="317" spans="1:13" ht="20.100000000000001" customHeight="1">
      <c r="A317" s="248"/>
      <c r="B317" s="248" t="s">
        <v>4302</v>
      </c>
      <c r="C317" s="248" t="s">
        <v>4174</v>
      </c>
      <c r="D317" s="248"/>
      <c r="E317" s="248"/>
      <c r="F317" s="248"/>
      <c r="G317" s="248" t="s">
        <v>3643</v>
      </c>
      <c r="H317" s="248"/>
      <c r="I317" s="248"/>
      <c r="J317" s="248"/>
      <c r="K317" s="248"/>
      <c r="L317" s="248"/>
      <c r="M317" s="248" t="s">
        <v>3644</v>
      </c>
    </row>
    <row r="318" spans="1:13" ht="20.100000000000001" customHeight="1">
      <c r="A318" s="248"/>
      <c r="B318" s="248" t="s">
        <v>4303</v>
      </c>
      <c r="C318" s="248" t="s">
        <v>4036</v>
      </c>
      <c r="D318" s="248"/>
      <c r="E318" s="248"/>
      <c r="F318" s="248"/>
      <c r="G318" s="248" t="s">
        <v>586</v>
      </c>
      <c r="H318" s="248"/>
      <c r="I318" s="248"/>
      <c r="J318" s="248"/>
      <c r="K318" s="248"/>
      <c r="L318" s="248"/>
      <c r="M318" s="248" t="s">
        <v>3550</v>
      </c>
    </row>
    <row r="319" spans="1:13" ht="20.100000000000001" customHeight="1">
      <c r="A319" s="248"/>
      <c r="B319" s="248" t="s">
        <v>4304</v>
      </c>
      <c r="C319" s="248" t="s">
        <v>4050</v>
      </c>
      <c r="D319" s="248"/>
      <c r="E319" s="248"/>
      <c r="F319" s="248"/>
      <c r="G319" s="248" t="s">
        <v>587</v>
      </c>
      <c r="H319" s="248"/>
      <c r="I319" s="248"/>
      <c r="J319" s="248"/>
      <c r="K319" s="248"/>
      <c r="L319" s="248"/>
      <c r="M319" s="248" t="s">
        <v>588</v>
      </c>
    </row>
    <row r="320" spans="1:13" ht="20.100000000000001" customHeight="1">
      <c r="A320" s="248"/>
      <c r="B320" s="248" t="s">
        <v>4305</v>
      </c>
      <c r="C320" s="248" t="s">
        <v>4050</v>
      </c>
      <c r="D320" s="248"/>
      <c r="E320" s="248"/>
      <c r="F320" s="248"/>
      <c r="G320" s="248" t="s">
        <v>589</v>
      </c>
      <c r="H320" s="248"/>
      <c r="I320" s="248"/>
      <c r="J320" s="248"/>
      <c r="K320" s="248"/>
      <c r="L320" s="248"/>
      <c r="M320" s="248" t="s">
        <v>588</v>
      </c>
    </row>
    <row r="321" spans="1:13" ht="20.100000000000001" customHeight="1">
      <c r="A321" s="248"/>
      <c r="B321" s="248" t="s">
        <v>4306</v>
      </c>
      <c r="C321" s="248" t="s">
        <v>4030</v>
      </c>
      <c r="D321" s="248"/>
      <c r="E321" s="248"/>
      <c r="F321" s="248"/>
      <c r="G321" s="248" t="s">
        <v>590</v>
      </c>
      <c r="H321" s="248"/>
      <c r="I321" s="248"/>
      <c r="J321" s="248"/>
      <c r="K321" s="248"/>
      <c r="L321" s="248"/>
      <c r="M321" s="248" t="s">
        <v>591</v>
      </c>
    </row>
    <row r="322" spans="1:13" ht="20.100000000000001" customHeight="1">
      <c r="A322" s="249"/>
      <c r="B322" s="249" t="s">
        <v>4307</v>
      </c>
      <c r="C322" s="250" t="s">
        <v>4174</v>
      </c>
      <c r="D322" s="249"/>
      <c r="E322" s="249"/>
      <c r="F322" s="249"/>
      <c r="G322" s="249" t="s">
        <v>3408</v>
      </c>
      <c r="H322" s="249"/>
      <c r="I322" s="249"/>
      <c r="J322" s="249"/>
      <c r="K322" s="249"/>
      <c r="L322" s="249"/>
      <c r="M322" s="249" t="s">
        <v>592</v>
      </c>
    </row>
    <row r="323" spans="1:13" ht="20.100000000000001" customHeight="1">
      <c r="A323" s="248"/>
      <c r="B323" s="248" t="s">
        <v>4308</v>
      </c>
      <c r="C323" s="248" t="s">
        <v>4030</v>
      </c>
      <c r="D323" s="248"/>
      <c r="E323" s="248"/>
      <c r="F323" s="248"/>
      <c r="G323" s="248" t="s">
        <v>593</v>
      </c>
      <c r="H323" s="248"/>
      <c r="I323" s="248"/>
      <c r="J323" s="248"/>
      <c r="K323" s="248"/>
      <c r="L323" s="248"/>
      <c r="M323" s="248" t="s">
        <v>594</v>
      </c>
    </row>
    <row r="324" spans="1:13" ht="20.100000000000001" customHeight="1">
      <c r="A324" s="248"/>
      <c r="B324" s="248" t="s">
        <v>4309</v>
      </c>
      <c r="C324" s="248" t="s">
        <v>4016</v>
      </c>
      <c r="D324" s="248"/>
      <c r="E324" s="248"/>
      <c r="F324" s="248"/>
      <c r="G324" s="248" t="s">
        <v>595</v>
      </c>
      <c r="H324" s="248"/>
      <c r="I324" s="248"/>
      <c r="J324" s="248"/>
      <c r="K324" s="248"/>
      <c r="L324" s="248"/>
      <c r="M324" s="248" t="s">
        <v>596</v>
      </c>
    </row>
    <row r="325" spans="1:13" ht="20.100000000000001" customHeight="1">
      <c r="A325" s="248"/>
      <c r="B325" s="248" t="s">
        <v>4310</v>
      </c>
      <c r="C325" s="248" t="s">
        <v>4036</v>
      </c>
      <c r="D325" s="248"/>
      <c r="E325" s="248"/>
      <c r="F325" s="248"/>
      <c r="G325" s="248" t="s">
        <v>3452</v>
      </c>
      <c r="H325" s="248"/>
      <c r="I325" s="248"/>
      <c r="J325" s="248"/>
      <c r="K325" s="248"/>
      <c r="L325" s="248"/>
      <c r="M325" s="248" t="s">
        <v>196</v>
      </c>
    </row>
    <row r="326" spans="1:13" ht="20.100000000000001" customHeight="1">
      <c r="A326" s="248"/>
      <c r="B326" s="248" t="s">
        <v>4311</v>
      </c>
      <c r="C326" s="248" t="s">
        <v>4003</v>
      </c>
      <c r="D326" s="248"/>
      <c r="E326" s="248"/>
      <c r="F326" s="248"/>
      <c r="G326" s="248" t="s">
        <v>597</v>
      </c>
      <c r="H326" s="248"/>
      <c r="I326" s="248"/>
      <c r="J326" s="248"/>
      <c r="K326" s="248"/>
      <c r="L326" s="248"/>
      <c r="M326" s="248" t="s">
        <v>3550</v>
      </c>
    </row>
    <row r="327" spans="1:13" ht="20.100000000000001" customHeight="1">
      <c r="A327" s="248"/>
      <c r="B327" s="248" t="s">
        <v>4312</v>
      </c>
      <c r="C327" s="248" t="s">
        <v>4016</v>
      </c>
      <c r="D327" s="248"/>
      <c r="E327" s="248"/>
      <c r="F327" s="248"/>
      <c r="G327" s="248" t="s">
        <v>598</v>
      </c>
      <c r="H327" s="248"/>
      <c r="I327" s="248"/>
      <c r="J327" s="248"/>
      <c r="K327" s="248"/>
      <c r="L327" s="248"/>
      <c r="M327" s="248" t="s">
        <v>3550</v>
      </c>
    </row>
    <row r="328" spans="1:13" ht="20.100000000000001" customHeight="1">
      <c r="A328" s="248"/>
      <c r="B328" s="248" t="s">
        <v>4313</v>
      </c>
      <c r="C328" s="248" t="s">
        <v>4016</v>
      </c>
      <c r="D328" s="248"/>
      <c r="E328" s="248"/>
      <c r="F328" s="248"/>
      <c r="G328" s="248" t="s">
        <v>3453</v>
      </c>
      <c r="H328" s="248"/>
      <c r="I328" s="248"/>
      <c r="J328" s="248"/>
      <c r="K328" s="248"/>
      <c r="L328" s="248"/>
      <c r="M328" s="248" t="s">
        <v>3454</v>
      </c>
    </row>
    <row r="329" spans="1:13" ht="20.100000000000001" customHeight="1">
      <c r="A329" s="248"/>
      <c r="B329" s="248" t="s">
        <v>6233</v>
      </c>
      <c r="C329" s="248" t="s">
        <v>4016</v>
      </c>
      <c r="D329" s="248"/>
      <c r="E329" s="248"/>
      <c r="F329" s="248"/>
      <c r="G329" s="248" t="s">
        <v>6234</v>
      </c>
      <c r="H329" s="248"/>
      <c r="I329" s="248"/>
      <c r="J329" s="248"/>
      <c r="K329" s="248"/>
      <c r="L329" s="248"/>
      <c r="M329" s="248" t="s">
        <v>6235</v>
      </c>
    </row>
    <row r="330" spans="1:13" ht="20.100000000000001" customHeight="1">
      <c r="A330" s="248"/>
      <c r="B330" s="248" t="s">
        <v>4314</v>
      </c>
      <c r="C330" s="248" t="s">
        <v>4014</v>
      </c>
      <c r="D330" s="248"/>
      <c r="E330" s="248"/>
      <c r="F330" s="248"/>
      <c r="G330" s="248" t="s">
        <v>599</v>
      </c>
      <c r="H330" s="248"/>
      <c r="I330" s="248"/>
      <c r="J330" s="248"/>
      <c r="K330" s="248"/>
      <c r="L330" s="248"/>
      <c r="M330" s="248" t="s">
        <v>600</v>
      </c>
    </row>
    <row r="331" spans="1:13" ht="20.100000000000001" customHeight="1">
      <c r="A331" s="248"/>
      <c r="B331" s="248" t="s">
        <v>4315</v>
      </c>
      <c r="C331" s="248" t="s">
        <v>4036</v>
      </c>
      <c r="D331" s="248"/>
      <c r="E331" s="248"/>
      <c r="F331" s="248"/>
      <c r="G331" s="248" t="s">
        <v>601</v>
      </c>
      <c r="H331" s="248"/>
      <c r="I331" s="248"/>
      <c r="J331" s="248"/>
      <c r="K331" s="248"/>
      <c r="L331" s="248"/>
      <c r="M331" s="248" t="s">
        <v>602</v>
      </c>
    </row>
    <row r="332" spans="1:13" ht="20.100000000000001" customHeight="1">
      <c r="A332" s="248"/>
      <c r="B332" s="248" t="s">
        <v>4316</v>
      </c>
      <c r="C332" s="248" t="s">
        <v>4036</v>
      </c>
      <c r="D332" s="248"/>
      <c r="E332" s="248"/>
      <c r="F332" s="248"/>
      <c r="G332" s="248" t="s">
        <v>3553</v>
      </c>
      <c r="H332" s="248"/>
      <c r="I332" s="248"/>
      <c r="J332" s="248"/>
      <c r="K332" s="248"/>
      <c r="L332" s="248"/>
      <c r="M332" s="248" t="s">
        <v>3550</v>
      </c>
    </row>
    <row r="333" spans="1:13" ht="20.100000000000001" customHeight="1">
      <c r="A333" s="248"/>
      <c r="B333" s="248" t="s">
        <v>6174</v>
      </c>
      <c r="C333" s="248" t="s">
        <v>4012</v>
      </c>
      <c r="D333" s="248"/>
      <c r="E333" s="248"/>
      <c r="F333" s="248"/>
      <c r="G333" s="248" t="s">
        <v>6175</v>
      </c>
      <c r="H333" s="248"/>
      <c r="I333" s="248"/>
      <c r="J333" s="248"/>
      <c r="K333" s="248"/>
      <c r="L333" s="248"/>
      <c r="M333" s="248" t="s">
        <v>6176</v>
      </c>
    </row>
    <row r="334" spans="1:13" ht="20.100000000000001" customHeight="1">
      <c r="A334" s="248"/>
      <c r="B334" s="248" t="s">
        <v>4317</v>
      </c>
      <c r="C334" s="248" t="s">
        <v>4003</v>
      </c>
      <c r="D334" s="248"/>
      <c r="E334" s="248"/>
      <c r="F334" s="248"/>
      <c r="G334" s="248" t="s">
        <v>3941</v>
      </c>
      <c r="H334" s="248"/>
      <c r="I334" s="248"/>
      <c r="J334" s="248"/>
      <c r="K334" s="248"/>
      <c r="L334" s="248"/>
      <c r="M334" s="248" t="s">
        <v>196</v>
      </c>
    </row>
    <row r="335" spans="1:13" ht="20.100000000000001" customHeight="1">
      <c r="A335" s="248"/>
      <c r="B335" s="248" t="s">
        <v>4318</v>
      </c>
      <c r="C335" s="248" t="s">
        <v>4121</v>
      </c>
      <c r="D335" s="248"/>
      <c r="E335" s="248"/>
      <c r="F335" s="248"/>
      <c r="G335" s="248" t="s">
        <v>603</v>
      </c>
      <c r="H335" s="248"/>
      <c r="I335" s="248"/>
      <c r="J335" s="248"/>
      <c r="K335" s="248"/>
      <c r="L335" s="248"/>
      <c r="M335" s="248" t="s">
        <v>604</v>
      </c>
    </row>
    <row r="336" spans="1:13" ht="20.100000000000001" customHeight="1">
      <c r="A336" s="248"/>
      <c r="B336" s="248" t="s">
        <v>4319</v>
      </c>
      <c r="C336" s="248" t="s">
        <v>4016</v>
      </c>
      <c r="D336" s="248"/>
      <c r="E336" s="248"/>
      <c r="F336" s="248"/>
      <c r="G336" s="248" t="s">
        <v>605</v>
      </c>
      <c r="H336" s="248"/>
      <c r="I336" s="248"/>
      <c r="J336" s="248"/>
      <c r="K336" s="248"/>
      <c r="L336" s="248"/>
      <c r="M336" s="248" t="s">
        <v>606</v>
      </c>
    </row>
    <row r="337" spans="1:13" ht="20.100000000000001" customHeight="1">
      <c r="A337" s="248"/>
      <c r="B337" s="248" t="s">
        <v>4320</v>
      </c>
      <c r="C337" s="248" t="s">
        <v>4121</v>
      </c>
      <c r="D337" s="248"/>
      <c r="E337" s="248"/>
      <c r="F337" s="248"/>
      <c r="G337" s="248" t="s">
        <v>3256</v>
      </c>
      <c r="H337" s="248"/>
      <c r="I337" s="248"/>
      <c r="J337" s="248"/>
      <c r="K337" s="248"/>
      <c r="L337" s="248"/>
      <c r="M337" s="248" t="s">
        <v>607</v>
      </c>
    </row>
    <row r="338" spans="1:13" ht="20.100000000000001" customHeight="1">
      <c r="A338" s="248"/>
      <c r="B338" s="248" t="s">
        <v>4321</v>
      </c>
      <c r="C338" s="248" t="s">
        <v>4121</v>
      </c>
      <c r="D338" s="248"/>
      <c r="E338" s="248"/>
      <c r="F338" s="248"/>
      <c r="G338" s="248" t="s">
        <v>608</v>
      </c>
      <c r="H338" s="248"/>
      <c r="I338" s="248"/>
      <c r="J338" s="248"/>
      <c r="K338" s="248"/>
      <c r="L338" s="248"/>
      <c r="M338" s="248" t="s">
        <v>609</v>
      </c>
    </row>
    <row r="339" spans="1:13" ht="20.100000000000001" customHeight="1">
      <c r="A339" s="248"/>
      <c r="B339" s="248" t="s">
        <v>4322</v>
      </c>
      <c r="C339" s="248" t="s">
        <v>4012</v>
      </c>
      <c r="D339" s="248"/>
      <c r="E339" s="248"/>
      <c r="F339" s="248"/>
      <c r="G339" s="248" t="s">
        <v>3775</v>
      </c>
      <c r="H339" s="248"/>
      <c r="I339" s="248"/>
      <c r="J339" s="248"/>
      <c r="K339" s="248"/>
      <c r="L339" s="248"/>
      <c r="M339" s="248" t="s">
        <v>3776</v>
      </c>
    </row>
    <row r="340" spans="1:13" ht="20.100000000000001" customHeight="1">
      <c r="A340" s="248"/>
      <c r="B340" s="248" t="s">
        <v>4323</v>
      </c>
      <c r="C340" s="248" t="s">
        <v>4014</v>
      </c>
      <c r="D340" s="248"/>
      <c r="E340" s="248"/>
      <c r="F340" s="248"/>
      <c r="G340" s="248" t="s">
        <v>610</v>
      </c>
      <c r="H340" s="248"/>
      <c r="I340" s="248"/>
      <c r="J340" s="248"/>
      <c r="K340" s="248"/>
      <c r="L340" s="248"/>
      <c r="M340" s="248" t="s">
        <v>611</v>
      </c>
    </row>
    <row r="341" spans="1:13" ht="20.100000000000001" customHeight="1">
      <c r="A341" s="248"/>
      <c r="B341" s="248" t="s">
        <v>4324</v>
      </c>
      <c r="C341" s="248" t="s">
        <v>4012</v>
      </c>
      <c r="D341" s="248"/>
      <c r="E341" s="248"/>
      <c r="F341" s="248"/>
      <c r="G341" s="248" t="s">
        <v>3142</v>
      </c>
      <c r="H341" s="248"/>
      <c r="I341" s="248"/>
      <c r="J341" s="248"/>
      <c r="K341" s="248"/>
      <c r="L341" s="248"/>
      <c r="M341" s="248" t="s">
        <v>3143</v>
      </c>
    </row>
    <row r="342" spans="1:13" ht="20.100000000000001" customHeight="1">
      <c r="A342" s="248"/>
      <c r="B342" s="248" t="s">
        <v>4325</v>
      </c>
      <c r="C342" s="248" t="s">
        <v>4008</v>
      </c>
      <c r="D342" s="248"/>
      <c r="E342" s="248"/>
      <c r="F342" s="248"/>
      <c r="G342" s="248" t="s">
        <v>612</v>
      </c>
      <c r="H342" s="248"/>
      <c r="I342" s="248"/>
      <c r="J342" s="248"/>
      <c r="K342" s="248"/>
      <c r="L342" s="248"/>
      <c r="M342" s="248" t="s">
        <v>613</v>
      </c>
    </row>
    <row r="343" spans="1:13" ht="20.100000000000001" customHeight="1">
      <c r="A343" s="248"/>
      <c r="B343" s="248" t="s">
        <v>4326</v>
      </c>
      <c r="C343" s="248" t="s">
        <v>4124</v>
      </c>
      <c r="D343" s="248"/>
      <c r="E343" s="248"/>
      <c r="F343" s="248"/>
      <c r="G343" s="248" t="s">
        <v>614</v>
      </c>
      <c r="H343" s="248"/>
      <c r="I343" s="248"/>
      <c r="J343" s="248"/>
      <c r="K343" s="248"/>
      <c r="L343" s="248"/>
      <c r="M343" s="248" t="s">
        <v>615</v>
      </c>
    </row>
    <row r="344" spans="1:13" ht="20.100000000000001" customHeight="1">
      <c r="A344" s="248"/>
      <c r="B344" s="248" t="s">
        <v>4327</v>
      </c>
      <c r="C344" s="248" t="s">
        <v>4124</v>
      </c>
      <c r="D344" s="248"/>
      <c r="E344" s="248"/>
      <c r="F344" s="248"/>
      <c r="G344" s="248" t="s">
        <v>3554</v>
      </c>
      <c r="H344" s="248"/>
      <c r="I344" s="248"/>
      <c r="J344" s="248"/>
      <c r="K344" s="248"/>
      <c r="L344" s="248"/>
      <c r="M344" s="248" t="s">
        <v>615</v>
      </c>
    </row>
    <row r="345" spans="1:13" ht="20.100000000000001" customHeight="1">
      <c r="A345" s="248"/>
      <c r="B345" s="248" t="s">
        <v>4328</v>
      </c>
      <c r="C345" s="248" t="s">
        <v>4016</v>
      </c>
      <c r="D345" s="248"/>
      <c r="E345" s="248"/>
      <c r="F345" s="248"/>
      <c r="G345" s="248" t="s">
        <v>616</v>
      </c>
      <c r="H345" s="248"/>
      <c r="I345" s="248"/>
      <c r="J345" s="248"/>
      <c r="K345" s="248"/>
      <c r="L345" s="248"/>
      <c r="M345" s="248" t="s">
        <v>617</v>
      </c>
    </row>
    <row r="346" spans="1:13" ht="20.100000000000001" customHeight="1">
      <c r="A346" s="248"/>
      <c r="B346" s="248" t="s">
        <v>4329</v>
      </c>
      <c r="C346" s="248" t="s">
        <v>4030</v>
      </c>
      <c r="D346" s="248"/>
      <c r="E346" s="248"/>
      <c r="F346" s="248"/>
      <c r="G346" s="248" t="s">
        <v>3676</v>
      </c>
      <c r="H346" s="248"/>
      <c r="I346" s="248"/>
      <c r="J346" s="248"/>
      <c r="K346" s="248"/>
      <c r="L346" s="248"/>
      <c r="M346" s="248" t="s">
        <v>3677</v>
      </c>
    </row>
    <row r="347" spans="1:13" ht="20.100000000000001" customHeight="1">
      <c r="A347" s="248"/>
      <c r="B347" s="248" t="s">
        <v>4330</v>
      </c>
      <c r="C347" s="248" t="s">
        <v>4005</v>
      </c>
      <c r="D347" s="248"/>
      <c r="E347" s="248"/>
      <c r="F347" s="248"/>
      <c r="G347" s="248" t="s">
        <v>618</v>
      </c>
      <c r="H347" s="248"/>
      <c r="I347" s="248"/>
      <c r="J347" s="248"/>
      <c r="K347" s="248"/>
      <c r="L347" s="248"/>
      <c r="M347" s="248" t="s">
        <v>619</v>
      </c>
    </row>
    <row r="348" spans="1:13" ht="20.100000000000001" customHeight="1">
      <c r="A348" s="248"/>
      <c r="B348" s="248" t="s">
        <v>4331</v>
      </c>
      <c r="C348" s="248" t="s">
        <v>4025</v>
      </c>
      <c r="D348" s="248"/>
      <c r="E348" s="248"/>
      <c r="F348" s="248"/>
      <c r="G348" s="248" t="s">
        <v>620</v>
      </c>
      <c r="H348" s="248"/>
      <c r="I348" s="248"/>
      <c r="J348" s="248"/>
      <c r="K348" s="248"/>
      <c r="L348" s="248"/>
      <c r="M348" s="248" t="s">
        <v>621</v>
      </c>
    </row>
    <row r="349" spans="1:13" ht="20.100000000000001" customHeight="1">
      <c r="A349" s="248"/>
      <c r="B349" s="248" t="s">
        <v>4332</v>
      </c>
      <c r="C349" s="248" t="s">
        <v>4333</v>
      </c>
      <c r="D349" s="248"/>
      <c r="E349" s="248"/>
      <c r="F349" s="248"/>
      <c r="G349" s="248" t="s">
        <v>622</v>
      </c>
      <c r="H349" s="248"/>
      <c r="I349" s="248"/>
      <c r="J349" s="248"/>
      <c r="K349" s="248"/>
      <c r="L349" s="248"/>
      <c r="M349" s="248" t="s">
        <v>619</v>
      </c>
    </row>
    <row r="350" spans="1:13" ht="20.100000000000001" customHeight="1">
      <c r="A350" s="248"/>
      <c r="B350" s="248" t="s">
        <v>4334</v>
      </c>
      <c r="C350" s="248" t="s">
        <v>4030</v>
      </c>
      <c r="D350" s="248"/>
      <c r="E350" s="248"/>
      <c r="F350" s="248"/>
      <c r="G350" s="248" t="s">
        <v>623</v>
      </c>
      <c r="H350" s="248"/>
      <c r="I350" s="248"/>
      <c r="J350" s="248"/>
      <c r="K350" s="248"/>
      <c r="L350" s="248"/>
      <c r="M350" s="248" t="s">
        <v>624</v>
      </c>
    </row>
    <row r="351" spans="1:13" ht="20.100000000000001" customHeight="1">
      <c r="A351" s="248"/>
      <c r="B351" s="248" t="s">
        <v>4335</v>
      </c>
      <c r="C351" s="248" t="s">
        <v>4036</v>
      </c>
      <c r="D351" s="248"/>
      <c r="E351" s="248"/>
      <c r="F351" s="248"/>
      <c r="G351" s="248" t="s">
        <v>625</v>
      </c>
      <c r="H351" s="248"/>
      <c r="I351" s="248"/>
      <c r="J351" s="248"/>
      <c r="K351" s="248"/>
      <c r="L351" s="248"/>
      <c r="M351" s="248" t="s">
        <v>626</v>
      </c>
    </row>
    <row r="352" spans="1:13" ht="20.100000000000001" customHeight="1">
      <c r="A352" s="248"/>
      <c r="B352" s="248" t="s">
        <v>4336</v>
      </c>
      <c r="C352" s="248" t="s">
        <v>4057</v>
      </c>
      <c r="D352" s="248"/>
      <c r="E352" s="248"/>
      <c r="F352" s="248"/>
      <c r="G352" s="248" t="s">
        <v>3520</v>
      </c>
      <c r="H352" s="248"/>
      <c r="I352" s="248"/>
      <c r="J352" s="248"/>
      <c r="K352" s="248"/>
      <c r="L352" s="248"/>
      <c r="M352" s="248" t="s">
        <v>3550</v>
      </c>
    </row>
    <row r="353" spans="1:13" ht="20.100000000000001" customHeight="1">
      <c r="A353" s="248"/>
      <c r="B353" s="248" t="s">
        <v>4337</v>
      </c>
      <c r="C353" s="248" t="s">
        <v>4030</v>
      </c>
      <c r="D353" s="248"/>
      <c r="E353" s="248"/>
      <c r="F353" s="248"/>
      <c r="G353" s="248" t="s">
        <v>627</v>
      </c>
      <c r="H353" s="248"/>
      <c r="I353" s="248"/>
      <c r="J353" s="248"/>
      <c r="K353" s="248"/>
      <c r="L353" s="248"/>
      <c r="M353" s="248" t="s">
        <v>628</v>
      </c>
    </row>
    <row r="354" spans="1:13" ht="20.100000000000001" customHeight="1">
      <c r="A354" s="248"/>
      <c r="B354" s="248" t="s">
        <v>4338</v>
      </c>
      <c r="C354" s="248" t="s">
        <v>4339</v>
      </c>
      <c r="D354" s="248"/>
      <c r="E354" s="248"/>
      <c r="F354" s="248"/>
      <c r="G354" s="248" t="s">
        <v>629</v>
      </c>
      <c r="H354" s="248"/>
      <c r="I354" s="248"/>
      <c r="J354" s="248"/>
      <c r="K354" s="248"/>
      <c r="L354" s="248"/>
      <c r="M354" s="248" t="s">
        <v>630</v>
      </c>
    </row>
    <row r="355" spans="1:13" ht="20.100000000000001" customHeight="1">
      <c r="A355" s="248"/>
      <c r="B355" s="248" t="s">
        <v>4340</v>
      </c>
      <c r="C355" s="248" t="s">
        <v>4014</v>
      </c>
      <c r="D355" s="248"/>
      <c r="E355" s="248"/>
      <c r="F355" s="248"/>
      <c r="G355" s="248" t="s">
        <v>631</v>
      </c>
      <c r="H355" s="248"/>
      <c r="I355" s="248"/>
      <c r="J355" s="248"/>
      <c r="K355" s="248"/>
      <c r="L355" s="248"/>
      <c r="M355" s="248" t="s">
        <v>632</v>
      </c>
    </row>
    <row r="356" spans="1:13" ht="20.100000000000001" customHeight="1">
      <c r="A356" s="248"/>
      <c r="B356" s="248" t="s">
        <v>4341</v>
      </c>
      <c r="C356" s="248" t="s">
        <v>4016</v>
      </c>
      <c r="D356" s="248"/>
      <c r="E356" s="248"/>
      <c r="F356" s="248"/>
      <c r="G356" s="248" t="s">
        <v>3678</v>
      </c>
      <c r="H356" s="248"/>
      <c r="I356" s="248"/>
      <c r="J356" s="248"/>
      <c r="K356" s="248"/>
      <c r="L356" s="248"/>
      <c r="M356" s="248" t="s">
        <v>3679</v>
      </c>
    </row>
    <row r="357" spans="1:13" ht="20.100000000000001" customHeight="1">
      <c r="A357" s="248"/>
      <c r="B357" s="248" t="s">
        <v>4342</v>
      </c>
      <c r="C357" s="248" t="s">
        <v>4003</v>
      </c>
      <c r="D357" s="248"/>
      <c r="E357" s="248"/>
      <c r="F357" s="248"/>
      <c r="G357" s="248" t="s">
        <v>3455</v>
      </c>
      <c r="H357" s="248"/>
      <c r="I357" s="248"/>
      <c r="J357" s="248"/>
      <c r="K357" s="248"/>
      <c r="L357" s="248"/>
      <c r="M357" s="248" t="s">
        <v>633</v>
      </c>
    </row>
    <row r="358" spans="1:13" ht="20.100000000000001" customHeight="1">
      <c r="A358" s="249"/>
      <c r="B358" s="249" t="s">
        <v>4343</v>
      </c>
      <c r="C358" s="250" t="s">
        <v>4036</v>
      </c>
      <c r="D358" s="249"/>
      <c r="E358" s="249"/>
      <c r="F358" s="249"/>
      <c r="G358" s="249" t="s">
        <v>634</v>
      </c>
      <c r="H358" s="249"/>
      <c r="I358" s="249"/>
      <c r="J358" s="249"/>
      <c r="K358" s="249"/>
      <c r="L358" s="249"/>
      <c r="M358" s="249" t="s">
        <v>635</v>
      </c>
    </row>
    <row r="359" spans="1:13" ht="20.100000000000001" customHeight="1">
      <c r="A359" s="248"/>
      <c r="B359" s="248" t="s">
        <v>4344</v>
      </c>
      <c r="C359" s="248" t="s">
        <v>4036</v>
      </c>
      <c r="D359" s="248"/>
      <c r="E359" s="248"/>
      <c r="F359" s="248"/>
      <c r="G359" s="248" t="s">
        <v>636</v>
      </c>
      <c r="H359" s="248"/>
      <c r="I359" s="248"/>
      <c r="J359" s="248"/>
      <c r="K359" s="248"/>
      <c r="L359" s="248"/>
      <c r="M359" s="248" t="s">
        <v>637</v>
      </c>
    </row>
    <row r="360" spans="1:13" ht="20.100000000000001" customHeight="1">
      <c r="A360" s="248"/>
      <c r="B360" s="248" t="s">
        <v>4345</v>
      </c>
      <c r="C360" s="248" t="s">
        <v>4014</v>
      </c>
      <c r="D360" s="248"/>
      <c r="E360" s="248"/>
      <c r="F360" s="248"/>
      <c r="G360" s="248" t="s">
        <v>638</v>
      </c>
      <c r="H360" s="248"/>
      <c r="I360" s="248"/>
      <c r="J360" s="248"/>
      <c r="K360" s="248"/>
      <c r="L360" s="248"/>
      <c r="M360" s="248" t="s">
        <v>3550</v>
      </c>
    </row>
    <row r="361" spans="1:13" ht="20.100000000000001" customHeight="1">
      <c r="A361" s="248"/>
      <c r="B361" s="248" t="s">
        <v>4346</v>
      </c>
      <c r="C361" s="248" t="s">
        <v>4014</v>
      </c>
      <c r="D361" s="248"/>
      <c r="E361" s="248"/>
      <c r="F361" s="248"/>
      <c r="G361" s="248" t="s">
        <v>639</v>
      </c>
      <c r="H361" s="248"/>
      <c r="I361" s="248"/>
      <c r="J361" s="248"/>
      <c r="K361" s="248"/>
      <c r="L361" s="248"/>
      <c r="M361" s="248" t="s">
        <v>3550</v>
      </c>
    </row>
    <row r="362" spans="1:13" ht="20.100000000000001" customHeight="1">
      <c r="A362" s="248"/>
      <c r="B362" s="248" t="s">
        <v>6136</v>
      </c>
      <c r="C362" s="248" t="s">
        <v>4030</v>
      </c>
      <c r="D362" s="248"/>
      <c r="E362" s="248"/>
      <c r="F362" s="248"/>
      <c r="G362" s="248" t="s">
        <v>6137</v>
      </c>
      <c r="H362" s="248"/>
      <c r="I362" s="248"/>
      <c r="J362" s="248"/>
      <c r="K362" s="248"/>
      <c r="L362" s="248"/>
      <c r="M362" s="248" t="s">
        <v>6138</v>
      </c>
    </row>
    <row r="363" spans="1:13" ht="20.100000000000001" customHeight="1">
      <c r="A363" s="248"/>
      <c r="B363" s="248" t="s">
        <v>4347</v>
      </c>
      <c r="C363" s="248" t="s">
        <v>4012</v>
      </c>
      <c r="D363" s="248"/>
      <c r="E363" s="248"/>
      <c r="F363" s="248"/>
      <c r="G363" s="248" t="s">
        <v>640</v>
      </c>
      <c r="H363" s="248"/>
      <c r="I363" s="248"/>
      <c r="J363" s="248"/>
      <c r="K363" s="248"/>
      <c r="L363" s="248"/>
      <c r="M363" s="248" t="s">
        <v>3550</v>
      </c>
    </row>
    <row r="364" spans="1:13" ht="20.100000000000001" customHeight="1">
      <c r="A364" s="248"/>
      <c r="B364" s="248" t="s">
        <v>4348</v>
      </c>
      <c r="C364" s="248" t="s">
        <v>4016</v>
      </c>
      <c r="D364" s="248"/>
      <c r="E364" s="248"/>
      <c r="F364" s="248"/>
      <c r="G364" s="248" t="s">
        <v>641</v>
      </c>
      <c r="H364" s="248"/>
      <c r="I364" s="248"/>
      <c r="J364" s="248"/>
      <c r="K364" s="248"/>
      <c r="L364" s="248"/>
      <c r="M364" s="248" t="s">
        <v>3550</v>
      </c>
    </row>
    <row r="365" spans="1:13" ht="20.100000000000001" customHeight="1">
      <c r="A365" s="248"/>
      <c r="B365" s="248" t="s">
        <v>4349</v>
      </c>
      <c r="C365" s="248" t="s">
        <v>4121</v>
      </c>
      <c r="D365" s="248"/>
      <c r="E365" s="248"/>
      <c r="F365" s="248"/>
      <c r="G365" s="248" t="s">
        <v>642</v>
      </c>
      <c r="H365" s="248"/>
      <c r="I365" s="248"/>
      <c r="J365" s="248"/>
      <c r="K365" s="248"/>
      <c r="L365" s="248"/>
      <c r="M365" s="248" t="s">
        <v>643</v>
      </c>
    </row>
    <row r="366" spans="1:13" ht="20.100000000000001" customHeight="1">
      <c r="A366" s="248"/>
      <c r="B366" s="248" t="s">
        <v>4350</v>
      </c>
      <c r="C366" s="248" t="s">
        <v>4016</v>
      </c>
      <c r="D366" s="248"/>
      <c r="E366" s="248"/>
      <c r="F366" s="248"/>
      <c r="G366" s="248" t="s">
        <v>644</v>
      </c>
      <c r="H366" s="248"/>
      <c r="I366" s="248"/>
      <c r="J366" s="248"/>
      <c r="K366" s="248"/>
      <c r="L366" s="248"/>
      <c r="M366" s="248" t="s">
        <v>645</v>
      </c>
    </row>
    <row r="367" spans="1:13" ht="20.100000000000001" customHeight="1">
      <c r="A367" s="248"/>
      <c r="B367" s="248" t="s">
        <v>4351</v>
      </c>
      <c r="C367" s="248" t="s">
        <v>4174</v>
      </c>
      <c r="D367" s="248"/>
      <c r="E367" s="248"/>
      <c r="F367" s="248"/>
      <c r="G367" s="248" t="s">
        <v>3623</v>
      </c>
      <c r="H367" s="248"/>
      <c r="I367" s="248"/>
      <c r="J367" s="248"/>
      <c r="K367" s="248"/>
      <c r="L367" s="248"/>
      <c r="M367" s="248" t="s">
        <v>3624</v>
      </c>
    </row>
    <row r="368" spans="1:13" ht="20.100000000000001" customHeight="1">
      <c r="A368" s="248"/>
      <c r="B368" s="248" t="s">
        <v>4352</v>
      </c>
      <c r="C368" s="248" t="s">
        <v>4174</v>
      </c>
      <c r="D368" s="248"/>
      <c r="E368" s="248"/>
      <c r="F368" s="248"/>
      <c r="G368" s="248" t="s">
        <v>3621</v>
      </c>
      <c r="H368" s="248"/>
      <c r="I368" s="248"/>
      <c r="J368" s="248"/>
      <c r="K368" s="248"/>
      <c r="L368" s="248"/>
      <c r="M368" s="248" t="s">
        <v>3622</v>
      </c>
    </row>
    <row r="369" spans="1:13" ht="20.100000000000001" customHeight="1">
      <c r="A369" s="248"/>
      <c r="B369" s="248" t="s">
        <v>4353</v>
      </c>
      <c r="C369" s="248" t="s">
        <v>4036</v>
      </c>
      <c r="D369" s="248"/>
      <c r="E369" s="248"/>
      <c r="F369" s="248"/>
      <c r="G369" s="248" t="s">
        <v>646</v>
      </c>
      <c r="H369" s="248"/>
      <c r="I369" s="248"/>
      <c r="J369" s="248"/>
      <c r="K369" s="248"/>
      <c r="L369" s="248"/>
      <c r="M369" s="248" t="s">
        <v>647</v>
      </c>
    </row>
    <row r="370" spans="1:13" ht="20.100000000000001" customHeight="1">
      <c r="A370" s="248"/>
      <c r="B370" s="248" t="s">
        <v>4354</v>
      </c>
      <c r="C370" s="248" t="s">
        <v>4005</v>
      </c>
      <c r="D370" s="248"/>
      <c r="E370" s="248"/>
      <c r="F370" s="248"/>
      <c r="G370" s="248" t="s">
        <v>648</v>
      </c>
      <c r="H370" s="248"/>
      <c r="I370" s="248"/>
      <c r="J370" s="248"/>
      <c r="K370" s="248"/>
      <c r="L370" s="248"/>
      <c r="M370" s="248" t="s">
        <v>649</v>
      </c>
    </row>
    <row r="371" spans="1:13" ht="20.100000000000001" customHeight="1">
      <c r="A371" s="248"/>
      <c r="B371" s="248" t="s">
        <v>4355</v>
      </c>
      <c r="C371" s="248" t="s">
        <v>4030</v>
      </c>
      <c r="D371" s="248"/>
      <c r="E371" s="248"/>
      <c r="F371" s="248"/>
      <c r="G371" s="248" t="s">
        <v>3376</v>
      </c>
      <c r="H371" s="248"/>
      <c r="I371" s="248"/>
      <c r="J371" s="248"/>
      <c r="K371" s="248"/>
      <c r="L371" s="248"/>
      <c r="M371" s="248" t="s">
        <v>650</v>
      </c>
    </row>
    <row r="372" spans="1:13" ht="20.100000000000001" customHeight="1">
      <c r="A372" s="248"/>
      <c r="B372" s="248" t="s">
        <v>4356</v>
      </c>
      <c r="C372" s="248" t="s">
        <v>4025</v>
      </c>
      <c r="D372" s="248"/>
      <c r="E372" s="248"/>
      <c r="F372" s="248"/>
      <c r="G372" s="248" t="s">
        <v>651</v>
      </c>
      <c r="H372" s="248"/>
      <c r="I372" s="248"/>
      <c r="J372" s="248"/>
      <c r="K372" s="248"/>
      <c r="L372" s="248"/>
      <c r="M372" s="248" t="s">
        <v>652</v>
      </c>
    </row>
    <row r="373" spans="1:13" ht="20.100000000000001" customHeight="1">
      <c r="A373" s="248"/>
      <c r="B373" s="248" t="s">
        <v>4357</v>
      </c>
      <c r="C373" s="248" t="s">
        <v>4174</v>
      </c>
      <c r="D373" s="248"/>
      <c r="E373" s="248"/>
      <c r="F373" s="248"/>
      <c r="G373" s="248" t="s">
        <v>3294</v>
      </c>
      <c r="H373" s="248"/>
      <c r="I373" s="248"/>
      <c r="J373" s="248"/>
      <c r="K373" s="248"/>
      <c r="L373" s="248"/>
      <c r="M373" s="248" t="s">
        <v>653</v>
      </c>
    </row>
    <row r="374" spans="1:13" ht="20.100000000000001" customHeight="1">
      <c r="A374" s="248"/>
      <c r="B374" s="248" t="s">
        <v>4358</v>
      </c>
      <c r="C374" s="248" t="s">
        <v>4030</v>
      </c>
      <c r="D374" s="248"/>
      <c r="E374" s="248"/>
      <c r="F374" s="248"/>
      <c r="G374" s="248" t="s">
        <v>654</v>
      </c>
      <c r="H374" s="248"/>
      <c r="I374" s="248"/>
      <c r="J374" s="248"/>
      <c r="K374" s="248"/>
      <c r="L374" s="248"/>
      <c r="M374" s="248" t="s">
        <v>655</v>
      </c>
    </row>
    <row r="375" spans="1:13" ht="20.100000000000001" customHeight="1">
      <c r="A375" s="248"/>
      <c r="B375" s="248" t="s">
        <v>4359</v>
      </c>
      <c r="C375" s="248" t="s">
        <v>4016</v>
      </c>
      <c r="D375" s="248"/>
      <c r="E375" s="248"/>
      <c r="F375" s="248"/>
      <c r="G375" s="248" t="s">
        <v>656</v>
      </c>
      <c r="H375" s="248"/>
      <c r="I375" s="248"/>
      <c r="J375" s="248"/>
      <c r="K375" s="248"/>
      <c r="L375" s="248"/>
      <c r="M375" s="248" t="s">
        <v>657</v>
      </c>
    </row>
    <row r="376" spans="1:13" ht="20.100000000000001" customHeight="1">
      <c r="A376" s="248"/>
      <c r="B376" s="248" t="s">
        <v>4360</v>
      </c>
      <c r="C376" s="248" t="s">
        <v>4030</v>
      </c>
      <c r="D376" s="248"/>
      <c r="E376" s="248"/>
      <c r="F376" s="248"/>
      <c r="G376" s="248" t="s">
        <v>658</v>
      </c>
      <c r="H376" s="248"/>
      <c r="I376" s="248"/>
      <c r="J376" s="248"/>
      <c r="K376" s="248"/>
      <c r="L376" s="248"/>
      <c r="M376" s="248" t="s">
        <v>659</v>
      </c>
    </row>
    <row r="377" spans="1:13" ht="20.100000000000001" customHeight="1">
      <c r="A377" s="248"/>
      <c r="B377" s="248" t="s">
        <v>4361</v>
      </c>
      <c r="C377" s="248" t="s">
        <v>4008</v>
      </c>
      <c r="D377" s="248"/>
      <c r="E377" s="248"/>
      <c r="F377" s="248"/>
      <c r="G377" s="248" t="s">
        <v>660</v>
      </c>
      <c r="H377" s="248"/>
      <c r="I377" s="248"/>
      <c r="J377" s="248"/>
      <c r="K377" s="248"/>
      <c r="L377" s="248"/>
      <c r="M377" s="248" t="s">
        <v>3550</v>
      </c>
    </row>
    <row r="378" spans="1:13" ht="20.100000000000001" customHeight="1">
      <c r="A378" s="248"/>
      <c r="B378" s="248" t="s">
        <v>4362</v>
      </c>
      <c r="C378" s="248" t="s">
        <v>4121</v>
      </c>
      <c r="D378" s="248"/>
      <c r="E378" s="248"/>
      <c r="F378" s="248"/>
      <c r="G378" s="248" t="s">
        <v>3257</v>
      </c>
      <c r="H378" s="248"/>
      <c r="I378" s="248"/>
      <c r="J378" s="248"/>
      <c r="K378" s="248"/>
      <c r="L378" s="248"/>
      <c r="M378" s="248" t="s">
        <v>661</v>
      </c>
    </row>
    <row r="379" spans="1:13" ht="20.100000000000001" customHeight="1">
      <c r="A379" s="248"/>
      <c r="B379" s="248" t="s">
        <v>4363</v>
      </c>
      <c r="C379" s="248" t="s">
        <v>4364</v>
      </c>
      <c r="D379" s="248"/>
      <c r="E379" s="248"/>
      <c r="F379" s="248"/>
      <c r="G379" s="248" t="s">
        <v>662</v>
      </c>
      <c r="H379" s="248"/>
      <c r="I379" s="248"/>
      <c r="J379" s="248"/>
      <c r="K379" s="248"/>
      <c r="L379" s="248"/>
      <c r="M379" s="248" t="s">
        <v>663</v>
      </c>
    </row>
    <row r="380" spans="1:13" ht="20.100000000000001" customHeight="1">
      <c r="A380" s="248"/>
      <c r="B380" s="248" t="s">
        <v>4365</v>
      </c>
      <c r="C380" s="248" t="s">
        <v>4036</v>
      </c>
      <c r="D380" s="248"/>
      <c r="E380" s="248"/>
      <c r="F380" s="248"/>
      <c r="G380" s="248" t="s">
        <v>664</v>
      </c>
      <c r="H380" s="248"/>
      <c r="I380" s="248"/>
      <c r="J380" s="248"/>
      <c r="K380" s="248"/>
      <c r="L380" s="248"/>
      <c r="M380" s="248" t="s">
        <v>665</v>
      </c>
    </row>
    <row r="381" spans="1:13" ht="20.100000000000001" customHeight="1">
      <c r="A381" s="248"/>
      <c r="B381" s="248" t="s">
        <v>4366</v>
      </c>
      <c r="C381" s="248" t="s">
        <v>4016</v>
      </c>
      <c r="D381" s="248"/>
      <c r="E381" s="248"/>
      <c r="F381" s="248"/>
      <c r="G381" s="248" t="s">
        <v>666</v>
      </c>
      <c r="H381" s="248"/>
      <c r="I381" s="248"/>
      <c r="J381" s="248"/>
      <c r="K381" s="248"/>
      <c r="L381" s="248"/>
      <c r="M381" s="248" t="s">
        <v>667</v>
      </c>
    </row>
    <row r="382" spans="1:13" ht="20.100000000000001" customHeight="1">
      <c r="A382" s="248"/>
      <c r="B382" s="248" t="s">
        <v>6285</v>
      </c>
      <c r="C382" s="248" t="s">
        <v>4003</v>
      </c>
      <c r="D382" s="248"/>
      <c r="E382" s="248"/>
      <c r="F382" s="248"/>
      <c r="G382" s="248" t="s">
        <v>6286</v>
      </c>
      <c r="H382" s="248"/>
      <c r="I382" s="248"/>
      <c r="J382" s="248"/>
      <c r="K382" s="248"/>
      <c r="L382" s="248"/>
      <c r="M382" s="248" t="s">
        <v>6287</v>
      </c>
    </row>
    <row r="383" spans="1:13" ht="20.100000000000001" customHeight="1">
      <c r="A383" s="248"/>
      <c r="B383" s="248" t="s">
        <v>4367</v>
      </c>
      <c r="C383" s="248" t="s">
        <v>4008</v>
      </c>
      <c r="D383" s="248"/>
      <c r="E383" s="248"/>
      <c r="F383" s="248"/>
      <c r="G383" s="248" t="s">
        <v>3087</v>
      </c>
      <c r="H383" s="248"/>
      <c r="I383" s="248"/>
      <c r="J383" s="248"/>
      <c r="K383" s="248"/>
      <c r="L383" s="248"/>
      <c r="M383" s="248" t="s">
        <v>3088</v>
      </c>
    </row>
    <row r="384" spans="1:13" ht="20.100000000000001" customHeight="1">
      <c r="A384" s="248"/>
      <c r="B384" s="248" t="s">
        <v>4368</v>
      </c>
      <c r="C384" s="248" t="s">
        <v>4025</v>
      </c>
      <c r="D384" s="248"/>
      <c r="E384" s="248"/>
      <c r="F384" s="248"/>
      <c r="G384" s="248" t="s">
        <v>668</v>
      </c>
      <c r="H384" s="248"/>
      <c r="I384" s="248"/>
      <c r="J384" s="248"/>
      <c r="K384" s="248"/>
      <c r="L384" s="248"/>
      <c r="M384" s="248" t="s">
        <v>669</v>
      </c>
    </row>
    <row r="385" spans="1:13" ht="20.100000000000001" customHeight="1">
      <c r="A385" s="248"/>
      <c r="B385" s="248" t="s">
        <v>4369</v>
      </c>
      <c r="C385" s="248" t="s">
        <v>4003</v>
      </c>
      <c r="D385" s="248"/>
      <c r="E385" s="248"/>
      <c r="F385" s="248"/>
      <c r="G385" s="248" t="s">
        <v>670</v>
      </c>
      <c r="H385" s="248"/>
      <c r="I385" s="248"/>
      <c r="J385" s="248"/>
      <c r="K385" s="248"/>
      <c r="L385" s="248"/>
      <c r="M385" s="248" t="s">
        <v>671</v>
      </c>
    </row>
    <row r="386" spans="1:13" ht="20.100000000000001" customHeight="1">
      <c r="A386" s="248"/>
      <c r="B386" s="248" t="s">
        <v>4370</v>
      </c>
      <c r="C386" s="248" t="s">
        <v>4012</v>
      </c>
      <c r="D386" s="248"/>
      <c r="E386" s="248"/>
      <c r="F386" s="248"/>
      <c r="G386" s="248" t="s">
        <v>3777</v>
      </c>
      <c r="H386" s="248"/>
      <c r="I386" s="248"/>
      <c r="J386" s="248"/>
      <c r="K386" s="248"/>
      <c r="L386" s="248"/>
      <c r="M386" s="248" t="s">
        <v>3778</v>
      </c>
    </row>
    <row r="387" spans="1:13" ht="20.100000000000001" customHeight="1">
      <c r="A387" s="248"/>
      <c r="B387" s="248" t="s">
        <v>4371</v>
      </c>
      <c r="C387" s="248" t="s">
        <v>4036</v>
      </c>
      <c r="D387" s="248"/>
      <c r="E387" s="248"/>
      <c r="F387" s="248"/>
      <c r="G387" s="248" t="s">
        <v>3042</v>
      </c>
      <c r="H387" s="248"/>
      <c r="I387" s="248"/>
      <c r="J387" s="248"/>
      <c r="K387" s="248"/>
      <c r="L387" s="248"/>
      <c r="M387" s="248" t="s">
        <v>3550</v>
      </c>
    </row>
    <row r="388" spans="1:13" ht="20.100000000000001" customHeight="1">
      <c r="A388" s="248"/>
      <c r="B388" s="248" t="s">
        <v>4372</v>
      </c>
      <c r="C388" s="248" t="s">
        <v>4012</v>
      </c>
      <c r="D388" s="248"/>
      <c r="E388" s="248"/>
      <c r="F388" s="248"/>
      <c r="G388" s="248" t="s">
        <v>672</v>
      </c>
      <c r="H388" s="248"/>
      <c r="I388" s="248"/>
      <c r="J388" s="248"/>
      <c r="K388" s="248"/>
      <c r="L388" s="248"/>
      <c r="M388" s="248" t="s">
        <v>673</v>
      </c>
    </row>
    <row r="389" spans="1:13" ht="20.100000000000001" customHeight="1">
      <c r="A389" s="248"/>
      <c r="B389" s="248" t="s">
        <v>4373</v>
      </c>
      <c r="C389" s="248" t="s">
        <v>4025</v>
      </c>
      <c r="D389" s="248"/>
      <c r="E389" s="248"/>
      <c r="F389" s="248"/>
      <c r="G389" s="248" t="s">
        <v>3680</v>
      </c>
      <c r="H389" s="248"/>
      <c r="I389" s="248"/>
      <c r="J389" s="248"/>
      <c r="K389" s="248"/>
      <c r="L389" s="248"/>
      <c r="M389" s="248" t="s">
        <v>3681</v>
      </c>
    </row>
    <row r="390" spans="1:13" ht="20.100000000000001" customHeight="1">
      <c r="A390" s="248"/>
      <c r="B390" s="248" t="s">
        <v>4374</v>
      </c>
      <c r="C390" s="248" t="s">
        <v>4036</v>
      </c>
      <c r="D390" s="248"/>
      <c r="E390" s="248"/>
      <c r="F390" s="248"/>
      <c r="G390" s="248" t="s">
        <v>674</v>
      </c>
      <c r="H390" s="248"/>
      <c r="I390" s="248"/>
      <c r="J390" s="248"/>
      <c r="K390" s="248"/>
      <c r="L390" s="248"/>
      <c r="M390" s="248" t="s">
        <v>3258</v>
      </c>
    </row>
    <row r="391" spans="1:13" ht="20.100000000000001" customHeight="1">
      <c r="A391" s="248"/>
      <c r="B391" s="248" t="s">
        <v>4375</v>
      </c>
      <c r="C391" s="248" t="s">
        <v>4016</v>
      </c>
      <c r="D391" s="248"/>
      <c r="E391" s="248"/>
      <c r="F391" s="248"/>
      <c r="G391" s="248" t="s">
        <v>675</v>
      </c>
      <c r="H391" s="248"/>
      <c r="I391" s="248"/>
      <c r="J391" s="248"/>
      <c r="K391" s="248"/>
      <c r="L391" s="248"/>
      <c r="M391" s="248" t="s">
        <v>676</v>
      </c>
    </row>
    <row r="392" spans="1:13" ht="20.100000000000001" customHeight="1">
      <c r="A392" s="248"/>
      <c r="B392" s="248" t="s">
        <v>4376</v>
      </c>
      <c r="C392" s="248" t="s">
        <v>4008</v>
      </c>
      <c r="D392" s="248"/>
      <c r="E392" s="248"/>
      <c r="F392" s="248"/>
      <c r="G392" s="248" t="s">
        <v>677</v>
      </c>
      <c r="H392" s="248"/>
      <c r="I392" s="248"/>
      <c r="J392" s="248"/>
      <c r="K392" s="248"/>
      <c r="L392" s="248"/>
      <c r="M392" s="248" t="s">
        <v>678</v>
      </c>
    </row>
    <row r="393" spans="1:13" ht="20.100000000000001" customHeight="1">
      <c r="A393" s="248"/>
      <c r="B393" s="248" t="s">
        <v>4377</v>
      </c>
      <c r="C393" s="248" t="s">
        <v>4016</v>
      </c>
      <c r="D393" s="248"/>
      <c r="E393" s="248"/>
      <c r="F393" s="248"/>
      <c r="G393" s="248" t="s">
        <v>679</v>
      </c>
      <c r="H393" s="248"/>
      <c r="I393" s="248"/>
      <c r="J393" s="248"/>
      <c r="K393" s="248"/>
      <c r="L393" s="248"/>
      <c r="M393" s="248" t="s">
        <v>680</v>
      </c>
    </row>
    <row r="394" spans="1:13" ht="20.100000000000001" customHeight="1">
      <c r="A394" s="249"/>
      <c r="B394" s="249" t="s">
        <v>4378</v>
      </c>
      <c r="C394" s="250" t="s">
        <v>4016</v>
      </c>
      <c r="D394" s="249"/>
      <c r="E394" s="249"/>
      <c r="F394" s="249"/>
      <c r="G394" s="249" t="s">
        <v>681</v>
      </c>
      <c r="H394" s="249"/>
      <c r="I394" s="249"/>
      <c r="J394" s="249"/>
      <c r="K394" s="249"/>
      <c r="L394" s="249"/>
      <c r="M394" s="249" t="s">
        <v>682</v>
      </c>
    </row>
    <row r="395" spans="1:13" ht="20.100000000000001" customHeight="1">
      <c r="A395" s="248"/>
      <c r="B395" s="248" t="s">
        <v>4379</v>
      </c>
      <c r="C395" s="248" t="s">
        <v>4003</v>
      </c>
      <c r="D395" s="248"/>
      <c r="E395" s="248"/>
      <c r="F395" s="248"/>
      <c r="G395" s="248" t="s">
        <v>683</v>
      </c>
      <c r="H395" s="248"/>
      <c r="I395" s="248"/>
      <c r="J395" s="248"/>
      <c r="K395" s="248"/>
      <c r="L395" s="248"/>
      <c r="M395" s="248" t="s">
        <v>684</v>
      </c>
    </row>
    <row r="396" spans="1:13" ht="20.100000000000001" customHeight="1">
      <c r="A396" s="248"/>
      <c r="B396" s="248" t="s">
        <v>4380</v>
      </c>
      <c r="C396" s="248" t="s">
        <v>4016</v>
      </c>
      <c r="D396" s="248"/>
      <c r="E396" s="248"/>
      <c r="F396" s="248"/>
      <c r="G396" s="248" t="s">
        <v>685</v>
      </c>
      <c r="H396" s="248"/>
      <c r="I396" s="248"/>
      <c r="J396" s="248"/>
      <c r="K396" s="248"/>
      <c r="L396" s="248"/>
      <c r="M396" s="248" t="s">
        <v>3550</v>
      </c>
    </row>
    <row r="397" spans="1:13" ht="20.100000000000001" customHeight="1">
      <c r="A397" s="248"/>
      <c r="B397" s="248" t="s">
        <v>4381</v>
      </c>
      <c r="C397" s="248" t="s">
        <v>4014</v>
      </c>
      <c r="D397" s="248"/>
      <c r="E397" s="248"/>
      <c r="F397" s="248"/>
      <c r="G397" s="248" t="s">
        <v>686</v>
      </c>
      <c r="H397" s="248"/>
      <c r="I397" s="248"/>
      <c r="J397" s="248"/>
      <c r="K397" s="248"/>
      <c r="L397" s="248"/>
      <c r="M397" s="248" t="s">
        <v>687</v>
      </c>
    </row>
    <row r="398" spans="1:13" ht="20.100000000000001" customHeight="1">
      <c r="A398" s="248"/>
      <c r="B398" s="248" t="s">
        <v>4382</v>
      </c>
      <c r="C398" s="248" t="s">
        <v>4050</v>
      </c>
      <c r="D398" s="248"/>
      <c r="E398" s="248"/>
      <c r="F398" s="248"/>
      <c r="G398" s="248" t="s">
        <v>688</v>
      </c>
      <c r="H398" s="248"/>
      <c r="I398" s="248"/>
      <c r="J398" s="248"/>
      <c r="K398" s="248"/>
      <c r="L398" s="248"/>
      <c r="M398" s="248" t="s">
        <v>689</v>
      </c>
    </row>
    <row r="399" spans="1:13" ht="20.100000000000001" customHeight="1">
      <c r="A399" s="248"/>
      <c r="B399" s="248" t="s">
        <v>4383</v>
      </c>
      <c r="C399" s="248" t="s">
        <v>4014</v>
      </c>
      <c r="D399" s="248"/>
      <c r="E399" s="248"/>
      <c r="F399" s="248"/>
      <c r="G399" s="248" t="s">
        <v>3828</v>
      </c>
      <c r="H399" s="248"/>
      <c r="I399" s="248"/>
      <c r="J399" s="248"/>
      <c r="K399" s="248"/>
      <c r="L399" s="248"/>
      <c r="M399" s="248" t="s">
        <v>3829</v>
      </c>
    </row>
    <row r="400" spans="1:13" ht="20.100000000000001" customHeight="1">
      <c r="A400" s="248"/>
      <c r="B400" s="248" t="s">
        <v>4384</v>
      </c>
      <c r="C400" s="248" t="s">
        <v>4008</v>
      </c>
      <c r="D400" s="248"/>
      <c r="E400" s="248"/>
      <c r="F400" s="248"/>
      <c r="G400" s="248" t="s">
        <v>3645</v>
      </c>
      <c r="H400" s="248"/>
      <c r="I400" s="248"/>
      <c r="J400" s="248"/>
      <c r="K400" s="248"/>
      <c r="L400" s="248"/>
      <c r="M400" s="248" t="s">
        <v>196</v>
      </c>
    </row>
    <row r="401" spans="1:13" ht="20.100000000000001" customHeight="1">
      <c r="A401" s="248"/>
      <c r="B401" s="248" t="s">
        <v>4385</v>
      </c>
      <c r="C401" s="248" t="s">
        <v>4014</v>
      </c>
      <c r="D401" s="248"/>
      <c r="E401" s="248"/>
      <c r="F401" s="248"/>
      <c r="G401" s="248" t="s">
        <v>690</v>
      </c>
      <c r="H401" s="248"/>
      <c r="I401" s="248"/>
      <c r="J401" s="248"/>
      <c r="K401" s="248"/>
      <c r="L401" s="248"/>
      <c r="M401" s="248" t="s">
        <v>691</v>
      </c>
    </row>
    <row r="402" spans="1:13" ht="20.100000000000001" customHeight="1">
      <c r="A402" s="248"/>
      <c r="B402" s="248" t="s">
        <v>4386</v>
      </c>
      <c r="C402" s="248" t="s">
        <v>4036</v>
      </c>
      <c r="D402" s="248"/>
      <c r="E402" s="248"/>
      <c r="F402" s="248"/>
      <c r="G402" s="248" t="s">
        <v>692</v>
      </c>
      <c r="H402" s="248"/>
      <c r="I402" s="248"/>
      <c r="J402" s="248"/>
      <c r="K402" s="248"/>
      <c r="L402" s="248"/>
      <c r="M402" s="248" t="s">
        <v>693</v>
      </c>
    </row>
    <row r="403" spans="1:13" ht="20.100000000000001" customHeight="1">
      <c r="A403" s="248"/>
      <c r="B403" s="248" t="s">
        <v>4387</v>
      </c>
      <c r="C403" s="248" t="s">
        <v>4030</v>
      </c>
      <c r="D403" s="248"/>
      <c r="E403" s="248"/>
      <c r="F403" s="248"/>
      <c r="G403" s="248" t="s">
        <v>694</v>
      </c>
      <c r="H403" s="248"/>
      <c r="I403" s="248"/>
      <c r="J403" s="248"/>
      <c r="K403" s="248"/>
      <c r="L403" s="248"/>
      <c r="M403" s="248" t="s">
        <v>695</v>
      </c>
    </row>
    <row r="404" spans="1:13" ht="20.100000000000001" customHeight="1">
      <c r="A404" s="248"/>
      <c r="B404" s="248" t="s">
        <v>4388</v>
      </c>
      <c r="C404" s="248" t="s">
        <v>4014</v>
      </c>
      <c r="D404" s="248"/>
      <c r="E404" s="248"/>
      <c r="F404" s="248"/>
      <c r="G404" s="248" t="s">
        <v>280</v>
      </c>
      <c r="H404" s="248"/>
      <c r="I404" s="248"/>
      <c r="J404" s="248"/>
      <c r="K404" s="248"/>
      <c r="L404" s="248"/>
      <c r="M404" s="248" t="s">
        <v>266</v>
      </c>
    </row>
    <row r="405" spans="1:13" ht="20.100000000000001" customHeight="1">
      <c r="A405" s="248"/>
      <c r="B405" s="248" t="s">
        <v>4389</v>
      </c>
      <c r="C405" s="248" t="s">
        <v>4036</v>
      </c>
      <c r="D405" s="248"/>
      <c r="E405" s="248"/>
      <c r="F405" s="248"/>
      <c r="G405" s="248" t="s">
        <v>3409</v>
      </c>
      <c r="H405" s="248"/>
      <c r="I405" s="248"/>
      <c r="J405" s="248"/>
      <c r="K405" s="248"/>
      <c r="L405" s="248"/>
      <c r="M405" s="248" t="s">
        <v>3410</v>
      </c>
    </row>
    <row r="406" spans="1:13" ht="20.100000000000001" customHeight="1">
      <c r="A406" s="248"/>
      <c r="B406" s="248" t="s">
        <v>6139</v>
      </c>
      <c r="C406" s="248" t="s">
        <v>4036</v>
      </c>
      <c r="D406" s="248"/>
      <c r="E406" s="248"/>
      <c r="F406" s="248"/>
      <c r="G406" s="248" t="s">
        <v>696</v>
      </c>
      <c r="H406" s="248"/>
      <c r="I406" s="248"/>
      <c r="J406" s="248"/>
      <c r="K406" s="248"/>
      <c r="L406" s="248"/>
      <c r="M406" s="248" t="s">
        <v>697</v>
      </c>
    </row>
    <row r="407" spans="1:13" ht="20.100000000000001" customHeight="1">
      <c r="A407" s="248"/>
      <c r="B407" s="248" t="s">
        <v>4390</v>
      </c>
      <c r="C407" s="248" t="s">
        <v>4271</v>
      </c>
      <c r="D407" s="248"/>
      <c r="E407" s="248"/>
      <c r="F407" s="248"/>
      <c r="G407" s="248" t="s">
        <v>698</v>
      </c>
      <c r="H407" s="248"/>
      <c r="I407" s="248"/>
      <c r="J407" s="248"/>
      <c r="K407" s="248"/>
      <c r="L407" s="248"/>
      <c r="M407" s="248" t="s">
        <v>3550</v>
      </c>
    </row>
    <row r="408" spans="1:13" ht="20.100000000000001" customHeight="1">
      <c r="A408" s="248"/>
      <c r="B408" s="248" t="s">
        <v>4391</v>
      </c>
      <c r="C408" s="248" t="s">
        <v>4025</v>
      </c>
      <c r="D408" s="248"/>
      <c r="E408" s="248"/>
      <c r="F408" s="248"/>
      <c r="G408" s="248" t="s">
        <v>6395</v>
      </c>
      <c r="H408" s="248"/>
      <c r="I408" s="248"/>
      <c r="J408" s="248"/>
      <c r="K408" s="248"/>
      <c r="L408" s="248"/>
      <c r="M408" s="248" t="s">
        <v>699</v>
      </c>
    </row>
    <row r="409" spans="1:13" ht="20.100000000000001" customHeight="1">
      <c r="A409" s="248"/>
      <c r="B409" s="248" t="s">
        <v>4392</v>
      </c>
      <c r="C409" s="248" t="s">
        <v>4008</v>
      </c>
      <c r="D409" s="248"/>
      <c r="E409" s="248"/>
      <c r="F409" s="248"/>
      <c r="G409" s="248" t="s">
        <v>700</v>
      </c>
      <c r="H409" s="248"/>
      <c r="I409" s="248"/>
      <c r="J409" s="248"/>
      <c r="K409" s="248"/>
      <c r="L409" s="248"/>
      <c r="M409" s="248" t="s">
        <v>3550</v>
      </c>
    </row>
    <row r="410" spans="1:13" ht="20.100000000000001" customHeight="1">
      <c r="A410" s="248"/>
      <c r="B410" s="248" t="s">
        <v>4393</v>
      </c>
      <c r="C410" s="248" t="s">
        <v>4016</v>
      </c>
      <c r="D410" s="248"/>
      <c r="E410" s="248"/>
      <c r="F410" s="248"/>
      <c r="G410" s="248" t="s">
        <v>701</v>
      </c>
      <c r="H410" s="248"/>
      <c r="I410" s="248"/>
      <c r="J410" s="248"/>
      <c r="K410" s="248"/>
      <c r="L410" s="248"/>
      <c r="M410" s="248" t="s">
        <v>702</v>
      </c>
    </row>
    <row r="411" spans="1:13" ht="20.100000000000001" customHeight="1">
      <c r="A411" s="248"/>
      <c r="B411" s="248" t="s">
        <v>4394</v>
      </c>
      <c r="C411" s="248" t="s">
        <v>4036</v>
      </c>
      <c r="D411" s="248"/>
      <c r="E411" s="248"/>
      <c r="F411" s="248"/>
      <c r="G411" s="248" t="s">
        <v>703</v>
      </c>
      <c r="H411" s="248"/>
      <c r="I411" s="248"/>
      <c r="J411" s="248"/>
      <c r="K411" s="248"/>
      <c r="L411" s="248"/>
      <c r="M411" s="248" t="s">
        <v>704</v>
      </c>
    </row>
    <row r="412" spans="1:13" ht="20.100000000000001" customHeight="1">
      <c r="A412" s="248"/>
      <c r="B412" s="248" t="s">
        <v>6612</v>
      </c>
      <c r="C412" s="248" t="s">
        <v>4025</v>
      </c>
      <c r="D412" s="248"/>
      <c r="E412" s="248"/>
      <c r="F412" s="248"/>
      <c r="G412" s="248" t="s">
        <v>6613</v>
      </c>
      <c r="H412" s="248"/>
      <c r="I412" s="248"/>
      <c r="J412" s="248"/>
      <c r="K412" s="248"/>
      <c r="L412" s="248"/>
      <c r="M412" s="248" t="s">
        <v>6614</v>
      </c>
    </row>
    <row r="413" spans="1:13" ht="20.100000000000001" customHeight="1">
      <c r="A413" s="248"/>
      <c r="B413" s="248" t="s">
        <v>4395</v>
      </c>
      <c r="C413" s="248" t="s">
        <v>4016</v>
      </c>
      <c r="D413" s="248"/>
      <c r="E413" s="248"/>
      <c r="F413" s="248"/>
      <c r="G413" s="248" t="s">
        <v>705</v>
      </c>
      <c r="H413" s="248"/>
      <c r="I413" s="248"/>
      <c r="J413" s="248"/>
      <c r="K413" s="248"/>
      <c r="L413" s="248"/>
      <c r="M413" s="248" t="s">
        <v>706</v>
      </c>
    </row>
    <row r="414" spans="1:13" ht="20.100000000000001" customHeight="1">
      <c r="A414" s="248"/>
      <c r="B414" s="248" t="s">
        <v>4396</v>
      </c>
      <c r="C414" s="248" t="s">
        <v>4271</v>
      </c>
      <c r="D414" s="248"/>
      <c r="E414" s="248"/>
      <c r="F414" s="248"/>
      <c r="G414" s="248" t="s">
        <v>707</v>
      </c>
      <c r="H414" s="248"/>
      <c r="I414" s="248"/>
      <c r="J414" s="248"/>
      <c r="K414" s="248"/>
      <c r="L414" s="248"/>
      <c r="M414" s="248" t="s">
        <v>3550</v>
      </c>
    </row>
    <row r="415" spans="1:13" ht="20.100000000000001" customHeight="1">
      <c r="A415" s="248"/>
      <c r="B415" s="248" t="s">
        <v>4397</v>
      </c>
      <c r="C415" s="248" t="s">
        <v>4025</v>
      </c>
      <c r="D415" s="248"/>
      <c r="E415" s="248"/>
      <c r="F415" s="248"/>
      <c r="G415" s="248" t="s">
        <v>708</v>
      </c>
      <c r="H415" s="248"/>
      <c r="I415" s="248"/>
      <c r="J415" s="248"/>
      <c r="K415" s="248"/>
      <c r="L415" s="248"/>
      <c r="M415" s="248" t="s">
        <v>3550</v>
      </c>
    </row>
    <row r="416" spans="1:13" ht="20.100000000000001" customHeight="1">
      <c r="A416" s="249"/>
      <c r="B416" s="249" t="s">
        <v>4398</v>
      </c>
      <c r="C416" s="250" t="s">
        <v>4003</v>
      </c>
      <c r="D416" s="249"/>
      <c r="E416" s="249"/>
      <c r="F416" s="249"/>
      <c r="G416" s="249" t="s">
        <v>3456</v>
      </c>
      <c r="H416" s="249"/>
      <c r="I416" s="249"/>
      <c r="J416" s="249"/>
      <c r="K416" s="249"/>
      <c r="L416" s="249"/>
      <c r="M416" s="249" t="s">
        <v>3457</v>
      </c>
    </row>
    <row r="417" spans="1:13" ht="20.100000000000001" customHeight="1">
      <c r="A417" s="248"/>
      <c r="B417" s="248" t="s">
        <v>4399</v>
      </c>
      <c r="C417" s="248" t="s">
        <v>4003</v>
      </c>
      <c r="D417" s="248"/>
      <c r="E417" s="248"/>
      <c r="F417" s="248"/>
      <c r="G417" s="248" t="s">
        <v>3259</v>
      </c>
      <c r="H417" s="248"/>
      <c r="I417" s="248"/>
      <c r="J417" s="248"/>
      <c r="K417" s="248"/>
      <c r="L417" s="248"/>
      <c r="M417" s="248" t="s">
        <v>3157</v>
      </c>
    </row>
    <row r="418" spans="1:13" ht="20.100000000000001" customHeight="1">
      <c r="A418" s="248"/>
      <c r="B418" s="248" t="s">
        <v>4400</v>
      </c>
      <c r="C418" s="248" t="s">
        <v>4003</v>
      </c>
      <c r="D418" s="248"/>
      <c r="E418" s="248"/>
      <c r="F418" s="248"/>
      <c r="G418" s="248" t="s">
        <v>3830</v>
      </c>
      <c r="H418" s="248"/>
      <c r="I418" s="248"/>
      <c r="J418" s="248"/>
      <c r="K418" s="248"/>
      <c r="L418" s="248"/>
      <c r="M418" s="248" t="s">
        <v>709</v>
      </c>
    </row>
    <row r="419" spans="1:13" ht="20.100000000000001" customHeight="1">
      <c r="A419" s="248"/>
      <c r="B419" s="248" t="s">
        <v>4401</v>
      </c>
      <c r="C419" s="248" t="s">
        <v>4030</v>
      </c>
      <c r="D419" s="248"/>
      <c r="E419" s="248"/>
      <c r="F419" s="248"/>
      <c r="G419" s="248" t="s">
        <v>710</v>
      </c>
      <c r="H419" s="248"/>
      <c r="I419" s="248"/>
      <c r="J419" s="248"/>
      <c r="K419" s="248"/>
      <c r="L419" s="248"/>
      <c r="M419" s="248" t="s">
        <v>711</v>
      </c>
    </row>
    <row r="420" spans="1:13" ht="20.100000000000001" customHeight="1">
      <c r="A420" s="248"/>
      <c r="B420" s="248" t="s">
        <v>4402</v>
      </c>
      <c r="C420" s="248" t="s">
        <v>4008</v>
      </c>
      <c r="D420" s="248"/>
      <c r="E420" s="248"/>
      <c r="F420" s="248"/>
      <c r="G420" s="248" t="s">
        <v>3317</v>
      </c>
      <c r="H420" s="248"/>
      <c r="I420" s="248"/>
      <c r="J420" s="248"/>
      <c r="K420" s="248"/>
      <c r="L420" s="248"/>
      <c r="M420" s="248" t="s">
        <v>3318</v>
      </c>
    </row>
    <row r="421" spans="1:13" ht="20.100000000000001" customHeight="1">
      <c r="A421" s="248"/>
      <c r="B421" s="248" t="s">
        <v>4403</v>
      </c>
      <c r="C421" s="248" t="s">
        <v>4014</v>
      </c>
      <c r="D421" s="248"/>
      <c r="E421" s="248"/>
      <c r="F421" s="248"/>
      <c r="G421" s="248" t="s">
        <v>712</v>
      </c>
      <c r="H421" s="248"/>
      <c r="I421" s="248"/>
      <c r="J421" s="248"/>
      <c r="K421" s="248"/>
      <c r="L421" s="248"/>
      <c r="M421" s="248" t="s">
        <v>3550</v>
      </c>
    </row>
    <row r="422" spans="1:13" ht="20.100000000000001" customHeight="1">
      <c r="A422" s="248"/>
      <c r="B422" s="248" t="s">
        <v>4404</v>
      </c>
      <c r="C422" s="248" t="s">
        <v>4036</v>
      </c>
      <c r="D422" s="248"/>
      <c r="E422" s="248"/>
      <c r="F422" s="248"/>
      <c r="G422" s="248" t="s">
        <v>713</v>
      </c>
      <c r="H422" s="248"/>
      <c r="I422" s="248"/>
      <c r="J422" s="248"/>
      <c r="K422" s="248"/>
      <c r="L422" s="248"/>
      <c r="M422" s="248" t="s">
        <v>714</v>
      </c>
    </row>
    <row r="423" spans="1:13" ht="20.100000000000001" customHeight="1">
      <c r="A423" s="248"/>
      <c r="B423" s="248" t="s">
        <v>4405</v>
      </c>
      <c r="C423" s="248" t="s">
        <v>4030</v>
      </c>
      <c r="D423" s="248"/>
      <c r="E423" s="248"/>
      <c r="F423" s="248"/>
      <c r="G423" s="248" t="s">
        <v>3646</v>
      </c>
      <c r="H423" s="248"/>
      <c r="I423" s="248"/>
      <c r="J423" s="248"/>
      <c r="K423" s="248"/>
      <c r="L423" s="248"/>
      <c r="M423" s="248" t="s">
        <v>3647</v>
      </c>
    </row>
    <row r="424" spans="1:13" ht="20.100000000000001" customHeight="1">
      <c r="A424" s="248"/>
      <c r="B424" s="248" t="s">
        <v>4406</v>
      </c>
      <c r="C424" s="248" t="s">
        <v>4012</v>
      </c>
      <c r="D424" s="248"/>
      <c r="E424" s="248"/>
      <c r="F424" s="248"/>
      <c r="G424" s="248" t="s">
        <v>3865</v>
      </c>
      <c r="H424" s="248"/>
      <c r="I424" s="248"/>
      <c r="J424" s="248"/>
      <c r="K424" s="248"/>
      <c r="L424" s="248"/>
      <c r="M424" s="248" t="s">
        <v>196</v>
      </c>
    </row>
    <row r="425" spans="1:13" ht="20.100000000000001" customHeight="1">
      <c r="A425" s="248"/>
      <c r="B425" s="248" t="s">
        <v>4407</v>
      </c>
      <c r="C425" s="248" t="s">
        <v>4016</v>
      </c>
      <c r="D425" s="248"/>
      <c r="E425" s="248"/>
      <c r="F425" s="248"/>
      <c r="G425" s="248" t="s">
        <v>715</v>
      </c>
      <c r="H425" s="248"/>
      <c r="I425" s="248"/>
      <c r="J425" s="248"/>
      <c r="K425" s="248"/>
      <c r="L425" s="248"/>
      <c r="M425" s="248" t="s">
        <v>716</v>
      </c>
    </row>
    <row r="426" spans="1:13" ht="20.100000000000001" customHeight="1">
      <c r="A426" s="248"/>
      <c r="B426" s="248" t="s">
        <v>6288</v>
      </c>
      <c r="C426" s="248" t="s">
        <v>4008</v>
      </c>
      <c r="D426" s="248"/>
      <c r="E426" s="248"/>
      <c r="F426" s="248"/>
      <c r="G426" s="248" t="s">
        <v>6289</v>
      </c>
      <c r="H426" s="248"/>
      <c r="I426" s="248"/>
      <c r="J426" s="248"/>
      <c r="K426" s="248"/>
      <c r="L426" s="248"/>
      <c r="M426" s="248" t="s">
        <v>6290</v>
      </c>
    </row>
    <row r="427" spans="1:13" ht="20.100000000000001" customHeight="1">
      <c r="A427" s="248"/>
      <c r="B427" s="248" t="s">
        <v>4408</v>
      </c>
      <c r="C427" s="248" t="s">
        <v>4016</v>
      </c>
      <c r="D427" s="248"/>
      <c r="E427" s="248"/>
      <c r="F427" s="248"/>
      <c r="G427" s="248" t="s">
        <v>6357</v>
      </c>
      <c r="H427" s="248"/>
      <c r="I427" s="248"/>
      <c r="J427" s="248"/>
      <c r="K427" s="248"/>
      <c r="L427" s="248"/>
      <c r="M427" s="248" t="s">
        <v>717</v>
      </c>
    </row>
    <row r="428" spans="1:13" ht="20.100000000000001" customHeight="1">
      <c r="A428" s="248"/>
      <c r="B428" s="248" t="s">
        <v>4409</v>
      </c>
      <c r="C428" s="248" t="s">
        <v>4016</v>
      </c>
      <c r="D428" s="248"/>
      <c r="E428" s="248"/>
      <c r="F428" s="248"/>
      <c r="G428" s="248" t="s">
        <v>718</v>
      </c>
      <c r="H428" s="248"/>
      <c r="I428" s="248"/>
      <c r="J428" s="248"/>
      <c r="K428" s="248"/>
      <c r="L428" s="248"/>
      <c r="M428" s="248" t="s">
        <v>719</v>
      </c>
    </row>
    <row r="429" spans="1:13" ht="20.100000000000001" customHeight="1">
      <c r="A429" s="248"/>
      <c r="B429" s="248" t="s">
        <v>4410</v>
      </c>
      <c r="C429" s="248" t="s">
        <v>4036</v>
      </c>
      <c r="D429" s="248"/>
      <c r="E429" s="248"/>
      <c r="F429" s="248"/>
      <c r="G429" s="248" t="s">
        <v>498</v>
      </c>
      <c r="H429" s="248"/>
      <c r="I429" s="248"/>
      <c r="J429" s="248"/>
      <c r="K429" s="248"/>
      <c r="L429" s="248"/>
      <c r="M429" s="248" t="s">
        <v>499</v>
      </c>
    </row>
    <row r="430" spans="1:13" ht="20.100000000000001" customHeight="1">
      <c r="A430" s="248"/>
      <c r="B430" s="248" t="s">
        <v>4411</v>
      </c>
      <c r="C430" s="248" t="s">
        <v>4057</v>
      </c>
      <c r="D430" s="248"/>
      <c r="E430" s="248"/>
      <c r="F430" s="248"/>
      <c r="G430" s="248" t="s">
        <v>720</v>
      </c>
      <c r="H430" s="248"/>
      <c r="I430" s="248"/>
      <c r="J430" s="248"/>
      <c r="K430" s="248"/>
      <c r="L430" s="248"/>
      <c r="M430" s="248" t="s">
        <v>721</v>
      </c>
    </row>
    <row r="431" spans="1:13" ht="20.100000000000001" customHeight="1">
      <c r="A431" s="248"/>
      <c r="B431" s="248" t="s">
        <v>4412</v>
      </c>
      <c r="C431" s="248" t="s">
        <v>4036</v>
      </c>
      <c r="D431" s="248"/>
      <c r="E431" s="248"/>
      <c r="F431" s="248"/>
      <c r="G431" s="248" t="s">
        <v>722</v>
      </c>
      <c r="H431" s="248"/>
      <c r="I431" s="248"/>
      <c r="J431" s="248"/>
      <c r="K431" s="248"/>
      <c r="L431" s="248"/>
      <c r="M431" s="248" t="s">
        <v>499</v>
      </c>
    </row>
    <row r="432" spans="1:13" ht="20.100000000000001" customHeight="1">
      <c r="A432" s="248"/>
      <c r="B432" s="248" t="s">
        <v>4413</v>
      </c>
      <c r="C432" s="248" t="s">
        <v>4057</v>
      </c>
      <c r="D432" s="248"/>
      <c r="E432" s="248"/>
      <c r="F432" s="248"/>
      <c r="G432" s="248" t="s">
        <v>3260</v>
      </c>
      <c r="H432" s="248"/>
      <c r="I432" s="248"/>
      <c r="J432" s="248"/>
      <c r="K432" s="248"/>
      <c r="L432" s="248"/>
      <c r="M432" s="248" t="s">
        <v>723</v>
      </c>
    </row>
    <row r="433" spans="1:13" ht="20.100000000000001" customHeight="1">
      <c r="A433" s="248"/>
      <c r="B433" s="248" t="s">
        <v>4414</v>
      </c>
      <c r="C433" s="248" t="s">
        <v>4036</v>
      </c>
      <c r="D433" s="248"/>
      <c r="E433" s="248"/>
      <c r="F433" s="248"/>
      <c r="G433" s="248" t="s">
        <v>3831</v>
      </c>
      <c r="H433" s="248"/>
      <c r="I433" s="248"/>
      <c r="J433" s="248"/>
      <c r="K433" s="248"/>
      <c r="L433" s="248"/>
      <c r="M433" s="248" t="s">
        <v>196</v>
      </c>
    </row>
    <row r="434" spans="1:13" ht="20.100000000000001" customHeight="1">
      <c r="A434" s="248"/>
      <c r="B434" s="248" t="s">
        <v>4415</v>
      </c>
      <c r="C434" s="248" t="s">
        <v>4016</v>
      </c>
      <c r="D434" s="248"/>
      <c r="E434" s="248"/>
      <c r="F434" s="248"/>
      <c r="G434" s="248" t="s">
        <v>724</v>
      </c>
      <c r="H434" s="248"/>
      <c r="I434" s="248"/>
      <c r="J434" s="248"/>
      <c r="K434" s="248"/>
      <c r="L434" s="248"/>
      <c r="M434" s="248" t="s">
        <v>725</v>
      </c>
    </row>
    <row r="435" spans="1:13" ht="20.100000000000001" customHeight="1">
      <c r="A435" s="248"/>
      <c r="B435" s="248" t="s">
        <v>4416</v>
      </c>
      <c r="C435" s="248" t="s">
        <v>4417</v>
      </c>
      <c r="D435" s="248"/>
      <c r="E435" s="248"/>
      <c r="F435" s="248"/>
      <c r="G435" s="248" t="s">
        <v>726</v>
      </c>
      <c r="H435" s="248"/>
      <c r="I435" s="248"/>
      <c r="J435" s="248"/>
      <c r="K435" s="248"/>
      <c r="L435" s="248"/>
      <c r="M435" s="248" t="s">
        <v>727</v>
      </c>
    </row>
    <row r="436" spans="1:13" ht="20.100000000000001" customHeight="1">
      <c r="A436" s="248"/>
      <c r="B436" s="248" t="s">
        <v>6396</v>
      </c>
      <c r="C436" s="248" t="s">
        <v>4057</v>
      </c>
      <c r="D436" s="248"/>
      <c r="E436" s="248"/>
      <c r="F436" s="248"/>
      <c r="G436" s="248" t="s">
        <v>6397</v>
      </c>
      <c r="H436" s="248"/>
      <c r="I436" s="248"/>
      <c r="J436" s="248"/>
      <c r="K436" s="248"/>
      <c r="L436" s="248"/>
      <c r="M436" s="248" t="s">
        <v>6398</v>
      </c>
    </row>
    <row r="437" spans="1:13" ht="20.100000000000001" customHeight="1">
      <c r="A437" s="248"/>
      <c r="B437" s="248" t="s">
        <v>4418</v>
      </c>
      <c r="C437" s="248" t="s">
        <v>4124</v>
      </c>
      <c r="D437" s="248"/>
      <c r="E437" s="248"/>
      <c r="F437" s="248"/>
      <c r="G437" s="248" t="s">
        <v>3295</v>
      </c>
      <c r="H437" s="248"/>
      <c r="I437" s="248"/>
      <c r="J437" s="248"/>
      <c r="K437" s="248"/>
      <c r="L437" s="248"/>
      <c r="M437" s="248" t="s">
        <v>728</v>
      </c>
    </row>
    <row r="438" spans="1:13" ht="20.100000000000001" customHeight="1">
      <c r="A438" s="248"/>
      <c r="B438" s="248" t="s">
        <v>4419</v>
      </c>
      <c r="C438" s="248" t="s">
        <v>4003</v>
      </c>
      <c r="D438" s="248"/>
      <c r="E438" s="248"/>
      <c r="F438" s="248"/>
      <c r="G438" s="248" t="s">
        <v>729</v>
      </c>
      <c r="H438" s="248"/>
      <c r="I438" s="248"/>
      <c r="J438" s="248"/>
      <c r="K438" s="248"/>
      <c r="L438" s="248"/>
      <c r="M438" s="248" t="s">
        <v>730</v>
      </c>
    </row>
    <row r="439" spans="1:13" ht="20.100000000000001" customHeight="1">
      <c r="A439" s="248"/>
      <c r="B439" s="248" t="s">
        <v>4420</v>
      </c>
      <c r="C439" s="248" t="s">
        <v>4025</v>
      </c>
      <c r="D439" s="248"/>
      <c r="E439" s="248"/>
      <c r="F439" s="248"/>
      <c r="G439" s="248" t="s">
        <v>731</v>
      </c>
      <c r="H439" s="248"/>
      <c r="I439" s="248"/>
      <c r="J439" s="248"/>
      <c r="K439" s="248"/>
      <c r="L439" s="248"/>
      <c r="M439" s="248" t="s">
        <v>3550</v>
      </c>
    </row>
    <row r="440" spans="1:13" ht="20.100000000000001" customHeight="1">
      <c r="A440" s="248"/>
      <c r="B440" s="248" t="s">
        <v>4421</v>
      </c>
      <c r="C440" s="248" t="s">
        <v>4025</v>
      </c>
      <c r="D440" s="248"/>
      <c r="E440" s="248"/>
      <c r="F440" s="248"/>
      <c r="G440" s="248" t="s">
        <v>733</v>
      </c>
      <c r="H440" s="248"/>
      <c r="I440" s="248"/>
      <c r="J440" s="248"/>
      <c r="K440" s="248"/>
      <c r="L440" s="248"/>
      <c r="M440" s="248" t="s">
        <v>734</v>
      </c>
    </row>
    <row r="441" spans="1:13" ht="20.100000000000001" customHeight="1">
      <c r="A441" s="248"/>
      <c r="B441" s="248" t="s">
        <v>4422</v>
      </c>
      <c r="C441" s="248" t="s">
        <v>4036</v>
      </c>
      <c r="D441" s="248"/>
      <c r="E441" s="248"/>
      <c r="F441" s="248"/>
      <c r="G441" s="248" t="s">
        <v>735</v>
      </c>
      <c r="H441" s="248"/>
      <c r="I441" s="248"/>
      <c r="J441" s="248"/>
      <c r="K441" s="248"/>
      <c r="L441" s="248"/>
      <c r="M441" s="248" t="s">
        <v>3550</v>
      </c>
    </row>
    <row r="442" spans="1:13" ht="20.100000000000001" customHeight="1">
      <c r="A442" s="248"/>
      <c r="B442" s="248" t="s">
        <v>6358</v>
      </c>
      <c r="C442" s="248" t="s">
        <v>4014</v>
      </c>
      <c r="D442" s="248"/>
      <c r="E442" s="248"/>
      <c r="F442" s="248"/>
      <c r="G442" s="248" t="s">
        <v>3192</v>
      </c>
      <c r="H442" s="248"/>
      <c r="I442" s="248"/>
      <c r="J442" s="248"/>
      <c r="K442" s="248"/>
      <c r="L442" s="248"/>
      <c r="M442" s="248" t="s">
        <v>3193</v>
      </c>
    </row>
    <row r="443" spans="1:13" ht="20.100000000000001" customHeight="1">
      <c r="A443" s="248"/>
      <c r="B443" s="248" t="s">
        <v>6359</v>
      </c>
      <c r="C443" s="248" t="s">
        <v>4014</v>
      </c>
      <c r="D443" s="248"/>
      <c r="E443" s="248"/>
      <c r="F443" s="248"/>
      <c r="G443" s="248" t="s">
        <v>6360</v>
      </c>
      <c r="H443" s="248"/>
      <c r="I443" s="248"/>
      <c r="J443" s="248"/>
      <c r="K443" s="248"/>
      <c r="L443" s="248"/>
      <c r="M443" s="248" t="s">
        <v>6361</v>
      </c>
    </row>
    <row r="444" spans="1:13" ht="20.100000000000001" customHeight="1">
      <c r="A444" s="248"/>
      <c r="B444" s="248" t="s">
        <v>4423</v>
      </c>
      <c r="C444" s="248" t="s">
        <v>4003</v>
      </c>
      <c r="D444" s="248"/>
      <c r="E444" s="248"/>
      <c r="F444" s="248"/>
      <c r="G444" s="248" t="s">
        <v>736</v>
      </c>
      <c r="H444" s="248"/>
      <c r="I444" s="248"/>
      <c r="J444" s="248"/>
      <c r="K444" s="248"/>
      <c r="L444" s="248"/>
      <c r="M444" s="248" t="s">
        <v>3550</v>
      </c>
    </row>
    <row r="445" spans="1:13" ht="20.100000000000001" customHeight="1">
      <c r="A445" s="248"/>
      <c r="B445" s="248" t="s">
        <v>4424</v>
      </c>
      <c r="C445" s="248" t="s">
        <v>4036</v>
      </c>
      <c r="D445" s="248"/>
      <c r="E445" s="248"/>
      <c r="F445" s="248"/>
      <c r="G445" s="248" t="s">
        <v>3367</v>
      </c>
      <c r="H445" s="248"/>
      <c r="I445" s="248"/>
      <c r="J445" s="248"/>
      <c r="K445" s="248"/>
      <c r="L445" s="248"/>
      <c r="M445" s="248" t="s">
        <v>738</v>
      </c>
    </row>
    <row r="446" spans="1:13" ht="20.100000000000001" customHeight="1">
      <c r="A446" s="248"/>
      <c r="B446" s="248" t="s">
        <v>4425</v>
      </c>
      <c r="C446" s="248" t="s">
        <v>4124</v>
      </c>
      <c r="D446" s="248"/>
      <c r="E446" s="248"/>
      <c r="F446" s="248"/>
      <c r="G446" s="248" t="s">
        <v>3521</v>
      </c>
      <c r="H446" s="248"/>
      <c r="I446" s="248"/>
      <c r="J446" s="248"/>
      <c r="K446" s="248"/>
      <c r="L446" s="248"/>
      <c r="M446" s="248" t="s">
        <v>739</v>
      </c>
    </row>
    <row r="447" spans="1:13" ht="20.100000000000001" customHeight="1">
      <c r="A447" s="248"/>
      <c r="B447" s="248" t="s">
        <v>4426</v>
      </c>
      <c r="C447" s="248" t="s">
        <v>4036</v>
      </c>
      <c r="D447" s="248"/>
      <c r="E447" s="248"/>
      <c r="F447" s="248"/>
      <c r="G447" s="248" t="s">
        <v>737</v>
      </c>
      <c r="H447" s="248"/>
      <c r="I447" s="248"/>
      <c r="J447" s="248"/>
      <c r="K447" s="248"/>
      <c r="L447" s="248"/>
      <c r="M447" s="248" t="s">
        <v>738</v>
      </c>
    </row>
    <row r="448" spans="1:13" ht="20.100000000000001" customHeight="1">
      <c r="A448" s="248"/>
      <c r="B448" s="248" t="s">
        <v>4427</v>
      </c>
      <c r="C448" s="248" t="s">
        <v>4003</v>
      </c>
      <c r="D448" s="248"/>
      <c r="E448" s="248"/>
      <c r="F448" s="248"/>
      <c r="G448" s="248" t="s">
        <v>740</v>
      </c>
      <c r="H448" s="248"/>
      <c r="I448" s="248"/>
      <c r="J448" s="248"/>
      <c r="K448" s="248"/>
      <c r="L448" s="248"/>
      <c r="M448" s="248" t="s">
        <v>741</v>
      </c>
    </row>
    <row r="449" spans="1:13" ht="20.100000000000001" customHeight="1">
      <c r="A449" s="248"/>
      <c r="B449" s="248" t="s">
        <v>4428</v>
      </c>
      <c r="C449" s="248" t="s">
        <v>4008</v>
      </c>
      <c r="D449" s="248"/>
      <c r="E449" s="248"/>
      <c r="F449" s="248"/>
      <c r="G449" s="248" t="s">
        <v>3832</v>
      </c>
      <c r="H449" s="248"/>
      <c r="I449" s="248"/>
      <c r="J449" s="248"/>
      <c r="K449" s="248"/>
      <c r="L449" s="248"/>
      <c r="M449" s="248" t="s">
        <v>3833</v>
      </c>
    </row>
    <row r="450" spans="1:13" ht="20.100000000000001" customHeight="1">
      <c r="A450" s="248"/>
      <c r="B450" s="248" t="s">
        <v>4429</v>
      </c>
      <c r="C450" s="248" t="s">
        <v>4016</v>
      </c>
      <c r="D450" s="248"/>
      <c r="E450" s="248"/>
      <c r="F450" s="248"/>
      <c r="G450" s="248" t="s">
        <v>742</v>
      </c>
      <c r="H450" s="248"/>
      <c r="I450" s="248"/>
      <c r="J450" s="248"/>
      <c r="K450" s="248"/>
      <c r="L450" s="248"/>
      <c r="M450" s="248" t="s">
        <v>743</v>
      </c>
    </row>
    <row r="451" spans="1:13" ht="20.100000000000001" customHeight="1">
      <c r="A451" s="248"/>
      <c r="B451" s="248" t="s">
        <v>4430</v>
      </c>
      <c r="C451" s="248" t="s">
        <v>4008</v>
      </c>
      <c r="D451" s="248"/>
      <c r="E451" s="248"/>
      <c r="F451" s="248"/>
      <c r="G451" s="248" t="s">
        <v>744</v>
      </c>
      <c r="H451" s="248"/>
      <c r="I451" s="248"/>
      <c r="J451" s="248"/>
      <c r="K451" s="248"/>
      <c r="L451" s="248"/>
      <c r="M451" s="248" t="s">
        <v>745</v>
      </c>
    </row>
    <row r="452" spans="1:13" ht="20.100000000000001" customHeight="1">
      <c r="A452" s="248"/>
      <c r="B452" s="248" t="s">
        <v>4431</v>
      </c>
      <c r="C452" s="248" t="s">
        <v>4016</v>
      </c>
      <c r="D452" s="248"/>
      <c r="E452" s="248"/>
      <c r="F452" s="248"/>
      <c r="G452" s="248" t="s">
        <v>746</v>
      </c>
      <c r="H452" s="248"/>
      <c r="I452" s="248"/>
      <c r="J452" s="248"/>
      <c r="K452" s="248"/>
      <c r="L452" s="248"/>
      <c r="M452" s="248" t="s">
        <v>747</v>
      </c>
    </row>
    <row r="453" spans="1:13" ht="20.100000000000001" customHeight="1">
      <c r="A453" s="248"/>
      <c r="B453" s="248" t="s">
        <v>4432</v>
      </c>
      <c r="C453" s="248" t="s">
        <v>4036</v>
      </c>
      <c r="D453" s="248"/>
      <c r="E453" s="248"/>
      <c r="F453" s="248"/>
      <c r="G453" s="248" t="s">
        <v>3123</v>
      </c>
      <c r="H453" s="248"/>
      <c r="I453" s="248"/>
      <c r="J453" s="248"/>
      <c r="K453" s="248"/>
      <c r="L453" s="248"/>
      <c r="M453" s="248" t="s">
        <v>3124</v>
      </c>
    </row>
    <row r="454" spans="1:13" ht="20.100000000000001" customHeight="1">
      <c r="A454" s="248"/>
      <c r="B454" s="248" t="s">
        <v>4433</v>
      </c>
      <c r="C454" s="248" t="s">
        <v>4025</v>
      </c>
      <c r="D454" s="248"/>
      <c r="E454" s="248"/>
      <c r="F454" s="248"/>
      <c r="G454" s="248" t="s">
        <v>748</v>
      </c>
      <c r="H454" s="248"/>
      <c r="I454" s="248"/>
      <c r="J454" s="248"/>
      <c r="K454" s="248"/>
      <c r="L454" s="248"/>
      <c r="M454" s="248" t="s">
        <v>749</v>
      </c>
    </row>
    <row r="455" spans="1:13" ht="20.100000000000001" customHeight="1">
      <c r="A455" s="248"/>
      <c r="B455" s="248" t="s">
        <v>4434</v>
      </c>
      <c r="C455" s="248" t="s">
        <v>4025</v>
      </c>
      <c r="D455" s="248"/>
      <c r="E455" s="248"/>
      <c r="F455" s="248"/>
      <c r="G455" s="248" t="s">
        <v>750</v>
      </c>
      <c r="H455" s="248"/>
      <c r="I455" s="248"/>
      <c r="J455" s="248"/>
      <c r="K455" s="248"/>
      <c r="L455" s="248"/>
      <c r="M455" s="248" t="s">
        <v>751</v>
      </c>
    </row>
    <row r="456" spans="1:13" ht="20.100000000000001" customHeight="1">
      <c r="A456" s="248"/>
      <c r="B456" s="248" t="s">
        <v>4435</v>
      </c>
      <c r="C456" s="248" t="s">
        <v>4016</v>
      </c>
      <c r="D456" s="248"/>
      <c r="E456" s="248"/>
      <c r="F456" s="248"/>
      <c r="G456" s="248" t="s">
        <v>3648</v>
      </c>
      <c r="H456" s="248"/>
      <c r="I456" s="248"/>
      <c r="J456" s="248"/>
      <c r="K456" s="248"/>
      <c r="L456" s="248"/>
      <c r="M456" s="248" t="s">
        <v>3649</v>
      </c>
    </row>
    <row r="457" spans="1:13" ht="20.100000000000001" customHeight="1">
      <c r="A457" s="248"/>
      <c r="B457" s="248" t="s">
        <v>4436</v>
      </c>
      <c r="C457" s="248" t="s">
        <v>4005</v>
      </c>
      <c r="D457" s="248"/>
      <c r="E457" s="248"/>
      <c r="F457" s="248"/>
      <c r="G457" s="248" t="s">
        <v>3555</v>
      </c>
      <c r="H457" s="248"/>
      <c r="I457" s="248"/>
      <c r="J457" s="248"/>
      <c r="K457" s="248"/>
      <c r="L457" s="248"/>
      <c r="M457" s="248" t="s">
        <v>752</v>
      </c>
    </row>
    <row r="458" spans="1:13" ht="20.100000000000001" customHeight="1">
      <c r="A458" s="248"/>
      <c r="B458" s="248" t="s">
        <v>4437</v>
      </c>
      <c r="C458" s="248" t="s">
        <v>4025</v>
      </c>
      <c r="D458" s="248"/>
      <c r="E458" s="248"/>
      <c r="F458" s="248"/>
      <c r="G458" s="248" t="s">
        <v>753</v>
      </c>
      <c r="H458" s="248"/>
      <c r="I458" s="248"/>
      <c r="J458" s="248"/>
      <c r="K458" s="248"/>
      <c r="L458" s="248"/>
      <c r="M458" s="248" t="s">
        <v>754</v>
      </c>
    </row>
    <row r="459" spans="1:13" ht="20.100000000000001" customHeight="1">
      <c r="A459" s="248"/>
      <c r="B459" s="248" t="s">
        <v>4438</v>
      </c>
      <c r="C459" s="248" t="s">
        <v>4016</v>
      </c>
      <c r="D459" s="248"/>
      <c r="E459" s="248"/>
      <c r="F459" s="248"/>
      <c r="G459" s="248" t="s">
        <v>3899</v>
      </c>
      <c r="H459" s="248"/>
      <c r="I459" s="248"/>
      <c r="J459" s="248"/>
      <c r="K459" s="248"/>
      <c r="L459" s="248"/>
      <c r="M459" s="248" t="s">
        <v>3900</v>
      </c>
    </row>
    <row r="460" spans="1:13" ht="20.100000000000001" customHeight="1">
      <c r="A460" s="248"/>
      <c r="B460" s="248" t="s">
        <v>4439</v>
      </c>
      <c r="C460" s="248" t="s">
        <v>4003</v>
      </c>
      <c r="D460" s="248"/>
      <c r="E460" s="248"/>
      <c r="F460" s="248"/>
      <c r="G460" s="248" t="s">
        <v>755</v>
      </c>
      <c r="H460" s="248"/>
      <c r="I460" s="248"/>
      <c r="J460" s="248"/>
      <c r="K460" s="248"/>
      <c r="L460" s="248"/>
      <c r="M460" s="248" t="s">
        <v>756</v>
      </c>
    </row>
    <row r="461" spans="1:13" ht="20.100000000000001" customHeight="1">
      <c r="A461" s="248"/>
      <c r="B461" s="248" t="s">
        <v>4440</v>
      </c>
      <c r="C461" s="248" t="s">
        <v>4003</v>
      </c>
      <c r="D461" s="248"/>
      <c r="E461" s="248"/>
      <c r="F461" s="248"/>
      <c r="G461" s="248" t="s">
        <v>3458</v>
      </c>
      <c r="H461" s="248"/>
      <c r="I461" s="248"/>
      <c r="J461" s="248"/>
      <c r="K461" s="248"/>
      <c r="L461" s="248"/>
      <c r="M461" s="248" t="s">
        <v>3209</v>
      </c>
    </row>
    <row r="462" spans="1:13" ht="20.100000000000001" customHeight="1">
      <c r="A462" s="248"/>
      <c r="B462" s="248" t="s">
        <v>4441</v>
      </c>
      <c r="C462" s="248" t="s">
        <v>4003</v>
      </c>
      <c r="D462" s="248"/>
      <c r="E462" s="248"/>
      <c r="F462" s="248"/>
      <c r="G462" s="248" t="s">
        <v>757</v>
      </c>
      <c r="H462" s="248"/>
      <c r="I462" s="248"/>
      <c r="J462" s="248"/>
      <c r="K462" s="248"/>
      <c r="L462" s="248"/>
      <c r="M462" s="248" t="s">
        <v>758</v>
      </c>
    </row>
    <row r="463" spans="1:13" ht="20.100000000000001" customHeight="1">
      <c r="A463" s="248"/>
      <c r="B463" s="248" t="s">
        <v>4442</v>
      </c>
      <c r="C463" s="248" t="s">
        <v>4124</v>
      </c>
      <c r="D463" s="248"/>
      <c r="E463" s="248"/>
      <c r="F463" s="248"/>
      <c r="G463" s="248" t="s">
        <v>759</v>
      </c>
      <c r="H463" s="248"/>
      <c r="I463" s="248"/>
      <c r="J463" s="248"/>
      <c r="K463" s="248"/>
      <c r="L463" s="248"/>
      <c r="M463" s="248" t="s">
        <v>760</v>
      </c>
    </row>
    <row r="464" spans="1:13" ht="20.100000000000001" customHeight="1">
      <c r="A464" s="248"/>
      <c r="B464" s="248" t="s">
        <v>4443</v>
      </c>
      <c r="C464" s="248" t="s">
        <v>4012</v>
      </c>
      <c r="D464" s="248"/>
      <c r="E464" s="248"/>
      <c r="F464" s="248"/>
      <c r="G464" s="248" t="s">
        <v>3901</v>
      </c>
      <c r="H464" s="248"/>
      <c r="I464" s="248"/>
      <c r="J464" s="248"/>
      <c r="K464" s="248"/>
      <c r="L464" s="248"/>
      <c r="M464" s="248" t="s">
        <v>3550</v>
      </c>
    </row>
    <row r="465" spans="1:13" ht="20.100000000000001" customHeight="1">
      <c r="A465" s="248"/>
      <c r="B465" s="248" t="s">
        <v>4444</v>
      </c>
      <c r="C465" s="248" t="s">
        <v>4008</v>
      </c>
      <c r="D465" s="248"/>
      <c r="E465" s="248"/>
      <c r="F465" s="248"/>
      <c r="G465" s="248" t="s">
        <v>761</v>
      </c>
      <c r="H465" s="248"/>
      <c r="I465" s="248"/>
      <c r="J465" s="248"/>
      <c r="K465" s="248"/>
      <c r="L465" s="248"/>
      <c r="M465" s="248" t="s">
        <v>762</v>
      </c>
    </row>
    <row r="466" spans="1:13" ht="20.100000000000001" customHeight="1">
      <c r="A466" s="248"/>
      <c r="B466" s="248" t="s">
        <v>4445</v>
      </c>
      <c r="C466" s="248" t="s">
        <v>4025</v>
      </c>
      <c r="D466" s="248"/>
      <c r="E466" s="248"/>
      <c r="F466" s="248"/>
      <c r="G466" s="248" t="s">
        <v>763</v>
      </c>
      <c r="H466" s="248"/>
      <c r="I466" s="248"/>
      <c r="J466" s="248"/>
      <c r="K466" s="248"/>
      <c r="L466" s="248"/>
      <c r="M466" s="248" t="s">
        <v>764</v>
      </c>
    </row>
    <row r="467" spans="1:13" ht="20.100000000000001" customHeight="1">
      <c r="A467" s="248"/>
      <c r="B467" s="248" t="s">
        <v>4446</v>
      </c>
      <c r="C467" s="248" t="s">
        <v>4030</v>
      </c>
      <c r="D467" s="248"/>
      <c r="E467" s="248"/>
      <c r="F467" s="248"/>
      <c r="G467" s="248" t="s">
        <v>3167</v>
      </c>
      <c r="H467" s="248"/>
      <c r="I467" s="248"/>
      <c r="J467" s="248"/>
      <c r="K467" s="248"/>
      <c r="L467" s="248"/>
      <c r="M467" s="248" t="s">
        <v>3168</v>
      </c>
    </row>
    <row r="468" spans="1:13" ht="20.100000000000001" customHeight="1">
      <c r="A468" s="248"/>
      <c r="B468" s="248" t="s">
        <v>4447</v>
      </c>
      <c r="C468" s="248" t="s">
        <v>4030</v>
      </c>
      <c r="D468" s="248"/>
      <c r="E468" s="248"/>
      <c r="F468" s="248"/>
      <c r="G468" s="248" t="s">
        <v>3411</v>
      </c>
      <c r="H468" s="248"/>
      <c r="I468" s="248"/>
      <c r="J468" s="248"/>
      <c r="K468" s="248"/>
      <c r="L468" s="248"/>
      <c r="M468" s="248" t="s">
        <v>3412</v>
      </c>
    </row>
    <row r="469" spans="1:13" ht="20.100000000000001" customHeight="1">
      <c r="A469" s="248"/>
      <c r="B469" s="248" t="s">
        <v>6399</v>
      </c>
      <c r="C469" s="248" t="s">
        <v>4016</v>
      </c>
      <c r="D469" s="248"/>
      <c r="E469" s="248"/>
      <c r="F469" s="248"/>
      <c r="G469" s="248" t="s">
        <v>6400</v>
      </c>
      <c r="H469" s="248"/>
      <c r="I469" s="248"/>
      <c r="J469" s="248"/>
      <c r="K469" s="248"/>
      <c r="L469" s="248"/>
      <c r="M469" s="248" t="s">
        <v>3550</v>
      </c>
    </row>
    <row r="470" spans="1:13" ht="20.100000000000001" customHeight="1">
      <c r="A470" s="248"/>
      <c r="B470" s="248" t="s">
        <v>6236</v>
      </c>
      <c r="C470" s="248" t="s">
        <v>4036</v>
      </c>
      <c r="D470" s="248"/>
      <c r="E470" s="248"/>
      <c r="F470" s="248"/>
      <c r="G470" s="248" t="s">
        <v>6237</v>
      </c>
      <c r="H470" s="248"/>
      <c r="I470" s="248"/>
      <c r="J470" s="248"/>
      <c r="K470" s="248"/>
      <c r="L470" s="248"/>
      <c r="M470" s="248" t="s">
        <v>6238</v>
      </c>
    </row>
    <row r="471" spans="1:13" ht="20.100000000000001" customHeight="1">
      <c r="A471" s="248"/>
      <c r="B471" s="248" t="s">
        <v>4448</v>
      </c>
      <c r="C471" s="248" t="s">
        <v>4030</v>
      </c>
      <c r="D471" s="248"/>
      <c r="E471" s="248"/>
      <c r="F471" s="248"/>
      <c r="G471" s="248" t="s">
        <v>765</v>
      </c>
      <c r="H471" s="248"/>
      <c r="I471" s="248"/>
      <c r="J471" s="248"/>
      <c r="K471" s="248"/>
      <c r="L471" s="248"/>
      <c r="M471" s="248" t="s">
        <v>766</v>
      </c>
    </row>
    <row r="472" spans="1:13" ht="20.100000000000001" customHeight="1">
      <c r="A472" s="248"/>
      <c r="B472" s="248" t="s">
        <v>4449</v>
      </c>
      <c r="C472" s="248" t="s">
        <v>4012</v>
      </c>
      <c r="D472" s="248"/>
      <c r="E472" s="248"/>
      <c r="F472" s="248"/>
      <c r="G472" s="248" t="s">
        <v>3313</v>
      </c>
      <c r="H472" s="248"/>
      <c r="I472" s="248"/>
      <c r="J472" s="248"/>
      <c r="K472" s="248"/>
      <c r="L472" s="248"/>
      <c r="M472" s="248" t="s">
        <v>3314</v>
      </c>
    </row>
    <row r="473" spans="1:13" ht="20.100000000000001" customHeight="1">
      <c r="A473" s="248"/>
      <c r="B473" s="248" t="s">
        <v>4450</v>
      </c>
      <c r="C473" s="248" t="s">
        <v>4016</v>
      </c>
      <c r="D473" s="248"/>
      <c r="E473" s="248"/>
      <c r="F473" s="248"/>
      <c r="G473" s="248" t="s">
        <v>3194</v>
      </c>
      <c r="H473" s="248"/>
      <c r="I473" s="248"/>
      <c r="J473" s="248"/>
      <c r="K473" s="248"/>
      <c r="L473" s="248"/>
      <c r="M473" s="248" t="s">
        <v>3195</v>
      </c>
    </row>
    <row r="474" spans="1:13" ht="20.100000000000001" customHeight="1">
      <c r="A474" s="248"/>
      <c r="B474" s="248" t="s">
        <v>4451</v>
      </c>
      <c r="C474" s="248" t="s">
        <v>4003</v>
      </c>
      <c r="D474" s="248"/>
      <c r="E474" s="248"/>
      <c r="F474" s="248"/>
      <c r="G474" s="248" t="s">
        <v>3413</v>
      </c>
      <c r="H474" s="248"/>
      <c r="I474" s="248"/>
      <c r="J474" s="248"/>
      <c r="K474" s="248"/>
      <c r="L474" s="248"/>
      <c r="M474" s="248" t="s">
        <v>196</v>
      </c>
    </row>
    <row r="475" spans="1:13" ht="20.100000000000001" customHeight="1">
      <c r="A475" s="248"/>
      <c r="B475" s="248" t="s">
        <v>4452</v>
      </c>
      <c r="C475" s="248" t="s">
        <v>4012</v>
      </c>
      <c r="D475" s="248"/>
      <c r="E475" s="248"/>
      <c r="F475" s="248"/>
      <c r="G475" s="248" t="s">
        <v>767</v>
      </c>
      <c r="H475" s="248"/>
      <c r="I475" s="248"/>
      <c r="J475" s="248"/>
      <c r="K475" s="248"/>
      <c r="L475" s="248"/>
      <c r="M475" s="248" t="s">
        <v>235</v>
      </c>
    </row>
    <row r="476" spans="1:13" ht="20.100000000000001" customHeight="1">
      <c r="A476" s="248"/>
      <c r="B476" s="248" t="s">
        <v>4453</v>
      </c>
      <c r="C476" s="248" t="s">
        <v>4014</v>
      </c>
      <c r="D476" s="248"/>
      <c r="E476" s="248"/>
      <c r="F476" s="248"/>
      <c r="G476" s="248" t="s">
        <v>768</v>
      </c>
      <c r="H476" s="248"/>
      <c r="I476" s="248"/>
      <c r="J476" s="248"/>
      <c r="K476" s="248"/>
      <c r="L476" s="248"/>
      <c r="M476" s="248" t="s">
        <v>769</v>
      </c>
    </row>
    <row r="477" spans="1:13" ht="20.100000000000001" customHeight="1">
      <c r="A477" s="248"/>
      <c r="B477" s="248" t="s">
        <v>4454</v>
      </c>
      <c r="C477" s="248" t="s">
        <v>4003</v>
      </c>
      <c r="D477" s="248"/>
      <c r="E477" s="248"/>
      <c r="F477" s="248"/>
      <c r="G477" s="248" t="s">
        <v>770</v>
      </c>
      <c r="H477" s="248"/>
      <c r="I477" s="248"/>
      <c r="J477" s="248"/>
      <c r="K477" s="248"/>
      <c r="L477" s="248"/>
      <c r="M477" s="248" t="s">
        <v>3550</v>
      </c>
    </row>
    <row r="478" spans="1:13" ht="20.100000000000001" customHeight="1">
      <c r="A478" s="248"/>
      <c r="B478" s="248" t="s">
        <v>4455</v>
      </c>
      <c r="C478" s="248" t="s">
        <v>4012</v>
      </c>
      <c r="D478" s="248"/>
      <c r="E478" s="248"/>
      <c r="F478" s="248"/>
      <c r="G478" s="248" t="s">
        <v>771</v>
      </c>
      <c r="H478" s="248"/>
      <c r="I478" s="248"/>
      <c r="J478" s="248"/>
      <c r="K478" s="248"/>
      <c r="L478" s="248"/>
      <c r="M478" s="248" t="s">
        <v>772</v>
      </c>
    </row>
    <row r="479" spans="1:13" ht="20.100000000000001" customHeight="1">
      <c r="A479" s="248"/>
      <c r="B479" s="248" t="s">
        <v>4456</v>
      </c>
      <c r="C479" s="248" t="s">
        <v>4025</v>
      </c>
      <c r="D479" s="248"/>
      <c r="E479" s="248"/>
      <c r="F479" s="248"/>
      <c r="G479" s="248" t="s">
        <v>3779</v>
      </c>
      <c r="H479" s="248"/>
      <c r="I479" s="248"/>
      <c r="J479" s="248"/>
      <c r="K479" s="248"/>
      <c r="L479" s="248"/>
      <c r="M479" s="248" t="s">
        <v>3780</v>
      </c>
    </row>
    <row r="480" spans="1:13" ht="20.100000000000001" customHeight="1">
      <c r="A480" s="249"/>
      <c r="B480" s="249" t="s">
        <v>4457</v>
      </c>
      <c r="C480" s="250" t="s">
        <v>4014</v>
      </c>
      <c r="D480" s="249"/>
      <c r="E480" s="249"/>
      <c r="F480" s="249"/>
      <c r="G480" s="249" t="s">
        <v>3902</v>
      </c>
      <c r="H480" s="249"/>
      <c r="I480" s="249"/>
      <c r="J480" s="249"/>
      <c r="K480" s="249"/>
      <c r="L480" s="249"/>
      <c r="M480" s="249" t="s">
        <v>196</v>
      </c>
    </row>
    <row r="481" spans="1:13" ht="20.100000000000001" customHeight="1">
      <c r="A481" s="248"/>
      <c r="B481" s="248" t="s">
        <v>4458</v>
      </c>
      <c r="C481" s="248" t="s">
        <v>4016</v>
      </c>
      <c r="D481" s="248"/>
      <c r="E481" s="248"/>
      <c r="F481" s="248"/>
      <c r="G481" s="248" t="s">
        <v>2845</v>
      </c>
      <c r="H481" s="248"/>
      <c r="I481" s="248"/>
      <c r="J481" s="248"/>
      <c r="K481" s="248"/>
      <c r="L481" s="248"/>
      <c r="M481" s="248" t="s">
        <v>3377</v>
      </c>
    </row>
    <row r="482" spans="1:13" ht="20.100000000000001" customHeight="1">
      <c r="A482" s="248"/>
      <c r="B482" s="248" t="s">
        <v>4459</v>
      </c>
      <c r="C482" s="248" t="s">
        <v>4003</v>
      </c>
      <c r="D482" s="248"/>
      <c r="E482" s="248"/>
      <c r="F482" s="248"/>
      <c r="G482" s="248" t="s">
        <v>773</v>
      </c>
      <c r="H482" s="248"/>
      <c r="I482" s="248"/>
      <c r="J482" s="248"/>
      <c r="K482" s="248"/>
      <c r="L482" s="248"/>
      <c r="M482" s="248" t="s">
        <v>774</v>
      </c>
    </row>
    <row r="483" spans="1:13" ht="20.100000000000001" customHeight="1">
      <c r="A483" s="248"/>
      <c r="B483" s="248" t="s">
        <v>4460</v>
      </c>
      <c r="C483" s="248" t="s">
        <v>4030</v>
      </c>
      <c r="D483" s="248"/>
      <c r="E483" s="248"/>
      <c r="F483" s="248"/>
      <c r="G483" s="248" t="s">
        <v>3781</v>
      </c>
      <c r="H483" s="248"/>
      <c r="I483" s="248"/>
      <c r="J483" s="248"/>
      <c r="K483" s="248"/>
      <c r="L483" s="248"/>
      <c r="M483" s="248" t="s">
        <v>3782</v>
      </c>
    </row>
    <row r="484" spans="1:13" ht="20.100000000000001" customHeight="1">
      <c r="A484" s="248"/>
      <c r="B484" s="248" t="s">
        <v>4461</v>
      </c>
      <c r="C484" s="248" t="s">
        <v>4036</v>
      </c>
      <c r="D484" s="248"/>
      <c r="E484" s="248"/>
      <c r="F484" s="248"/>
      <c r="G484" s="248" t="s">
        <v>3866</v>
      </c>
      <c r="H484" s="248"/>
      <c r="I484" s="248"/>
      <c r="J484" s="248"/>
      <c r="K484" s="248"/>
      <c r="L484" s="248"/>
      <c r="M484" s="248" t="s">
        <v>3867</v>
      </c>
    </row>
    <row r="485" spans="1:13" ht="20.100000000000001" customHeight="1">
      <c r="A485" s="248"/>
      <c r="B485" s="248" t="s">
        <v>4462</v>
      </c>
      <c r="C485" s="248" t="s">
        <v>4016</v>
      </c>
      <c r="D485" s="248"/>
      <c r="E485" s="248"/>
      <c r="F485" s="248"/>
      <c r="G485" s="248" t="s">
        <v>775</v>
      </c>
      <c r="H485" s="248"/>
      <c r="I485" s="248"/>
      <c r="J485" s="248"/>
      <c r="K485" s="248"/>
      <c r="L485" s="248"/>
      <c r="M485" s="248" t="s">
        <v>776</v>
      </c>
    </row>
    <row r="486" spans="1:13" ht="20.100000000000001" customHeight="1">
      <c r="A486" s="248"/>
      <c r="B486" s="248" t="s">
        <v>4463</v>
      </c>
      <c r="C486" s="248" t="s">
        <v>4025</v>
      </c>
      <c r="D486" s="248"/>
      <c r="E486" s="248"/>
      <c r="F486" s="248"/>
      <c r="G486" s="248" t="s">
        <v>777</v>
      </c>
      <c r="H486" s="248"/>
      <c r="I486" s="248"/>
      <c r="J486" s="248"/>
      <c r="K486" s="248"/>
      <c r="L486" s="248"/>
      <c r="M486" s="248" t="s">
        <v>778</v>
      </c>
    </row>
    <row r="487" spans="1:13" ht="20.100000000000001" customHeight="1">
      <c r="A487" s="248"/>
      <c r="B487" s="248" t="s">
        <v>4464</v>
      </c>
      <c r="C487" s="248" t="s">
        <v>4014</v>
      </c>
      <c r="D487" s="248"/>
      <c r="E487" s="248"/>
      <c r="F487" s="248"/>
      <c r="G487" s="248" t="s">
        <v>779</v>
      </c>
      <c r="H487" s="248"/>
      <c r="I487" s="248"/>
      <c r="J487" s="248"/>
      <c r="K487" s="248"/>
      <c r="L487" s="248"/>
      <c r="M487" s="248" t="s">
        <v>3550</v>
      </c>
    </row>
    <row r="488" spans="1:13" ht="20.100000000000001" customHeight="1">
      <c r="A488" s="248"/>
      <c r="B488" s="248" t="s">
        <v>4465</v>
      </c>
      <c r="C488" s="248" t="s">
        <v>4003</v>
      </c>
      <c r="D488" s="248"/>
      <c r="E488" s="248"/>
      <c r="F488" s="248"/>
      <c r="G488" s="248" t="s">
        <v>780</v>
      </c>
      <c r="H488" s="248"/>
      <c r="I488" s="248"/>
      <c r="J488" s="248"/>
      <c r="K488" s="248"/>
      <c r="L488" s="248"/>
      <c r="M488" s="248" t="s">
        <v>781</v>
      </c>
    </row>
    <row r="489" spans="1:13" ht="20.100000000000001" customHeight="1">
      <c r="A489" s="248"/>
      <c r="B489" s="248" t="s">
        <v>4466</v>
      </c>
      <c r="C489" s="248" t="s">
        <v>4014</v>
      </c>
      <c r="D489" s="248"/>
      <c r="E489" s="248"/>
      <c r="F489" s="248"/>
      <c r="G489" s="248" t="s">
        <v>782</v>
      </c>
      <c r="H489" s="248"/>
      <c r="I489" s="248"/>
      <c r="J489" s="248"/>
      <c r="K489" s="248"/>
      <c r="L489" s="248"/>
      <c r="M489" s="248" t="s">
        <v>783</v>
      </c>
    </row>
    <row r="490" spans="1:13" ht="20.100000000000001" customHeight="1">
      <c r="A490" s="248"/>
      <c r="B490" s="248" t="s">
        <v>4467</v>
      </c>
      <c r="C490" s="248" t="s">
        <v>4012</v>
      </c>
      <c r="D490" s="248"/>
      <c r="E490" s="248"/>
      <c r="F490" s="248"/>
      <c r="G490" s="248" t="s">
        <v>3682</v>
      </c>
      <c r="H490" s="248"/>
      <c r="I490" s="248"/>
      <c r="J490" s="248"/>
      <c r="K490" s="248"/>
      <c r="L490" s="248"/>
      <c r="M490" s="248" t="s">
        <v>3683</v>
      </c>
    </row>
    <row r="491" spans="1:13" ht="20.100000000000001" customHeight="1">
      <c r="A491" s="248"/>
      <c r="B491" s="248" t="s">
        <v>4468</v>
      </c>
      <c r="C491" s="248" t="s">
        <v>4030</v>
      </c>
      <c r="D491" s="248"/>
      <c r="E491" s="248"/>
      <c r="F491" s="248"/>
      <c r="G491" s="248" t="s">
        <v>784</v>
      </c>
      <c r="H491" s="248"/>
      <c r="I491" s="248"/>
      <c r="J491" s="248"/>
      <c r="K491" s="248"/>
      <c r="L491" s="248"/>
      <c r="M491" s="248" t="s">
        <v>785</v>
      </c>
    </row>
    <row r="492" spans="1:13" ht="20.100000000000001" customHeight="1">
      <c r="A492" s="248"/>
      <c r="B492" s="248" t="s">
        <v>4469</v>
      </c>
      <c r="C492" s="248" t="s">
        <v>4008</v>
      </c>
      <c r="D492" s="248"/>
      <c r="E492" s="248"/>
      <c r="F492" s="248"/>
      <c r="G492" s="248" t="s">
        <v>3351</v>
      </c>
      <c r="H492" s="248"/>
      <c r="I492" s="248"/>
      <c r="J492" s="248"/>
      <c r="K492" s="248"/>
      <c r="L492" s="248"/>
      <c r="M492" s="248" t="s">
        <v>3352</v>
      </c>
    </row>
    <row r="493" spans="1:13" ht="20.100000000000001" customHeight="1">
      <c r="A493" s="248"/>
      <c r="B493" s="248" t="s">
        <v>4470</v>
      </c>
      <c r="C493" s="248" t="s">
        <v>4030</v>
      </c>
      <c r="D493" s="248"/>
      <c r="E493" s="248"/>
      <c r="F493" s="248"/>
      <c r="G493" s="248" t="s">
        <v>786</v>
      </c>
      <c r="H493" s="248"/>
      <c r="I493" s="248"/>
      <c r="J493" s="248"/>
      <c r="K493" s="248"/>
      <c r="L493" s="248"/>
      <c r="M493" s="248" t="s">
        <v>787</v>
      </c>
    </row>
    <row r="494" spans="1:13" ht="20.100000000000001" customHeight="1">
      <c r="A494" s="248"/>
      <c r="B494" s="248" t="s">
        <v>4471</v>
      </c>
      <c r="C494" s="248" t="s">
        <v>4012</v>
      </c>
      <c r="D494" s="248"/>
      <c r="E494" s="248"/>
      <c r="F494" s="248"/>
      <c r="G494" s="248" t="s">
        <v>3684</v>
      </c>
      <c r="H494" s="248"/>
      <c r="I494" s="248"/>
      <c r="J494" s="248"/>
      <c r="K494" s="248"/>
      <c r="L494" s="248"/>
      <c r="M494" s="248" t="s">
        <v>3685</v>
      </c>
    </row>
    <row r="495" spans="1:13" ht="20.100000000000001" customHeight="1">
      <c r="A495" s="248"/>
      <c r="B495" s="248" t="s">
        <v>4472</v>
      </c>
      <c r="C495" s="248" t="s">
        <v>4016</v>
      </c>
      <c r="D495" s="248"/>
      <c r="E495" s="248"/>
      <c r="F495" s="248"/>
      <c r="G495" s="248" t="s">
        <v>3079</v>
      </c>
      <c r="H495" s="248"/>
      <c r="I495" s="248"/>
      <c r="J495" s="248"/>
      <c r="K495" s="248"/>
      <c r="L495" s="248"/>
      <c r="M495" s="248" t="s">
        <v>788</v>
      </c>
    </row>
    <row r="496" spans="1:13" ht="20.100000000000001" customHeight="1">
      <c r="A496" s="248"/>
      <c r="B496" s="248" t="s">
        <v>4473</v>
      </c>
      <c r="C496" s="248" t="s">
        <v>4016</v>
      </c>
      <c r="D496" s="248"/>
      <c r="E496" s="248"/>
      <c r="F496" s="248"/>
      <c r="G496" s="248" t="s">
        <v>789</v>
      </c>
      <c r="H496" s="248"/>
      <c r="I496" s="248"/>
      <c r="J496" s="248"/>
      <c r="K496" s="248"/>
      <c r="L496" s="248"/>
      <c r="M496" s="248" t="s">
        <v>790</v>
      </c>
    </row>
    <row r="497" spans="1:13" ht="20.100000000000001" customHeight="1">
      <c r="A497" s="248"/>
      <c r="B497" s="248" t="s">
        <v>4474</v>
      </c>
      <c r="C497" s="248" t="s">
        <v>4003</v>
      </c>
      <c r="D497" s="248"/>
      <c r="E497" s="248"/>
      <c r="F497" s="248"/>
      <c r="G497" s="248" t="s">
        <v>791</v>
      </c>
      <c r="H497" s="248"/>
      <c r="I497" s="248"/>
      <c r="J497" s="248"/>
      <c r="K497" s="248"/>
      <c r="L497" s="248"/>
      <c r="M497" s="248" t="s">
        <v>3550</v>
      </c>
    </row>
    <row r="498" spans="1:13" ht="20.100000000000001" customHeight="1">
      <c r="A498" s="248"/>
      <c r="B498" s="248" t="s">
        <v>4475</v>
      </c>
      <c r="C498" s="248" t="s">
        <v>4012</v>
      </c>
      <c r="D498" s="248"/>
      <c r="E498" s="248"/>
      <c r="F498" s="248"/>
      <c r="G498" s="248" t="s">
        <v>792</v>
      </c>
      <c r="H498" s="248"/>
      <c r="I498" s="248"/>
      <c r="J498" s="248"/>
      <c r="K498" s="248"/>
      <c r="L498" s="248"/>
      <c r="M498" s="248" t="s">
        <v>3550</v>
      </c>
    </row>
    <row r="499" spans="1:13" ht="20.100000000000001" customHeight="1">
      <c r="A499" s="248"/>
      <c r="B499" s="248" t="s">
        <v>4476</v>
      </c>
      <c r="C499" s="248" t="s">
        <v>4003</v>
      </c>
      <c r="D499" s="248"/>
      <c r="E499" s="248"/>
      <c r="F499" s="248"/>
      <c r="G499" s="248" t="s">
        <v>3459</v>
      </c>
      <c r="H499" s="248"/>
      <c r="I499" s="248"/>
      <c r="J499" s="248"/>
      <c r="K499" s="248"/>
      <c r="L499" s="248"/>
      <c r="M499" s="248" t="s">
        <v>3460</v>
      </c>
    </row>
    <row r="500" spans="1:13" ht="20.100000000000001" customHeight="1">
      <c r="A500" s="248"/>
      <c r="B500" s="248" t="s">
        <v>6430</v>
      </c>
      <c r="C500" s="248" t="s">
        <v>4030</v>
      </c>
      <c r="D500" s="248"/>
      <c r="E500" s="248"/>
      <c r="F500" s="248"/>
      <c r="G500" s="248" t="s">
        <v>3633</v>
      </c>
      <c r="H500" s="248"/>
      <c r="I500" s="248"/>
      <c r="J500" s="248"/>
      <c r="K500" s="248"/>
      <c r="L500" s="248"/>
      <c r="M500" s="248" t="s">
        <v>3634</v>
      </c>
    </row>
    <row r="501" spans="1:13" ht="20.100000000000001" customHeight="1">
      <c r="A501" s="248"/>
      <c r="B501" s="248" t="s">
        <v>4477</v>
      </c>
      <c r="C501" s="248" t="s">
        <v>4014</v>
      </c>
      <c r="D501" s="248"/>
      <c r="E501" s="248"/>
      <c r="F501" s="248"/>
      <c r="G501" s="248" t="s">
        <v>3326</v>
      </c>
      <c r="H501" s="248"/>
      <c r="I501" s="248"/>
      <c r="J501" s="248"/>
      <c r="K501" s="248"/>
      <c r="L501" s="248"/>
      <c r="M501" s="248" t="s">
        <v>1189</v>
      </c>
    </row>
    <row r="502" spans="1:13" ht="20.100000000000001" customHeight="1">
      <c r="A502" s="248"/>
      <c r="B502" s="248" t="s">
        <v>4478</v>
      </c>
      <c r="C502" s="248" t="s">
        <v>4003</v>
      </c>
      <c r="D502" s="248"/>
      <c r="E502" s="248"/>
      <c r="F502" s="248"/>
      <c r="G502" s="248" t="s">
        <v>793</v>
      </c>
      <c r="H502" s="248"/>
      <c r="I502" s="248"/>
      <c r="J502" s="248"/>
      <c r="K502" s="248"/>
      <c r="L502" s="248"/>
      <c r="M502" s="248" t="s">
        <v>794</v>
      </c>
    </row>
    <row r="503" spans="1:13" ht="20.100000000000001" customHeight="1">
      <c r="A503" s="248"/>
      <c r="B503" s="248" t="s">
        <v>4479</v>
      </c>
      <c r="C503" s="248" t="s">
        <v>4016</v>
      </c>
      <c r="D503" s="248"/>
      <c r="E503" s="248"/>
      <c r="F503" s="248"/>
      <c r="G503" s="248" t="s">
        <v>795</v>
      </c>
      <c r="H503" s="248"/>
      <c r="I503" s="248"/>
      <c r="J503" s="248"/>
      <c r="K503" s="248"/>
      <c r="L503" s="248"/>
      <c r="M503" s="248" t="s">
        <v>796</v>
      </c>
    </row>
    <row r="504" spans="1:13" ht="20.100000000000001" customHeight="1">
      <c r="A504" s="248"/>
      <c r="B504" s="248" t="s">
        <v>4480</v>
      </c>
      <c r="C504" s="248" t="s">
        <v>4008</v>
      </c>
      <c r="D504" s="248"/>
      <c r="E504" s="248"/>
      <c r="F504" s="248"/>
      <c r="G504" s="248" t="s">
        <v>797</v>
      </c>
      <c r="H504" s="248"/>
      <c r="I504" s="248"/>
      <c r="J504" s="248"/>
      <c r="K504" s="248"/>
      <c r="L504" s="248"/>
      <c r="M504" s="248" t="s">
        <v>798</v>
      </c>
    </row>
    <row r="505" spans="1:13" ht="20.100000000000001" customHeight="1">
      <c r="A505" s="248"/>
      <c r="B505" s="248" t="s">
        <v>4481</v>
      </c>
      <c r="C505" s="248" t="s">
        <v>4025</v>
      </c>
      <c r="D505" s="248"/>
      <c r="E505" s="248"/>
      <c r="F505" s="248"/>
      <c r="G505" s="248" t="s">
        <v>799</v>
      </c>
      <c r="H505" s="248"/>
      <c r="I505" s="248"/>
      <c r="J505" s="248"/>
      <c r="K505" s="248"/>
      <c r="L505" s="248"/>
      <c r="M505" s="248" t="s">
        <v>800</v>
      </c>
    </row>
    <row r="506" spans="1:13" ht="20.100000000000001" customHeight="1">
      <c r="A506" s="248"/>
      <c r="B506" s="248" t="s">
        <v>4482</v>
      </c>
      <c r="C506" s="248" t="s">
        <v>4025</v>
      </c>
      <c r="D506" s="248"/>
      <c r="E506" s="248"/>
      <c r="F506" s="248"/>
      <c r="G506" s="248" t="s">
        <v>801</v>
      </c>
      <c r="H506" s="248"/>
      <c r="I506" s="248"/>
      <c r="J506" s="248"/>
      <c r="K506" s="248"/>
      <c r="L506" s="248"/>
      <c r="M506" s="248" t="s">
        <v>802</v>
      </c>
    </row>
    <row r="507" spans="1:13" ht="20.100000000000001" customHeight="1">
      <c r="A507" s="248"/>
      <c r="B507" s="248" t="s">
        <v>4483</v>
      </c>
      <c r="C507" s="248" t="s">
        <v>4030</v>
      </c>
      <c r="D507" s="248"/>
      <c r="E507" s="248"/>
      <c r="F507" s="248"/>
      <c r="G507" s="248" t="s">
        <v>803</v>
      </c>
      <c r="H507" s="248"/>
      <c r="I507" s="248"/>
      <c r="J507" s="248"/>
      <c r="K507" s="248"/>
      <c r="L507" s="248"/>
      <c r="M507" s="248" t="s">
        <v>804</v>
      </c>
    </row>
    <row r="508" spans="1:13" ht="20.100000000000001" customHeight="1">
      <c r="A508" s="248"/>
      <c r="B508" s="248" t="s">
        <v>4484</v>
      </c>
      <c r="C508" s="248" t="s">
        <v>4003</v>
      </c>
      <c r="D508" s="248"/>
      <c r="E508" s="248"/>
      <c r="F508" s="248"/>
      <c r="G508" s="248" t="s">
        <v>805</v>
      </c>
      <c r="H508" s="248"/>
      <c r="I508" s="248"/>
      <c r="J508" s="248"/>
      <c r="K508" s="248"/>
      <c r="L508" s="248"/>
      <c r="M508" s="248" t="s">
        <v>806</v>
      </c>
    </row>
    <row r="509" spans="1:13" ht="20.100000000000001" customHeight="1">
      <c r="A509" s="248"/>
      <c r="B509" s="248" t="s">
        <v>4485</v>
      </c>
      <c r="C509" s="248" t="s">
        <v>4008</v>
      </c>
      <c r="D509" s="248"/>
      <c r="E509" s="248"/>
      <c r="F509" s="248"/>
      <c r="G509" s="248" t="s">
        <v>3361</v>
      </c>
      <c r="H509" s="248"/>
      <c r="I509" s="248"/>
      <c r="J509" s="248"/>
      <c r="K509" s="248"/>
      <c r="L509" s="248"/>
      <c r="M509" s="248" t="s">
        <v>3362</v>
      </c>
    </row>
    <row r="510" spans="1:13" ht="20.100000000000001" customHeight="1">
      <c r="A510" s="248"/>
      <c r="B510" s="248" t="s">
        <v>4486</v>
      </c>
      <c r="C510" s="248" t="s">
        <v>4036</v>
      </c>
      <c r="D510" s="248"/>
      <c r="E510" s="248"/>
      <c r="F510" s="248"/>
      <c r="G510" s="248" t="s">
        <v>807</v>
      </c>
      <c r="H510" s="248"/>
      <c r="I510" s="248"/>
      <c r="J510" s="248"/>
      <c r="K510" s="248"/>
      <c r="L510" s="248"/>
      <c r="M510" s="248" t="s">
        <v>808</v>
      </c>
    </row>
    <row r="511" spans="1:13" ht="20.100000000000001" customHeight="1">
      <c r="A511" s="248"/>
      <c r="B511" s="248" t="s">
        <v>4487</v>
      </c>
      <c r="C511" s="248" t="s">
        <v>4057</v>
      </c>
      <c r="D511" s="248"/>
      <c r="E511" s="248"/>
      <c r="F511" s="248"/>
      <c r="G511" s="248" t="s">
        <v>3614</v>
      </c>
      <c r="H511" s="248"/>
      <c r="I511" s="248"/>
      <c r="J511" s="248"/>
      <c r="K511" s="248"/>
      <c r="L511" s="248"/>
      <c r="M511" s="248" t="s">
        <v>3615</v>
      </c>
    </row>
    <row r="512" spans="1:13" ht="20.100000000000001" customHeight="1">
      <c r="A512" s="249"/>
      <c r="B512" s="249" t="s">
        <v>4488</v>
      </c>
      <c r="C512" s="250" t="s">
        <v>4014</v>
      </c>
      <c r="D512" s="249"/>
      <c r="E512" s="249"/>
      <c r="F512" s="249"/>
      <c r="G512" s="249" t="s">
        <v>809</v>
      </c>
      <c r="H512" s="249"/>
      <c r="I512" s="249"/>
      <c r="J512" s="249"/>
      <c r="K512" s="249"/>
      <c r="L512" s="249"/>
      <c r="M512" s="249" t="s">
        <v>810</v>
      </c>
    </row>
    <row r="513" spans="1:13" ht="20.100000000000001" customHeight="1">
      <c r="A513" s="248"/>
      <c r="B513" s="248" t="s">
        <v>4489</v>
      </c>
      <c r="C513" s="248" t="s">
        <v>4012</v>
      </c>
      <c r="D513" s="248"/>
      <c r="E513" s="248"/>
      <c r="F513" s="248"/>
      <c r="G513" s="248" t="s">
        <v>811</v>
      </c>
      <c r="H513" s="248"/>
      <c r="I513" s="248"/>
      <c r="J513" s="248"/>
      <c r="K513" s="248"/>
      <c r="L513" s="248"/>
      <c r="M513" s="248" t="s">
        <v>812</v>
      </c>
    </row>
    <row r="514" spans="1:13" ht="20.100000000000001" customHeight="1">
      <c r="A514" s="249"/>
      <c r="B514" s="249" t="s">
        <v>4490</v>
      </c>
      <c r="C514" s="250" t="s">
        <v>4005</v>
      </c>
      <c r="D514" s="249"/>
      <c r="E514" s="249"/>
      <c r="F514" s="249"/>
      <c r="G514" s="249" t="s">
        <v>813</v>
      </c>
      <c r="H514" s="249"/>
      <c r="I514" s="249"/>
      <c r="J514" s="249"/>
      <c r="K514" s="249"/>
      <c r="L514" s="249"/>
      <c r="M514" s="249" t="s">
        <v>814</v>
      </c>
    </row>
    <row r="515" spans="1:13" ht="20.100000000000001" customHeight="1">
      <c r="A515" s="248"/>
      <c r="B515" s="248" t="s">
        <v>4491</v>
      </c>
      <c r="C515" s="248" t="s">
        <v>4030</v>
      </c>
      <c r="D515" s="248"/>
      <c r="E515" s="248"/>
      <c r="F515" s="248"/>
      <c r="G515" s="248" t="s">
        <v>816</v>
      </c>
      <c r="H515" s="248"/>
      <c r="I515" s="248"/>
      <c r="J515" s="248"/>
      <c r="K515" s="248"/>
      <c r="L515" s="248"/>
      <c r="M515" s="248" t="s">
        <v>815</v>
      </c>
    </row>
    <row r="516" spans="1:13" ht="20.100000000000001" customHeight="1">
      <c r="A516" s="248"/>
      <c r="B516" s="248" t="s">
        <v>4492</v>
      </c>
      <c r="C516" s="248" t="s">
        <v>4036</v>
      </c>
      <c r="D516" s="248"/>
      <c r="E516" s="248"/>
      <c r="F516" s="248"/>
      <c r="G516" s="248" t="s">
        <v>3522</v>
      </c>
      <c r="H516" s="248"/>
      <c r="I516" s="248"/>
      <c r="J516" s="248"/>
      <c r="K516" s="248"/>
      <c r="L516" s="248"/>
      <c r="M516" s="248" t="s">
        <v>817</v>
      </c>
    </row>
    <row r="517" spans="1:13" ht="20.100000000000001" customHeight="1">
      <c r="A517" s="248"/>
      <c r="B517" s="248" t="s">
        <v>4493</v>
      </c>
      <c r="C517" s="248" t="s">
        <v>4014</v>
      </c>
      <c r="D517" s="248"/>
      <c r="E517" s="248"/>
      <c r="F517" s="248"/>
      <c r="G517" s="248" t="s">
        <v>818</v>
      </c>
      <c r="H517" s="248"/>
      <c r="I517" s="248"/>
      <c r="J517" s="248"/>
      <c r="K517" s="248"/>
      <c r="L517" s="248"/>
      <c r="M517" s="248" t="s">
        <v>819</v>
      </c>
    </row>
    <row r="518" spans="1:13" ht="20.100000000000001" customHeight="1">
      <c r="A518" s="248"/>
      <c r="B518" s="248" t="s">
        <v>4494</v>
      </c>
      <c r="C518" s="248" t="s">
        <v>4014</v>
      </c>
      <c r="D518" s="248"/>
      <c r="E518" s="248"/>
      <c r="F518" s="248"/>
      <c r="G518" s="248" t="s">
        <v>820</v>
      </c>
      <c r="H518" s="248"/>
      <c r="I518" s="248"/>
      <c r="J518" s="248"/>
      <c r="K518" s="248"/>
      <c r="L518" s="248"/>
      <c r="M518" s="248" t="s">
        <v>821</v>
      </c>
    </row>
    <row r="519" spans="1:13" ht="20.100000000000001" customHeight="1">
      <c r="A519" s="248"/>
      <c r="B519" s="248" t="s">
        <v>4495</v>
      </c>
      <c r="C519" s="248" t="s">
        <v>4036</v>
      </c>
      <c r="D519" s="248"/>
      <c r="E519" s="248"/>
      <c r="F519" s="248"/>
      <c r="G519" s="248" t="s">
        <v>822</v>
      </c>
      <c r="H519" s="248"/>
      <c r="I519" s="248"/>
      <c r="J519" s="248"/>
      <c r="K519" s="248"/>
      <c r="L519" s="248"/>
      <c r="M519" s="248" t="s">
        <v>823</v>
      </c>
    </row>
    <row r="520" spans="1:13" ht="20.100000000000001" customHeight="1">
      <c r="A520" s="248"/>
      <c r="B520" s="248" t="s">
        <v>4496</v>
      </c>
      <c r="C520" s="248" t="s">
        <v>4016</v>
      </c>
      <c r="D520" s="248"/>
      <c r="E520" s="248"/>
      <c r="F520" s="248"/>
      <c r="G520" s="248" t="s">
        <v>824</v>
      </c>
      <c r="H520" s="248"/>
      <c r="I520" s="248"/>
      <c r="J520" s="248"/>
      <c r="K520" s="248"/>
      <c r="L520" s="248"/>
      <c r="M520" s="248" t="s">
        <v>825</v>
      </c>
    </row>
    <row r="521" spans="1:13" ht="20.100000000000001" customHeight="1">
      <c r="A521" s="248"/>
      <c r="B521" s="248" t="s">
        <v>6239</v>
      </c>
      <c r="C521" s="248" t="s">
        <v>4012</v>
      </c>
      <c r="D521" s="248"/>
      <c r="E521" s="248"/>
      <c r="F521" s="248"/>
      <c r="G521" s="248" t="s">
        <v>6240</v>
      </c>
      <c r="H521" s="248"/>
      <c r="I521" s="248"/>
      <c r="J521" s="248"/>
      <c r="K521" s="248"/>
      <c r="L521" s="248"/>
      <c r="M521" s="248" t="s">
        <v>6241</v>
      </c>
    </row>
    <row r="522" spans="1:13" ht="20.100000000000001" customHeight="1">
      <c r="A522" s="248"/>
      <c r="B522" s="248" t="s">
        <v>4497</v>
      </c>
      <c r="C522" s="248" t="s">
        <v>4036</v>
      </c>
      <c r="D522" s="248"/>
      <c r="E522" s="248"/>
      <c r="F522" s="248"/>
      <c r="G522" s="248" t="s">
        <v>826</v>
      </c>
      <c r="H522" s="248"/>
      <c r="I522" s="248"/>
      <c r="J522" s="248"/>
      <c r="K522" s="248"/>
      <c r="L522" s="248"/>
      <c r="M522" s="248" t="s">
        <v>827</v>
      </c>
    </row>
    <row r="523" spans="1:13" ht="20.100000000000001" customHeight="1">
      <c r="A523" s="248"/>
      <c r="B523" s="248" t="s">
        <v>4498</v>
      </c>
      <c r="C523" s="248" t="s">
        <v>4014</v>
      </c>
      <c r="D523" s="248"/>
      <c r="E523" s="248"/>
      <c r="F523" s="248"/>
      <c r="G523" s="248" t="s">
        <v>828</v>
      </c>
      <c r="H523" s="248"/>
      <c r="I523" s="248"/>
      <c r="J523" s="248"/>
      <c r="K523" s="248"/>
      <c r="L523" s="248"/>
      <c r="M523" s="248" t="s">
        <v>3550</v>
      </c>
    </row>
    <row r="524" spans="1:13" ht="20.100000000000001" customHeight="1">
      <c r="A524" s="248"/>
      <c r="B524" s="248" t="s">
        <v>4499</v>
      </c>
      <c r="C524" s="248" t="s">
        <v>4012</v>
      </c>
      <c r="D524" s="248"/>
      <c r="E524" s="248"/>
      <c r="F524" s="248"/>
      <c r="G524" s="248" t="s">
        <v>829</v>
      </c>
      <c r="H524" s="248"/>
      <c r="I524" s="248"/>
      <c r="J524" s="248"/>
      <c r="K524" s="248"/>
      <c r="L524" s="248"/>
      <c r="M524" s="248" t="s">
        <v>830</v>
      </c>
    </row>
    <row r="525" spans="1:13" ht="20.100000000000001" customHeight="1">
      <c r="A525" s="248"/>
      <c r="B525" s="248" t="s">
        <v>4500</v>
      </c>
      <c r="C525" s="248" t="s">
        <v>4036</v>
      </c>
      <c r="D525" s="248"/>
      <c r="E525" s="248"/>
      <c r="F525" s="248"/>
      <c r="G525" s="248" t="s">
        <v>831</v>
      </c>
      <c r="H525" s="248"/>
      <c r="I525" s="248"/>
      <c r="J525" s="248"/>
      <c r="K525" s="248"/>
      <c r="L525" s="248"/>
      <c r="M525" s="248" t="s">
        <v>832</v>
      </c>
    </row>
    <row r="526" spans="1:13" ht="20.100000000000001" customHeight="1">
      <c r="A526" s="248"/>
      <c r="B526" s="248" t="s">
        <v>4501</v>
      </c>
      <c r="C526" s="248" t="s">
        <v>4014</v>
      </c>
      <c r="D526" s="248"/>
      <c r="E526" s="248"/>
      <c r="F526" s="248"/>
      <c r="G526" s="248" t="s">
        <v>833</v>
      </c>
      <c r="H526" s="248"/>
      <c r="I526" s="248"/>
      <c r="J526" s="248"/>
      <c r="K526" s="248"/>
      <c r="L526" s="248"/>
      <c r="M526" s="248" t="s">
        <v>834</v>
      </c>
    </row>
    <row r="527" spans="1:13" ht="20.100000000000001" customHeight="1">
      <c r="A527" s="248"/>
      <c r="B527" s="248" t="s">
        <v>4502</v>
      </c>
      <c r="C527" s="248" t="s">
        <v>4036</v>
      </c>
      <c r="D527" s="248"/>
      <c r="E527" s="248"/>
      <c r="F527" s="248"/>
      <c r="G527" s="248" t="s">
        <v>835</v>
      </c>
      <c r="H527" s="248"/>
      <c r="I527" s="248"/>
      <c r="J527" s="248"/>
      <c r="K527" s="248"/>
      <c r="L527" s="248"/>
      <c r="M527" s="248" t="s">
        <v>836</v>
      </c>
    </row>
    <row r="528" spans="1:13" ht="20.100000000000001" customHeight="1">
      <c r="A528" s="248"/>
      <c r="B528" s="248" t="s">
        <v>4503</v>
      </c>
      <c r="C528" s="248" t="s">
        <v>4014</v>
      </c>
      <c r="D528" s="248"/>
      <c r="E528" s="248"/>
      <c r="F528" s="248"/>
      <c r="G528" s="248" t="s">
        <v>3783</v>
      </c>
      <c r="H528" s="248"/>
      <c r="I528" s="248"/>
      <c r="J528" s="248"/>
      <c r="K528" s="248"/>
      <c r="L528" s="248"/>
      <c r="M528" s="248" t="s">
        <v>3784</v>
      </c>
    </row>
    <row r="529" spans="1:13" ht="20.100000000000001" customHeight="1">
      <c r="A529" s="248"/>
      <c r="B529" s="248" t="s">
        <v>6615</v>
      </c>
      <c r="C529" s="248" t="s">
        <v>4036</v>
      </c>
      <c r="D529" s="248"/>
      <c r="E529" s="248"/>
      <c r="F529" s="248"/>
      <c r="G529" s="248" t="s">
        <v>6616</v>
      </c>
      <c r="H529" s="248"/>
      <c r="I529" s="248"/>
      <c r="J529" s="248"/>
      <c r="K529" s="248"/>
      <c r="L529" s="248"/>
      <c r="M529" s="248" t="s">
        <v>6617</v>
      </c>
    </row>
    <row r="530" spans="1:13" ht="20.100000000000001" customHeight="1">
      <c r="A530" s="248"/>
      <c r="B530" s="248" t="s">
        <v>4504</v>
      </c>
      <c r="C530" s="248" t="s">
        <v>4121</v>
      </c>
      <c r="D530" s="248"/>
      <c r="E530" s="248"/>
      <c r="F530" s="248"/>
      <c r="G530" s="248" t="s">
        <v>837</v>
      </c>
      <c r="H530" s="248"/>
      <c r="I530" s="248"/>
      <c r="J530" s="248"/>
      <c r="K530" s="248"/>
      <c r="L530" s="248"/>
      <c r="M530" s="248" t="s">
        <v>838</v>
      </c>
    </row>
    <row r="531" spans="1:13" ht="20.100000000000001" customHeight="1">
      <c r="A531" s="248"/>
      <c r="B531" s="248" t="s">
        <v>6483</v>
      </c>
      <c r="C531" s="248" t="s">
        <v>4057</v>
      </c>
      <c r="D531" s="248"/>
      <c r="E531" s="248"/>
      <c r="F531" s="248"/>
      <c r="G531" s="248" t="s">
        <v>6484</v>
      </c>
      <c r="H531" s="248"/>
      <c r="I531" s="248"/>
      <c r="J531" s="248"/>
      <c r="K531" s="248"/>
      <c r="L531" s="248"/>
      <c r="M531" s="248" t="s">
        <v>6485</v>
      </c>
    </row>
    <row r="532" spans="1:13" ht="20.100000000000001" customHeight="1">
      <c r="A532" s="248"/>
      <c r="B532" s="248" t="s">
        <v>4505</v>
      </c>
      <c r="C532" s="248" t="s">
        <v>4008</v>
      </c>
      <c r="D532" s="248"/>
      <c r="E532" s="248"/>
      <c r="F532" s="248"/>
      <c r="G532" s="248" t="s">
        <v>3009</v>
      </c>
      <c r="H532" s="248"/>
      <c r="I532" s="248"/>
      <c r="J532" s="248"/>
      <c r="K532" s="248"/>
      <c r="L532" s="248"/>
      <c r="M532" s="248" t="s">
        <v>3010</v>
      </c>
    </row>
    <row r="533" spans="1:13" ht="20.100000000000001" customHeight="1">
      <c r="A533" s="248"/>
      <c r="B533" s="248" t="s">
        <v>4506</v>
      </c>
      <c r="C533" s="248" t="s">
        <v>4036</v>
      </c>
      <c r="D533" s="248"/>
      <c r="E533" s="248"/>
      <c r="F533" s="248"/>
      <c r="G533" s="248" t="s">
        <v>839</v>
      </c>
      <c r="H533" s="248"/>
      <c r="I533" s="248"/>
      <c r="J533" s="248"/>
      <c r="K533" s="248"/>
      <c r="L533" s="248"/>
      <c r="M533" s="248" t="s">
        <v>840</v>
      </c>
    </row>
    <row r="534" spans="1:13" ht="20.100000000000001" customHeight="1">
      <c r="A534" s="248"/>
      <c r="B534" s="248" t="s">
        <v>4507</v>
      </c>
      <c r="C534" s="248" t="s">
        <v>4121</v>
      </c>
      <c r="D534" s="248"/>
      <c r="E534" s="248"/>
      <c r="F534" s="248"/>
      <c r="G534" s="248" t="s">
        <v>841</v>
      </c>
      <c r="H534" s="248"/>
      <c r="I534" s="248"/>
      <c r="J534" s="248"/>
      <c r="K534" s="248"/>
      <c r="L534" s="248"/>
      <c r="M534" s="248" t="s">
        <v>842</v>
      </c>
    </row>
    <row r="535" spans="1:13" ht="20.100000000000001" customHeight="1">
      <c r="A535" s="248"/>
      <c r="B535" s="248" t="s">
        <v>4508</v>
      </c>
      <c r="C535" s="248" t="s">
        <v>4008</v>
      </c>
      <c r="D535" s="248"/>
      <c r="E535" s="248"/>
      <c r="F535" s="248"/>
      <c r="G535" s="248" t="s">
        <v>843</v>
      </c>
      <c r="H535" s="248"/>
      <c r="I535" s="248"/>
      <c r="J535" s="248"/>
      <c r="K535" s="248"/>
      <c r="L535" s="248"/>
      <c r="M535" s="248" t="s">
        <v>3550</v>
      </c>
    </row>
    <row r="536" spans="1:13" ht="20.100000000000001" customHeight="1">
      <c r="A536" s="248"/>
      <c r="B536" s="248" t="s">
        <v>4509</v>
      </c>
      <c r="C536" s="248" t="s">
        <v>4003</v>
      </c>
      <c r="D536" s="248"/>
      <c r="E536" s="248"/>
      <c r="F536" s="248"/>
      <c r="G536" s="248" t="s">
        <v>844</v>
      </c>
      <c r="H536" s="248"/>
      <c r="I536" s="248"/>
      <c r="J536" s="248"/>
      <c r="K536" s="248"/>
      <c r="L536" s="248"/>
      <c r="M536" s="248" t="s">
        <v>845</v>
      </c>
    </row>
    <row r="537" spans="1:13" ht="20.100000000000001" customHeight="1">
      <c r="A537" s="248"/>
      <c r="B537" s="248" t="s">
        <v>4510</v>
      </c>
      <c r="C537" s="248" t="s">
        <v>4030</v>
      </c>
      <c r="D537" s="248"/>
      <c r="E537" s="248"/>
      <c r="F537" s="248"/>
      <c r="G537" s="248" t="s">
        <v>846</v>
      </c>
      <c r="H537" s="248"/>
      <c r="I537" s="248"/>
      <c r="J537" s="248"/>
      <c r="K537" s="248"/>
      <c r="L537" s="248"/>
      <c r="M537" s="248" t="s">
        <v>847</v>
      </c>
    </row>
    <row r="538" spans="1:13" ht="20.100000000000001" customHeight="1">
      <c r="A538" s="248"/>
      <c r="B538" s="248" t="s">
        <v>4511</v>
      </c>
      <c r="C538" s="248" t="s">
        <v>4012</v>
      </c>
      <c r="D538" s="248"/>
      <c r="E538" s="248"/>
      <c r="F538" s="248"/>
      <c r="G538" s="248" t="s">
        <v>848</v>
      </c>
      <c r="H538" s="248"/>
      <c r="I538" s="248"/>
      <c r="J538" s="248"/>
      <c r="K538" s="248"/>
      <c r="L538" s="248"/>
      <c r="M538" s="248" t="s">
        <v>3550</v>
      </c>
    </row>
    <row r="539" spans="1:13" ht="20.100000000000001" customHeight="1">
      <c r="A539" s="248"/>
      <c r="B539" s="248" t="s">
        <v>4512</v>
      </c>
      <c r="C539" s="248" t="s">
        <v>4016</v>
      </c>
      <c r="D539" s="248"/>
      <c r="E539" s="248"/>
      <c r="F539" s="248"/>
      <c r="G539" s="248" t="s">
        <v>849</v>
      </c>
      <c r="H539" s="248"/>
      <c r="I539" s="248"/>
      <c r="J539" s="248"/>
      <c r="K539" s="248"/>
      <c r="L539" s="248"/>
      <c r="M539" s="248" t="s">
        <v>850</v>
      </c>
    </row>
    <row r="540" spans="1:13" ht="20.100000000000001" customHeight="1">
      <c r="A540" s="248"/>
      <c r="B540" s="248" t="s">
        <v>4513</v>
      </c>
      <c r="C540" s="248" t="s">
        <v>4036</v>
      </c>
      <c r="D540" s="248"/>
      <c r="E540" s="248"/>
      <c r="F540" s="248"/>
      <c r="G540" s="248" t="s">
        <v>3903</v>
      </c>
      <c r="H540" s="248"/>
      <c r="I540" s="248"/>
      <c r="J540" s="248"/>
      <c r="K540" s="248"/>
      <c r="L540" s="248"/>
      <c r="M540" s="248" t="s">
        <v>3904</v>
      </c>
    </row>
    <row r="541" spans="1:13" ht="20.100000000000001" customHeight="1">
      <c r="A541" s="248"/>
      <c r="B541" s="248" t="s">
        <v>4514</v>
      </c>
      <c r="C541" s="248" t="s">
        <v>4016</v>
      </c>
      <c r="D541" s="248"/>
      <c r="E541" s="248"/>
      <c r="F541" s="248"/>
      <c r="G541" s="248" t="s">
        <v>851</v>
      </c>
      <c r="H541" s="248"/>
      <c r="I541" s="248"/>
      <c r="J541" s="248"/>
      <c r="K541" s="248"/>
      <c r="L541" s="248"/>
      <c r="M541" s="248" t="s">
        <v>852</v>
      </c>
    </row>
    <row r="542" spans="1:13" ht="20.100000000000001" customHeight="1">
      <c r="A542" s="248"/>
      <c r="B542" s="248" t="s">
        <v>4515</v>
      </c>
      <c r="C542" s="248" t="s">
        <v>4003</v>
      </c>
      <c r="D542" s="248"/>
      <c r="E542" s="248"/>
      <c r="F542" s="248"/>
      <c r="G542" s="248" t="s">
        <v>853</v>
      </c>
      <c r="H542" s="248"/>
      <c r="I542" s="248"/>
      <c r="J542" s="248"/>
      <c r="K542" s="248"/>
      <c r="L542" s="248"/>
      <c r="M542" s="248" t="s">
        <v>854</v>
      </c>
    </row>
    <row r="543" spans="1:13" ht="20.100000000000001" customHeight="1">
      <c r="A543" s="248"/>
      <c r="B543" s="248" t="s">
        <v>4516</v>
      </c>
      <c r="C543" s="248" t="s">
        <v>4008</v>
      </c>
      <c r="D543" s="248"/>
      <c r="E543" s="248"/>
      <c r="F543" s="248"/>
      <c r="G543" s="248" t="s">
        <v>855</v>
      </c>
      <c r="H543" s="248"/>
      <c r="I543" s="248"/>
      <c r="J543" s="248"/>
      <c r="K543" s="248"/>
      <c r="L543" s="248"/>
      <c r="M543" s="248" t="s">
        <v>856</v>
      </c>
    </row>
    <row r="544" spans="1:13" ht="20.100000000000001" customHeight="1">
      <c r="A544" s="248"/>
      <c r="B544" s="248" t="s">
        <v>4517</v>
      </c>
      <c r="C544" s="248" t="s">
        <v>4030</v>
      </c>
      <c r="D544" s="248"/>
      <c r="E544" s="248"/>
      <c r="F544" s="248"/>
      <c r="G544" s="248" t="s">
        <v>3353</v>
      </c>
      <c r="H544" s="248"/>
      <c r="I544" s="248"/>
      <c r="J544" s="248"/>
      <c r="K544" s="248"/>
      <c r="L544" s="248"/>
      <c r="M544" s="248" t="s">
        <v>3354</v>
      </c>
    </row>
    <row r="545" spans="1:13" ht="20.100000000000001" customHeight="1">
      <c r="A545" s="248"/>
      <c r="B545" s="248" t="s">
        <v>4518</v>
      </c>
      <c r="C545" s="248" t="s">
        <v>4030</v>
      </c>
      <c r="D545" s="248"/>
      <c r="E545" s="248"/>
      <c r="F545" s="248"/>
      <c r="G545" s="248" t="s">
        <v>857</v>
      </c>
      <c r="H545" s="248"/>
      <c r="I545" s="248"/>
      <c r="J545" s="248"/>
      <c r="K545" s="248"/>
      <c r="L545" s="248"/>
      <c r="M545" s="248" t="s">
        <v>858</v>
      </c>
    </row>
    <row r="546" spans="1:13" ht="20.100000000000001" customHeight="1">
      <c r="A546" s="248"/>
      <c r="B546" s="248" t="s">
        <v>4519</v>
      </c>
      <c r="C546" s="248" t="s">
        <v>4030</v>
      </c>
      <c r="D546" s="248"/>
      <c r="E546" s="248"/>
      <c r="F546" s="248"/>
      <c r="G546" s="248" t="s">
        <v>859</v>
      </c>
      <c r="H546" s="248"/>
      <c r="I546" s="248"/>
      <c r="J546" s="248"/>
      <c r="K546" s="248"/>
      <c r="L546" s="248"/>
      <c r="M546" s="248" t="s">
        <v>860</v>
      </c>
    </row>
    <row r="547" spans="1:13" ht="20.100000000000001" customHeight="1">
      <c r="A547" s="248"/>
      <c r="B547" s="248" t="s">
        <v>4520</v>
      </c>
      <c r="C547" s="248" t="s">
        <v>4025</v>
      </c>
      <c r="D547" s="248"/>
      <c r="E547" s="248"/>
      <c r="F547" s="248"/>
      <c r="G547" s="248" t="s">
        <v>861</v>
      </c>
      <c r="H547" s="248"/>
      <c r="I547" s="248"/>
      <c r="J547" s="248"/>
      <c r="K547" s="248"/>
      <c r="L547" s="248"/>
      <c r="M547" s="248" t="s">
        <v>3207</v>
      </c>
    </row>
    <row r="548" spans="1:13" ht="20.100000000000001" customHeight="1">
      <c r="A548" s="248"/>
      <c r="B548" s="248" t="s">
        <v>4521</v>
      </c>
      <c r="C548" s="248" t="s">
        <v>4016</v>
      </c>
      <c r="D548" s="248"/>
      <c r="E548" s="248"/>
      <c r="F548" s="248"/>
      <c r="G548" s="248" t="s">
        <v>862</v>
      </c>
      <c r="H548" s="248"/>
      <c r="I548" s="248"/>
      <c r="J548" s="248"/>
      <c r="K548" s="248"/>
      <c r="L548" s="248"/>
      <c r="M548" s="248" t="s">
        <v>863</v>
      </c>
    </row>
    <row r="549" spans="1:13" ht="20.100000000000001" customHeight="1">
      <c r="A549" s="248"/>
      <c r="B549" s="248" t="s">
        <v>4522</v>
      </c>
      <c r="C549" s="248" t="s">
        <v>4016</v>
      </c>
      <c r="D549" s="248"/>
      <c r="E549" s="248"/>
      <c r="F549" s="248"/>
      <c r="G549" s="248" t="s">
        <v>864</v>
      </c>
      <c r="H549" s="248"/>
      <c r="I549" s="248"/>
      <c r="J549" s="248"/>
      <c r="K549" s="248"/>
      <c r="L549" s="248"/>
      <c r="M549" s="248" t="s">
        <v>865</v>
      </c>
    </row>
    <row r="550" spans="1:13" ht="20.100000000000001" customHeight="1">
      <c r="A550" s="248"/>
      <c r="B550" s="248" t="s">
        <v>4523</v>
      </c>
      <c r="C550" s="248" t="s">
        <v>4016</v>
      </c>
      <c r="D550" s="248"/>
      <c r="E550" s="248"/>
      <c r="F550" s="248"/>
      <c r="G550" s="248" t="s">
        <v>866</v>
      </c>
      <c r="H550" s="248"/>
      <c r="I550" s="248"/>
      <c r="J550" s="248"/>
      <c r="K550" s="248"/>
      <c r="L550" s="248"/>
      <c r="M550" s="248" t="s">
        <v>867</v>
      </c>
    </row>
    <row r="551" spans="1:13" ht="20.100000000000001" customHeight="1">
      <c r="A551" s="248"/>
      <c r="B551" s="248" t="s">
        <v>4524</v>
      </c>
      <c r="C551" s="248" t="s">
        <v>4036</v>
      </c>
      <c r="D551" s="248"/>
      <c r="E551" s="248"/>
      <c r="F551" s="248"/>
      <c r="G551" s="248" t="s">
        <v>3942</v>
      </c>
      <c r="H551" s="248"/>
      <c r="I551" s="248"/>
      <c r="J551" s="248"/>
      <c r="K551" s="248"/>
      <c r="L551" s="248"/>
      <c r="M551" s="248" t="s">
        <v>3943</v>
      </c>
    </row>
    <row r="552" spans="1:13" ht="20.100000000000001" customHeight="1">
      <c r="A552" s="248"/>
      <c r="B552" s="248" t="s">
        <v>4525</v>
      </c>
      <c r="C552" s="248" t="s">
        <v>4030</v>
      </c>
      <c r="D552" s="248"/>
      <c r="E552" s="248"/>
      <c r="F552" s="248"/>
      <c r="G552" s="248" t="s">
        <v>868</v>
      </c>
      <c r="H552" s="248"/>
      <c r="I552" s="248"/>
      <c r="J552" s="248"/>
      <c r="K552" s="248"/>
      <c r="L552" s="248"/>
      <c r="M552" s="248" t="s">
        <v>869</v>
      </c>
    </row>
    <row r="553" spans="1:13" ht="20.100000000000001" customHeight="1">
      <c r="A553" s="248"/>
      <c r="B553" s="248" t="s">
        <v>4526</v>
      </c>
      <c r="C553" s="248" t="s">
        <v>4146</v>
      </c>
      <c r="D553" s="248"/>
      <c r="E553" s="248"/>
      <c r="F553" s="248"/>
      <c r="G553" s="248" t="s">
        <v>870</v>
      </c>
      <c r="H553" s="248"/>
      <c r="I553" s="248"/>
      <c r="J553" s="248"/>
      <c r="K553" s="248"/>
      <c r="L553" s="248"/>
      <c r="M553" s="248" t="s">
        <v>871</v>
      </c>
    </row>
    <row r="554" spans="1:13" ht="20.100000000000001" customHeight="1">
      <c r="A554" s="248"/>
      <c r="B554" s="248" t="s">
        <v>4527</v>
      </c>
      <c r="C554" s="248" t="s">
        <v>4003</v>
      </c>
      <c r="D554" s="248"/>
      <c r="E554" s="248"/>
      <c r="F554" s="248"/>
      <c r="G554" s="248" t="s">
        <v>872</v>
      </c>
      <c r="H554" s="248"/>
      <c r="I554" s="248"/>
      <c r="J554" s="248"/>
      <c r="K554" s="248"/>
      <c r="L554" s="248"/>
      <c r="M554" s="248" t="s">
        <v>873</v>
      </c>
    </row>
    <row r="555" spans="1:13" ht="20.100000000000001" customHeight="1">
      <c r="A555" s="248"/>
      <c r="B555" s="248" t="s">
        <v>4528</v>
      </c>
      <c r="C555" s="248" t="s">
        <v>4012</v>
      </c>
      <c r="D555" s="248"/>
      <c r="E555" s="248"/>
      <c r="F555" s="248"/>
      <c r="G555" s="248" t="s">
        <v>874</v>
      </c>
      <c r="H555" s="248"/>
      <c r="I555" s="248"/>
      <c r="J555" s="248"/>
      <c r="K555" s="248"/>
      <c r="L555" s="248"/>
      <c r="M555" s="248" t="s">
        <v>875</v>
      </c>
    </row>
    <row r="556" spans="1:13" ht="20.100000000000001" customHeight="1">
      <c r="A556" s="248"/>
      <c r="B556" s="248" t="s">
        <v>4529</v>
      </c>
      <c r="C556" s="248" t="s">
        <v>4008</v>
      </c>
      <c r="D556" s="248"/>
      <c r="E556" s="248"/>
      <c r="F556" s="248"/>
      <c r="G556" s="248" t="s">
        <v>3834</v>
      </c>
      <c r="H556" s="248"/>
      <c r="I556" s="248"/>
      <c r="J556" s="248"/>
      <c r="K556" s="248"/>
      <c r="L556" s="248"/>
      <c r="M556" s="248" t="s">
        <v>3835</v>
      </c>
    </row>
    <row r="557" spans="1:13" ht="20.100000000000001" customHeight="1">
      <c r="A557" s="248"/>
      <c r="B557" s="248" t="s">
        <v>4530</v>
      </c>
      <c r="C557" s="248" t="s">
        <v>4036</v>
      </c>
      <c r="D557" s="248"/>
      <c r="E557" s="248"/>
      <c r="F557" s="248"/>
      <c r="G557" s="248" t="s">
        <v>876</v>
      </c>
      <c r="H557" s="248"/>
      <c r="I557" s="248"/>
      <c r="J557" s="248"/>
      <c r="K557" s="248"/>
      <c r="L557" s="248"/>
      <c r="M557" s="248" t="s">
        <v>877</v>
      </c>
    </row>
    <row r="558" spans="1:13" ht="20.100000000000001" customHeight="1">
      <c r="A558" s="248"/>
      <c r="B558" s="248" t="s">
        <v>4531</v>
      </c>
      <c r="C558" s="248" t="s">
        <v>4008</v>
      </c>
      <c r="D558" s="248"/>
      <c r="E558" s="248"/>
      <c r="F558" s="248"/>
      <c r="G558" s="248" t="s">
        <v>3636</v>
      </c>
      <c r="H558" s="248"/>
      <c r="I558" s="248"/>
      <c r="J558" s="248"/>
      <c r="K558" s="248"/>
      <c r="L558" s="248"/>
      <c r="M558" s="248" t="s">
        <v>3637</v>
      </c>
    </row>
    <row r="559" spans="1:13" ht="20.100000000000001" customHeight="1">
      <c r="A559" s="248"/>
      <c r="B559" s="248" t="s">
        <v>4532</v>
      </c>
      <c r="C559" s="248" t="s">
        <v>4533</v>
      </c>
      <c r="D559" s="248"/>
      <c r="E559" s="248"/>
      <c r="F559" s="248"/>
      <c r="G559" s="248" t="s">
        <v>3027</v>
      </c>
      <c r="H559" s="248"/>
      <c r="I559" s="248"/>
      <c r="J559" s="248"/>
      <c r="K559" s="248"/>
      <c r="L559" s="248"/>
      <c r="M559" s="248" t="s">
        <v>878</v>
      </c>
    </row>
    <row r="560" spans="1:13" ht="20.100000000000001" customHeight="1">
      <c r="A560" s="248"/>
      <c r="B560" s="248" t="s">
        <v>4534</v>
      </c>
      <c r="C560" s="248" t="s">
        <v>4124</v>
      </c>
      <c r="D560" s="248"/>
      <c r="E560" s="248"/>
      <c r="F560" s="248"/>
      <c r="G560" s="248" t="s">
        <v>879</v>
      </c>
      <c r="H560" s="248"/>
      <c r="I560" s="248"/>
      <c r="J560" s="248"/>
      <c r="K560" s="248"/>
      <c r="L560" s="248"/>
      <c r="M560" s="248" t="s">
        <v>880</v>
      </c>
    </row>
    <row r="561" spans="1:13" ht="20.100000000000001" customHeight="1">
      <c r="A561" s="248"/>
      <c r="B561" s="248" t="s">
        <v>4535</v>
      </c>
      <c r="C561" s="248" t="s">
        <v>4003</v>
      </c>
      <c r="D561" s="248"/>
      <c r="E561" s="248"/>
      <c r="F561" s="248"/>
      <c r="G561" s="248" t="s">
        <v>881</v>
      </c>
      <c r="H561" s="248"/>
      <c r="I561" s="248"/>
      <c r="J561" s="248"/>
      <c r="K561" s="248"/>
      <c r="L561" s="248"/>
      <c r="M561" s="248" t="s">
        <v>882</v>
      </c>
    </row>
    <row r="562" spans="1:13" ht="20.100000000000001" customHeight="1">
      <c r="A562" s="248"/>
      <c r="B562" s="248" t="s">
        <v>4535</v>
      </c>
      <c r="C562" s="248" t="s">
        <v>4003</v>
      </c>
      <c r="D562" s="248"/>
      <c r="E562" s="248"/>
      <c r="F562" s="248"/>
      <c r="G562" s="248" t="s">
        <v>883</v>
      </c>
      <c r="H562" s="248"/>
      <c r="I562" s="248"/>
      <c r="J562" s="248"/>
      <c r="K562" s="248"/>
      <c r="L562" s="248"/>
      <c r="M562" s="248" t="s">
        <v>884</v>
      </c>
    </row>
    <row r="563" spans="1:13" ht="20.100000000000001" customHeight="1">
      <c r="A563" s="248"/>
      <c r="B563" s="248" t="s">
        <v>4536</v>
      </c>
      <c r="C563" s="248" t="s">
        <v>4003</v>
      </c>
      <c r="D563" s="248"/>
      <c r="E563" s="248"/>
      <c r="F563" s="248"/>
      <c r="G563" s="248" t="s">
        <v>887</v>
      </c>
      <c r="H563" s="248"/>
      <c r="I563" s="248"/>
      <c r="J563" s="248"/>
      <c r="K563" s="248"/>
      <c r="L563" s="248"/>
      <c r="M563" s="248" t="s">
        <v>3550</v>
      </c>
    </row>
    <row r="564" spans="1:13" ht="20.100000000000001" customHeight="1">
      <c r="A564" s="248"/>
      <c r="B564" s="248" t="s">
        <v>4537</v>
      </c>
      <c r="C564" s="248" t="s">
        <v>4030</v>
      </c>
      <c r="D564" s="248"/>
      <c r="E564" s="248"/>
      <c r="F564" s="248"/>
      <c r="G564" s="248" t="s">
        <v>888</v>
      </c>
      <c r="H564" s="248"/>
      <c r="I564" s="248"/>
      <c r="J564" s="248"/>
      <c r="K564" s="248"/>
      <c r="L564" s="248"/>
      <c r="M564" s="248" t="s">
        <v>860</v>
      </c>
    </row>
    <row r="565" spans="1:13" ht="20.100000000000001" customHeight="1">
      <c r="A565" s="248"/>
      <c r="B565" s="248" t="s">
        <v>4538</v>
      </c>
      <c r="C565" s="248" t="s">
        <v>4036</v>
      </c>
      <c r="D565" s="248"/>
      <c r="E565" s="248"/>
      <c r="F565" s="248"/>
      <c r="G565" s="248" t="s">
        <v>889</v>
      </c>
      <c r="H565" s="248"/>
      <c r="I565" s="248"/>
      <c r="J565" s="248"/>
      <c r="K565" s="248"/>
      <c r="L565" s="248"/>
      <c r="M565" s="248" t="s">
        <v>890</v>
      </c>
    </row>
    <row r="566" spans="1:13" ht="20.100000000000001" customHeight="1">
      <c r="A566" s="248"/>
      <c r="B566" s="248" t="s">
        <v>4539</v>
      </c>
      <c r="C566" s="248" t="s">
        <v>4012</v>
      </c>
      <c r="D566" s="248"/>
      <c r="E566" s="248"/>
      <c r="F566" s="248"/>
      <c r="G566" s="248" t="s">
        <v>891</v>
      </c>
      <c r="H566" s="248"/>
      <c r="I566" s="248"/>
      <c r="J566" s="248"/>
      <c r="K566" s="248"/>
      <c r="L566" s="248"/>
      <c r="M566" s="248" t="s">
        <v>892</v>
      </c>
    </row>
    <row r="567" spans="1:13" ht="20.100000000000001" customHeight="1">
      <c r="A567" s="248"/>
      <c r="B567" s="248" t="s">
        <v>4540</v>
      </c>
      <c r="C567" s="248" t="s">
        <v>4057</v>
      </c>
      <c r="D567" s="248"/>
      <c r="E567" s="248"/>
      <c r="F567" s="248"/>
      <c r="G567" s="248" t="s">
        <v>893</v>
      </c>
      <c r="H567" s="248"/>
      <c r="I567" s="248"/>
      <c r="J567" s="248"/>
      <c r="K567" s="248"/>
      <c r="L567" s="248"/>
      <c r="M567" s="248" t="s">
        <v>894</v>
      </c>
    </row>
    <row r="568" spans="1:13" ht="20.100000000000001" customHeight="1">
      <c r="A568" s="248"/>
      <c r="B568" s="248" t="s">
        <v>4541</v>
      </c>
      <c r="C568" s="248" t="s">
        <v>4030</v>
      </c>
      <c r="D568" s="248"/>
      <c r="E568" s="248"/>
      <c r="F568" s="248"/>
      <c r="G568" s="248" t="s">
        <v>3751</v>
      </c>
      <c r="H568" s="248"/>
      <c r="I568" s="248"/>
      <c r="J568" s="248"/>
      <c r="K568" s="248"/>
      <c r="L568" s="248"/>
      <c r="M568" s="248" t="s">
        <v>860</v>
      </c>
    </row>
    <row r="569" spans="1:13" ht="20.100000000000001" customHeight="1">
      <c r="A569" s="248"/>
      <c r="B569" s="248" t="s">
        <v>4542</v>
      </c>
      <c r="C569" s="248" t="s">
        <v>4008</v>
      </c>
      <c r="D569" s="248"/>
      <c r="E569" s="248"/>
      <c r="F569" s="248"/>
      <c r="G569" s="248" t="s">
        <v>3296</v>
      </c>
      <c r="H569" s="248"/>
      <c r="I569" s="248"/>
      <c r="J569" s="248"/>
      <c r="K569" s="248"/>
      <c r="L569" s="248"/>
      <c r="M569" s="248" t="s">
        <v>3550</v>
      </c>
    </row>
    <row r="570" spans="1:13" ht="20.100000000000001" customHeight="1">
      <c r="A570" s="248"/>
      <c r="B570" s="248" t="s">
        <v>4543</v>
      </c>
      <c r="C570" s="248" t="s">
        <v>4003</v>
      </c>
      <c r="D570" s="248"/>
      <c r="E570" s="248"/>
      <c r="F570" s="248"/>
      <c r="G570" s="248" t="s">
        <v>895</v>
      </c>
      <c r="H570" s="248"/>
      <c r="I570" s="248"/>
      <c r="J570" s="248"/>
      <c r="K570" s="248"/>
      <c r="L570" s="248"/>
      <c r="M570" s="248" t="s">
        <v>896</v>
      </c>
    </row>
    <row r="571" spans="1:13" ht="20.100000000000001" customHeight="1">
      <c r="A571" s="248"/>
      <c r="B571" s="248" t="s">
        <v>4544</v>
      </c>
      <c r="C571" s="248" t="s">
        <v>4012</v>
      </c>
      <c r="D571" s="248"/>
      <c r="E571" s="248"/>
      <c r="F571" s="248"/>
      <c r="G571" s="248" t="s">
        <v>897</v>
      </c>
      <c r="H571" s="248"/>
      <c r="I571" s="248"/>
      <c r="J571" s="248"/>
      <c r="K571" s="248"/>
      <c r="L571" s="248"/>
      <c r="M571" s="248" t="s">
        <v>898</v>
      </c>
    </row>
    <row r="572" spans="1:13" ht="20.100000000000001" customHeight="1">
      <c r="A572" s="248"/>
      <c r="B572" s="248" t="s">
        <v>4545</v>
      </c>
      <c r="C572" s="248" t="s">
        <v>4008</v>
      </c>
      <c r="D572" s="248"/>
      <c r="E572" s="248"/>
      <c r="F572" s="248"/>
      <c r="G572" s="248" t="s">
        <v>899</v>
      </c>
      <c r="H572" s="248"/>
      <c r="I572" s="248"/>
      <c r="J572" s="248"/>
      <c r="K572" s="248"/>
      <c r="L572" s="248"/>
      <c r="M572" s="248" t="s">
        <v>900</v>
      </c>
    </row>
    <row r="573" spans="1:13" ht="20.100000000000001" customHeight="1">
      <c r="A573" s="248"/>
      <c r="B573" s="248" t="s">
        <v>4546</v>
      </c>
      <c r="C573" s="248" t="s">
        <v>4003</v>
      </c>
      <c r="D573" s="248"/>
      <c r="E573" s="248"/>
      <c r="F573" s="248"/>
      <c r="G573" s="248" t="s">
        <v>901</v>
      </c>
      <c r="H573" s="248"/>
      <c r="I573" s="248"/>
      <c r="J573" s="248"/>
      <c r="K573" s="248"/>
      <c r="L573" s="248"/>
      <c r="M573" s="248" t="s">
        <v>902</v>
      </c>
    </row>
    <row r="574" spans="1:13" ht="20.100000000000001" customHeight="1">
      <c r="A574" s="248"/>
      <c r="B574" s="248" t="s">
        <v>4547</v>
      </c>
      <c r="C574" s="248" t="s">
        <v>4012</v>
      </c>
      <c r="D574" s="248"/>
      <c r="E574" s="248"/>
      <c r="F574" s="248"/>
      <c r="G574" s="248" t="s">
        <v>903</v>
      </c>
      <c r="H574" s="248"/>
      <c r="I574" s="248"/>
      <c r="J574" s="248"/>
      <c r="K574" s="248"/>
      <c r="L574" s="248"/>
      <c r="M574" s="248" t="s">
        <v>904</v>
      </c>
    </row>
    <row r="575" spans="1:13" ht="20.100000000000001" customHeight="1">
      <c r="A575" s="248"/>
      <c r="B575" s="248" t="s">
        <v>4548</v>
      </c>
      <c r="C575" s="248" t="s">
        <v>4008</v>
      </c>
      <c r="D575" s="248"/>
      <c r="E575" s="248"/>
      <c r="F575" s="248"/>
      <c r="G575" s="248" t="s">
        <v>3414</v>
      </c>
      <c r="H575" s="248"/>
      <c r="I575" s="248"/>
      <c r="J575" s="248"/>
      <c r="K575" s="248"/>
      <c r="L575" s="248"/>
      <c r="M575" s="248" t="s">
        <v>905</v>
      </c>
    </row>
    <row r="576" spans="1:13" ht="20.100000000000001" customHeight="1">
      <c r="A576" s="248"/>
      <c r="B576" s="248" t="s">
        <v>6431</v>
      </c>
      <c r="C576" s="248" t="s">
        <v>4030</v>
      </c>
      <c r="D576" s="248"/>
      <c r="E576" s="248"/>
      <c r="F576" s="248"/>
      <c r="G576" s="248" t="s">
        <v>906</v>
      </c>
      <c r="H576" s="248"/>
      <c r="I576" s="248"/>
      <c r="J576" s="248"/>
      <c r="K576" s="248"/>
      <c r="L576" s="248"/>
      <c r="M576" s="248" t="s">
        <v>907</v>
      </c>
    </row>
    <row r="577" spans="1:13" ht="20.100000000000001" customHeight="1">
      <c r="A577" s="248"/>
      <c r="B577" s="248" t="s">
        <v>6432</v>
      </c>
      <c r="C577" s="248" t="s">
        <v>4050</v>
      </c>
      <c r="D577" s="248"/>
      <c r="E577" s="248"/>
      <c r="F577" s="248"/>
      <c r="G577" s="248" t="s">
        <v>885</v>
      </c>
      <c r="H577" s="248"/>
      <c r="I577" s="248"/>
      <c r="J577" s="248"/>
      <c r="K577" s="248"/>
      <c r="L577" s="248"/>
      <c r="M577" s="248" t="s">
        <v>886</v>
      </c>
    </row>
    <row r="578" spans="1:13" ht="20.100000000000001" customHeight="1">
      <c r="A578" s="248"/>
      <c r="B578" s="248" t="s">
        <v>4549</v>
      </c>
      <c r="C578" s="248" t="s">
        <v>4036</v>
      </c>
      <c r="D578" s="248"/>
      <c r="E578" s="248"/>
      <c r="F578" s="248"/>
      <c r="G578" s="248" t="s">
        <v>3161</v>
      </c>
      <c r="H578" s="248"/>
      <c r="I578" s="248"/>
      <c r="J578" s="248"/>
      <c r="K578" s="248"/>
      <c r="L578" s="248"/>
      <c r="M578" s="248" t="s">
        <v>196</v>
      </c>
    </row>
    <row r="579" spans="1:13" ht="20.100000000000001" customHeight="1">
      <c r="A579" s="248"/>
      <c r="B579" s="248" t="s">
        <v>4550</v>
      </c>
      <c r="C579" s="248" t="s">
        <v>4012</v>
      </c>
      <c r="D579" s="248"/>
      <c r="E579" s="248"/>
      <c r="F579" s="248"/>
      <c r="G579" s="248" t="s">
        <v>908</v>
      </c>
      <c r="H579" s="248"/>
      <c r="I579" s="248"/>
      <c r="J579" s="248"/>
      <c r="K579" s="248"/>
      <c r="L579" s="248"/>
      <c r="M579" s="248" t="s">
        <v>909</v>
      </c>
    </row>
    <row r="580" spans="1:13" ht="20.100000000000001" customHeight="1">
      <c r="A580" s="248"/>
      <c r="B580" s="248" t="s">
        <v>4551</v>
      </c>
      <c r="C580" s="248" t="s">
        <v>4008</v>
      </c>
      <c r="D580" s="248"/>
      <c r="E580" s="248"/>
      <c r="F580" s="248"/>
      <c r="G580" s="248" t="s">
        <v>3169</v>
      </c>
      <c r="H580" s="248"/>
      <c r="I580" s="248"/>
      <c r="J580" s="248"/>
      <c r="K580" s="248"/>
      <c r="L580" s="248"/>
      <c r="M580" s="248" t="s">
        <v>3170</v>
      </c>
    </row>
    <row r="581" spans="1:13" ht="20.100000000000001" customHeight="1">
      <c r="A581" s="248"/>
      <c r="B581" s="248" t="s">
        <v>4552</v>
      </c>
      <c r="C581" s="248" t="s">
        <v>4003</v>
      </c>
      <c r="D581" s="248"/>
      <c r="E581" s="248"/>
      <c r="F581" s="248"/>
      <c r="G581" s="248" t="s">
        <v>910</v>
      </c>
      <c r="H581" s="248"/>
      <c r="I581" s="248"/>
      <c r="J581" s="248"/>
      <c r="K581" s="248"/>
      <c r="L581" s="248"/>
      <c r="M581" s="248" t="s">
        <v>911</v>
      </c>
    </row>
    <row r="582" spans="1:13" ht="20.100000000000001" customHeight="1">
      <c r="A582" s="248"/>
      <c r="B582" s="248" t="s">
        <v>4553</v>
      </c>
      <c r="C582" s="248" t="s">
        <v>4016</v>
      </c>
      <c r="D582" s="248"/>
      <c r="E582" s="248"/>
      <c r="F582" s="248"/>
      <c r="G582" s="248" t="s">
        <v>3686</v>
      </c>
      <c r="H582" s="248"/>
      <c r="I582" s="248"/>
      <c r="J582" s="248"/>
      <c r="K582" s="248"/>
      <c r="L582" s="248"/>
      <c r="M582" s="248" t="s">
        <v>3687</v>
      </c>
    </row>
    <row r="583" spans="1:13" ht="20.100000000000001" customHeight="1">
      <c r="A583" s="248"/>
      <c r="B583" s="248" t="s">
        <v>4554</v>
      </c>
      <c r="C583" s="248" t="s">
        <v>4008</v>
      </c>
      <c r="D583" s="248"/>
      <c r="E583" s="248"/>
      <c r="F583" s="248"/>
      <c r="G583" s="248" t="s">
        <v>912</v>
      </c>
      <c r="H583" s="248"/>
      <c r="I583" s="248"/>
      <c r="J583" s="248"/>
      <c r="K583" s="248"/>
      <c r="L583" s="248"/>
      <c r="M583" s="248" t="s">
        <v>913</v>
      </c>
    </row>
    <row r="584" spans="1:13" ht="20.100000000000001" customHeight="1">
      <c r="A584" s="248"/>
      <c r="B584" s="248" t="s">
        <v>4555</v>
      </c>
      <c r="C584" s="248" t="s">
        <v>4025</v>
      </c>
      <c r="D584" s="248"/>
      <c r="E584" s="248"/>
      <c r="F584" s="248"/>
      <c r="G584" s="248" t="s">
        <v>914</v>
      </c>
      <c r="H584" s="248"/>
      <c r="I584" s="248"/>
      <c r="J584" s="248"/>
      <c r="K584" s="248"/>
      <c r="L584" s="248"/>
      <c r="M584" s="248" t="s">
        <v>915</v>
      </c>
    </row>
    <row r="585" spans="1:13" ht="20.100000000000001" customHeight="1">
      <c r="A585" s="248"/>
      <c r="B585" s="248" t="s">
        <v>4556</v>
      </c>
      <c r="C585" s="248" t="s">
        <v>4014</v>
      </c>
      <c r="D585" s="248"/>
      <c r="E585" s="248"/>
      <c r="F585" s="248"/>
      <c r="G585" s="248" t="s">
        <v>916</v>
      </c>
      <c r="H585" s="248"/>
      <c r="I585" s="248"/>
      <c r="J585" s="248"/>
      <c r="K585" s="248"/>
      <c r="L585" s="248"/>
      <c r="M585" s="248" t="s">
        <v>3550</v>
      </c>
    </row>
    <row r="586" spans="1:13" ht="20.100000000000001" customHeight="1">
      <c r="A586" s="248"/>
      <c r="B586" s="248" t="s">
        <v>4557</v>
      </c>
      <c r="C586" s="248" t="s">
        <v>4016</v>
      </c>
      <c r="D586" s="248"/>
      <c r="E586" s="248"/>
      <c r="F586" s="248"/>
      <c r="G586" s="248" t="s">
        <v>917</v>
      </c>
      <c r="H586" s="248"/>
      <c r="I586" s="248"/>
      <c r="J586" s="248"/>
      <c r="K586" s="248"/>
      <c r="L586" s="248"/>
      <c r="M586" s="248" t="s">
        <v>918</v>
      </c>
    </row>
    <row r="587" spans="1:13" ht="20.100000000000001" customHeight="1">
      <c r="A587" s="248"/>
      <c r="B587" s="248" t="s">
        <v>4558</v>
      </c>
      <c r="C587" s="248" t="s">
        <v>4036</v>
      </c>
      <c r="D587" s="248"/>
      <c r="E587" s="248"/>
      <c r="F587" s="248"/>
      <c r="G587" s="248" t="s">
        <v>919</v>
      </c>
      <c r="H587" s="248"/>
      <c r="I587" s="248"/>
      <c r="J587" s="248"/>
      <c r="K587" s="248"/>
      <c r="L587" s="248"/>
      <c r="M587" s="248" t="s">
        <v>920</v>
      </c>
    </row>
    <row r="588" spans="1:13" ht="20.100000000000001" customHeight="1">
      <c r="A588" s="248"/>
      <c r="B588" s="248" t="s">
        <v>4559</v>
      </c>
      <c r="C588" s="248" t="s">
        <v>4016</v>
      </c>
      <c r="D588" s="248"/>
      <c r="E588" s="248"/>
      <c r="F588" s="248"/>
      <c r="G588" s="248" t="s">
        <v>921</v>
      </c>
      <c r="H588" s="248"/>
      <c r="I588" s="248"/>
      <c r="J588" s="248"/>
      <c r="K588" s="248"/>
      <c r="L588" s="248"/>
      <c r="M588" s="248" t="s">
        <v>922</v>
      </c>
    </row>
    <row r="589" spans="1:13" ht="20.100000000000001" customHeight="1">
      <c r="A589" s="248"/>
      <c r="B589" s="248" t="s">
        <v>4560</v>
      </c>
      <c r="C589" s="248" t="s">
        <v>4036</v>
      </c>
      <c r="D589" s="248"/>
      <c r="E589" s="248"/>
      <c r="F589" s="248"/>
      <c r="G589" s="248" t="s">
        <v>923</v>
      </c>
      <c r="H589" s="248"/>
      <c r="I589" s="248"/>
      <c r="J589" s="248"/>
      <c r="K589" s="248"/>
      <c r="L589" s="248"/>
      <c r="M589" s="248" t="s">
        <v>924</v>
      </c>
    </row>
    <row r="590" spans="1:13" ht="20.100000000000001" customHeight="1">
      <c r="A590" s="248"/>
      <c r="B590" s="248" t="s">
        <v>4561</v>
      </c>
      <c r="C590" s="248" t="s">
        <v>4050</v>
      </c>
      <c r="D590" s="248"/>
      <c r="E590" s="248"/>
      <c r="F590" s="248"/>
      <c r="G590" s="248" t="s">
        <v>6618</v>
      </c>
      <c r="H590" s="248"/>
      <c r="I590" s="248"/>
      <c r="J590" s="248"/>
      <c r="K590" s="248"/>
      <c r="L590" s="248"/>
      <c r="M590" s="248" t="s">
        <v>926</v>
      </c>
    </row>
    <row r="591" spans="1:13" ht="20.100000000000001" customHeight="1">
      <c r="A591" s="248"/>
      <c r="B591" s="248" t="s">
        <v>6619</v>
      </c>
      <c r="C591" s="248" t="s">
        <v>4050</v>
      </c>
      <c r="D591" s="248"/>
      <c r="E591" s="248"/>
      <c r="F591" s="248"/>
      <c r="G591" s="248" t="s">
        <v>925</v>
      </c>
      <c r="H591" s="248"/>
      <c r="I591" s="248"/>
      <c r="J591" s="248"/>
      <c r="K591" s="248"/>
      <c r="L591" s="248"/>
      <c r="M591" s="248" t="s">
        <v>926</v>
      </c>
    </row>
    <row r="592" spans="1:13" ht="20.100000000000001" customHeight="1">
      <c r="A592" s="248"/>
      <c r="B592" s="248" t="s">
        <v>4562</v>
      </c>
      <c r="C592" s="248" t="s">
        <v>4030</v>
      </c>
      <c r="D592" s="248"/>
      <c r="E592" s="248"/>
      <c r="F592" s="248"/>
      <c r="G592" s="248" t="s">
        <v>927</v>
      </c>
      <c r="H592" s="248"/>
      <c r="I592" s="248"/>
      <c r="J592" s="248"/>
      <c r="K592" s="248"/>
      <c r="L592" s="248"/>
      <c r="M592" s="248" t="s">
        <v>928</v>
      </c>
    </row>
    <row r="593" spans="1:13" ht="20.100000000000001" customHeight="1">
      <c r="A593" s="248"/>
      <c r="B593" s="248" t="s">
        <v>4563</v>
      </c>
      <c r="C593" s="248" t="s">
        <v>4012</v>
      </c>
      <c r="D593" s="248"/>
      <c r="E593" s="248"/>
      <c r="F593" s="248"/>
      <c r="G593" s="248" t="s">
        <v>929</v>
      </c>
      <c r="H593" s="248"/>
      <c r="I593" s="248"/>
      <c r="J593" s="248"/>
      <c r="K593" s="248"/>
      <c r="L593" s="248"/>
      <c r="M593" s="248" t="s">
        <v>930</v>
      </c>
    </row>
    <row r="594" spans="1:13" ht="20.100000000000001" customHeight="1">
      <c r="A594" s="248"/>
      <c r="B594" s="248" t="s">
        <v>4564</v>
      </c>
      <c r="C594" s="248" t="s">
        <v>4012</v>
      </c>
      <c r="D594" s="248"/>
      <c r="E594" s="248"/>
      <c r="F594" s="248"/>
      <c r="G594" s="248" t="s">
        <v>932</v>
      </c>
      <c r="H594" s="248"/>
      <c r="I594" s="248"/>
      <c r="J594" s="248"/>
      <c r="K594" s="248"/>
      <c r="L594" s="248"/>
      <c r="M594" s="248" t="s">
        <v>933</v>
      </c>
    </row>
    <row r="595" spans="1:13" ht="20.100000000000001" customHeight="1">
      <c r="A595" s="248"/>
      <c r="B595" s="248" t="s">
        <v>4565</v>
      </c>
      <c r="C595" s="248" t="s">
        <v>4014</v>
      </c>
      <c r="D595" s="248"/>
      <c r="E595" s="248"/>
      <c r="F595" s="248"/>
      <c r="G595" s="248" t="s">
        <v>3261</v>
      </c>
      <c r="H595" s="248"/>
      <c r="I595" s="248"/>
      <c r="J595" s="248"/>
      <c r="K595" s="248"/>
      <c r="L595" s="248"/>
      <c r="M595" s="248" t="s">
        <v>2992</v>
      </c>
    </row>
    <row r="596" spans="1:13" ht="20.100000000000001" customHeight="1">
      <c r="A596" s="248"/>
      <c r="B596" s="248" t="s">
        <v>4566</v>
      </c>
      <c r="C596" s="248" t="s">
        <v>4014</v>
      </c>
      <c r="D596" s="248"/>
      <c r="E596" s="248"/>
      <c r="F596" s="248"/>
      <c r="G596" s="248" t="s">
        <v>934</v>
      </c>
      <c r="H596" s="248"/>
      <c r="I596" s="248"/>
      <c r="J596" s="248"/>
      <c r="K596" s="248"/>
      <c r="L596" s="248"/>
      <c r="M596" s="248" t="s">
        <v>935</v>
      </c>
    </row>
    <row r="597" spans="1:13" ht="20.100000000000001" customHeight="1">
      <c r="A597" s="248"/>
      <c r="B597" s="248" t="s">
        <v>4567</v>
      </c>
      <c r="C597" s="248" t="s">
        <v>4008</v>
      </c>
      <c r="D597" s="248"/>
      <c r="E597" s="248"/>
      <c r="F597" s="248"/>
      <c r="G597" s="248" t="s">
        <v>3556</v>
      </c>
      <c r="H597" s="248"/>
      <c r="I597" s="248"/>
      <c r="J597" s="248"/>
      <c r="K597" s="248"/>
      <c r="L597" s="248"/>
      <c r="M597" s="248" t="s">
        <v>3557</v>
      </c>
    </row>
    <row r="598" spans="1:13" ht="20.100000000000001" customHeight="1">
      <c r="A598" s="248"/>
      <c r="B598" s="248" t="s">
        <v>4568</v>
      </c>
      <c r="C598" s="248" t="s">
        <v>4003</v>
      </c>
      <c r="D598" s="248"/>
      <c r="E598" s="248"/>
      <c r="F598" s="248"/>
      <c r="G598" s="248" t="s">
        <v>936</v>
      </c>
      <c r="H598" s="248"/>
      <c r="I598" s="248"/>
      <c r="J598" s="248"/>
      <c r="K598" s="248"/>
      <c r="L598" s="248"/>
      <c r="M598" s="248" t="s">
        <v>937</v>
      </c>
    </row>
    <row r="599" spans="1:13" ht="20.100000000000001" customHeight="1">
      <c r="A599" s="248"/>
      <c r="B599" s="248" t="s">
        <v>4569</v>
      </c>
      <c r="C599" s="248" t="s">
        <v>4014</v>
      </c>
      <c r="D599" s="248"/>
      <c r="E599" s="248"/>
      <c r="F599" s="248"/>
      <c r="G599" s="248" t="s">
        <v>938</v>
      </c>
      <c r="H599" s="248"/>
      <c r="I599" s="248"/>
      <c r="J599" s="248"/>
      <c r="K599" s="248"/>
      <c r="L599" s="248"/>
      <c r="M599" s="248" t="s">
        <v>3550</v>
      </c>
    </row>
    <row r="600" spans="1:13" ht="20.100000000000001" customHeight="1">
      <c r="A600" s="248"/>
      <c r="B600" s="248" t="s">
        <v>4570</v>
      </c>
      <c r="C600" s="248" t="s">
        <v>4025</v>
      </c>
      <c r="D600" s="248"/>
      <c r="E600" s="248"/>
      <c r="F600" s="248"/>
      <c r="G600" s="248" t="s">
        <v>939</v>
      </c>
      <c r="H600" s="248"/>
      <c r="I600" s="248"/>
      <c r="J600" s="248"/>
      <c r="K600" s="248"/>
      <c r="L600" s="248"/>
      <c r="M600" s="248" t="s">
        <v>940</v>
      </c>
    </row>
    <row r="601" spans="1:13" ht="20.100000000000001" customHeight="1">
      <c r="A601" s="248"/>
      <c r="B601" s="248" t="s">
        <v>4571</v>
      </c>
      <c r="C601" s="248" t="s">
        <v>4003</v>
      </c>
      <c r="D601" s="248"/>
      <c r="E601" s="248"/>
      <c r="F601" s="248"/>
      <c r="G601" s="248" t="s">
        <v>941</v>
      </c>
      <c r="H601" s="248"/>
      <c r="I601" s="248"/>
      <c r="J601" s="248"/>
      <c r="K601" s="248"/>
      <c r="L601" s="248"/>
      <c r="M601" s="248" t="s">
        <v>942</v>
      </c>
    </row>
    <row r="602" spans="1:13" ht="20.100000000000001" customHeight="1">
      <c r="A602" s="248"/>
      <c r="B602" s="248" t="s">
        <v>4572</v>
      </c>
      <c r="C602" s="248" t="s">
        <v>4014</v>
      </c>
      <c r="D602" s="248"/>
      <c r="E602" s="248"/>
      <c r="F602" s="248"/>
      <c r="G602" s="248" t="s">
        <v>943</v>
      </c>
      <c r="H602" s="248"/>
      <c r="I602" s="248"/>
      <c r="J602" s="248"/>
      <c r="K602" s="248"/>
      <c r="L602" s="248"/>
      <c r="M602" s="248" t="s">
        <v>944</v>
      </c>
    </row>
    <row r="603" spans="1:13" ht="20.100000000000001" customHeight="1">
      <c r="A603" s="248"/>
      <c r="B603" s="248" t="s">
        <v>4573</v>
      </c>
      <c r="C603" s="248" t="s">
        <v>4014</v>
      </c>
      <c r="D603" s="248"/>
      <c r="E603" s="248"/>
      <c r="F603" s="248"/>
      <c r="G603" s="248" t="s">
        <v>945</v>
      </c>
      <c r="H603" s="248"/>
      <c r="I603" s="248"/>
      <c r="J603" s="248"/>
      <c r="K603" s="248"/>
      <c r="L603" s="248"/>
      <c r="M603" s="248" t="s">
        <v>946</v>
      </c>
    </row>
    <row r="604" spans="1:13" ht="20.100000000000001" customHeight="1">
      <c r="A604" s="248"/>
      <c r="B604" s="248" t="s">
        <v>6140</v>
      </c>
      <c r="C604" s="248" t="s">
        <v>4025</v>
      </c>
      <c r="D604" s="248"/>
      <c r="E604" s="248"/>
      <c r="F604" s="248"/>
      <c r="G604" s="248" t="s">
        <v>6141</v>
      </c>
      <c r="H604" s="248"/>
      <c r="I604" s="248"/>
      <c r="J604" s="248"/>
      <c r="K604" s="248"/>
      <c r="L604" s="248"/>
      <c r="M604" s="248" t="s">
        <v>6142</v>
      </c>
    </row>
    <row r="605" spans="1:13" ht="20.100000000000001" customHeight="1">
      <c r="A605" s="248"/>
      <c r="B605" s="248" t="s">
        <v>4574</v>
      </c>
      <c r="C605" s="248" t="s">
        <v>4030</v>
      </c>
      <c r="D605" s="248"/>
      <c r="E605" s="248"/>
      <c r="F605" s="248"/>
      <c r="G605" s="248" t="s">
        <v>3461</v>
      </c>
      <c r="H605" s="248"/>
      <c r="I605" s="248"/>
      <c r="J605" s="248"/>
      <c r="K605" s="248"/>
      <c r="L605" s="248"/>
      <c r="M605" s="248" t="s">
        <v>3462</v>
      </c>
    </row>
    <row r="606" spans="1:13" ht="20.100000000000001" customHeight="1">
      <c r="A606" s="248"/>
      <c r="B606" s="248" t="s">
        <v>4575</v>
      </c>
      <c r="C606" s="248" t="s">
        <v>4030</v>
      </c>
      <c r="D606" s="248"/>
      <c r="E606" s="248"/>
      <c r="F606" s="248"/>
      <c r="G606" s="248" t="s">
        <v>947</v>
      </c>
      <c r="H606" s="248"/>
      <c r="I606" s="248"/>
      <c r="J606" s="248"/>
      <c r="K606" s="248"/>
      <c r="L606" s="248"/>
      <c r="M606" s="248" t="s">
        <v>948</v>
      </c>
    </row>
    <row r="607" spans="1:13" ht="20.100000000000001" customHeight="1">
      <c r="A607" s="248"/>
      <c r="B607" s="248" t="s">
        <v>6401</v>
      </c>
      <c r="C607" s="248" t="s">
        <v>4030</v>
      </c>
      <c r="D607" s="248"/>
      <c r="E607" s="248"/>
      <c r="F607" s="248"/>
      <c r="G607" s="248" t="s">
        <v>6402</v>
      </c>
      <c r="H607" s="248"/>
      <c r="I607" s="248"/>
      <c r="J607" s="248"/>
      <c r="K607" s="248"/>
      <c r="L607" s="248"/>
      <c r="M607" s="248" t="s">
        <v>6403</v>
      </c>
    </row>
    <row r="608" spans="1:13" ht="20.100000000000001" customHeight="1">
      <c r="A608" s="248"/>
      <c r="B608" s="248" t="s">
        <v>4576</v>
      </c>
      <c r="C608" s="248" t="s">
        <v>4057</v>
      </c>
      <c r="D608" s="248"/>
      <c r="E608" s="248"/>
      <c r="F608" s="248"/>
      <c r="G608" s="248" t="s">
        <v>949</v>
      </c>
      <c r="H608" s="248"/>
      <c r="I608" s="248"/>
      <c r="J608" s="248"/>
      <c r="K608" s="248"/>
      <c r="L608" s="248"/>
      <c r="M608" s="248" t="s">
        <v>950</v>
      </c>
    </row>
    <row r="609" spans="1:13" ht="20.100000000000001" customHeight="1">
      <c r="A609" s="248"/>
      <c r="B609" s="248" t="s">
        <v>4577</v>
      </c>
      <c r="C609" s="248" t="s">
        <v>4016</v>
      </c>
      <c r="D609" s="248"/>
      <c r="E609" s="248"/>
      <c r="F609" s="248"/>
      <c r="G609" s="248" t="s">
        <v>951</v>
      </c>
      <c r="H609" s="248"/>
      <c r="I609" s="248"/>
      <c r="J609" s="248"/>
      <c r="K609" s="248"/>
      <c r="L609" s="248"/>
      <c r="M609" s="248" t="s">
        <v>952</v>
      </c>
    </row>
    <row r="610" spans="1:13" ht="20.100000000000001" customHeight="1">
      <c r="A610" s="248"/>
      <c r="B610" s="248" t="s">
        <v>4578</v>
      </c>
      <c r="C610" s="248" t="s">
        <v>4008</v>
      </c>
      <c r="D610" s="248"/>
      <c r="E610" s="248"/>
      <c r="F610" s="248"/>
      <c r="G610" s="248" t="s">
        <v>953</v>
      </c>
      <c r="H610" s="248"/>
      <c r="I610" s="248"/>
      <c r="J610" s="248"/>
      <c r="K610" s="248"/>
      <c r="L610" s="248"/>
      <c r="M610" s="248" t="s">
        <v>954</v>
      </c>
    </row>
    <row r="611" spans="1:13" ht="20.100000000000001" customHeight="1">
      <c r="A611" s="248"/>
      <c r="B611" s="248" t="s">
        <v>4579</v>
      </c>
      <c r="C611" s="248" t="s">
        <v>4003</v>
      </c>
      <c r="D611" s="248"/>
      <c r="E611" s="248"/>
      <c r="F611" s="248"/>
      <c r="G611" s="248" t="s">
        <v>955</v>
      </c>
      <c r="H611" s="248"/>
      <c r="I611" s="248"/>
      <c r="J611" s="248"/>
      <c r="K611" s="248"/>
      <c r="L611" s="248"/>
      <c r="M611" s="248" t="s">
        <v>956</v>
      </c>
    </row>
    <row r="612" spans="1:13" ht="20.100000000000001" customHeight="1">
      <c r="A612" s="248"/>
      <c r="B612" s="248" t="s">
        <v>4580</v>
      </c>
      <c r="C612" s="248" t="s">
        <v>4016</v>
      </c>
      <c r="D612" s="248"/>
      <c r="E612" s="248"/>
      <c r="F612" s="248"/>
      <c r="G612" s="248" t="s">
        <v>957</v>
      </c>
      <c r="H612" s="248"/>
      <c r="I612" s="248"/>
      <c r="J612" s="248"/>
      <c r="K612" s="248"/>
      <c r="L612" s="248"/>
      <c r="M612" s="248" t="s">
        <v>3550</v>
      </c>
    </row>
    <row r="613" spans="1:13" ht="20.100000000000001" customHeight="1">
      <c r="A613" s="248"/>
      <c r="B613" s="248" t="s">
        <v>6291</v>
      </c>
      <c r="C613" s="248" t="s">
        <v>4016</v>
      </c>
      <c r="D613" s="248"/>
      <c r="E613" s="248"/>
      <c r="F613" s="248"/>
      <c r="G613" s="248" t="s">
        <v>6292</v>
      </c>
      <c r="H613" s="248"/>
      <c r="I613" s="248"/>
      <c r="J613" s="248"/>
      <c r="K613" s="248"/>
      <c r="L613" s="248"/>
      <c r="M613" s="248" t="s">
        <v>3550</v>
      </c>
    </row>
    <row r="614" spans="1:13" ht="20.100000000000001" customHeight="1">
      <c r="A614" s="248"/>
      <c r="B614" s="248" t="s">
        <v>4581</v>
      </c>
      <c r="C614" s="248" t="s">
        <v>4012</v>
      </c>
      <c r="D614" s="248"/>
      <c r="E614" s="248"/>
      <c r="F614" s="248"/>
      <c r="G614" s="248" t="s">
        <v>958</v>
      </c>
      <c r="H614" s="248"/>
      <c r="I614" s="248"/>
      <c r="J614" s="248"/>
      <c r="K614" s="248"/>
      <c r="L614" s="248"/>
      <c r="M614" s="248" t="s">
        <v>959</v>
      </c>
    </row>
    <row r="615" spans="1:13" ht="20.100000000000001" customHeight="1">
      <c r="A615" s="248"/>
      <c r="B615" s="248" t="s">
        <v>4582</v>
      </c>
      <c r="C615" s="248" t="s">
        <v>4008</v>
      </c>
      <c r="D615" s="248"/>
      <c r="E615" s="248"/>
      <c r="F615" s="248"/>
      <c r="G615" s="248" t="s">
        <v>960</v>
      </c>
      <c r="H615" s="248"/>
      <c r="I615" s="248"/>
      <c r="J615" s="248"/>
      <c r="K615" s="248"/>
      <c r="L615" s="248"/>
      <c r="M615" s="248" t="s">
        <v>961</v>
      </c>
    </row>
    <row r="616" spans="1:13" ht="20.100000000000001" customHeight="1">
      <c r="A616" s="248"/>
      <c r="B616" s="248" t="s">
        <v>4583</v>
      </c>
      <c r="C616" s="248" t="s">
        <v>4025</v>
      </c>
      <c r="D616" s="248"/>
      <c r="E616" s="248"/>
      <c r="F616" s="248"/>
      <c r="G616" s="248" t="s">
        <v>3297</v>
      </c>
      <c r="H616" s="248"/>
      <c r="I616" s="248"/>
      <c r="J616" s="248"/>
      <c r="K616" s="248"/>
      <c r="L616" s="248"/>
      <c r="M616" s="248" t="s">
        <v>3137</v>
      </c>
    </row>
    <row r="617" spans="1:13" ht="20.100000000000001" customHeight="1">
      <c r="A617" s="248"/>
      <c r="B617" s="248" t="s">
        <v>4584</v>
      </c>
      <c r="C617" s="248" t="s">
        <v>4036</v>
      </c>
      <c r="D617" s="248"/>
      <c r="E617" s="248"/>
      <c r="F617" s="248"/>
      <c r="G617" s="248" t="s">
        <v>962</v>
      </c>
      <c r="H617" s="248"/>
      <c r="I617" s="248"/>
      <c r="J617" s="248"/>
      <c r="K617" s="248"/>
      <c r="L617" s="248"/>
      <c r="M617" s="248" t="s">
        <v>963</v>
      </c>
    </row>
    <row r="618" spans="1:13" ht="20.100000000000001" customHeight="1">
      <c r="A618" s="248"/>
      <c r="B618" s="248" t="s">
        <v>4585</v>
      </c>
      <c r="C618" s="248" t="s">
        <v>4016</v>
      </c>
      <c r="D618" s="248"/>
      <c r="E618" s="248"/>
      <c r="F618" s="248"/>
      <c r="G618" s="248" t="s">
        <v>964</v>
      </c>
      <c r="H618" s="248"/>
      <c r="I618" s="248"/>
      <c r="J618" s="248"/>
      <c r="K618" s="248"/>
      <c r="L618" s="248"/>
      <c r="M618" s="248" t="s">
        <v>3550</v>
      </c>
    </row>
    <row r="619" spans="1:13" ht="20.100000000000001" customHeight="1">
      <c r="A619" s="248"/>
      <c r="B619" s="248" t="s">
        <v>4586</v>
      </c>
      <c r="C619" s="248" t="s">
        <v>4008</v>
      </c>
      <c r="D619" s="248"/>
      <c r="E619" s="248"/>
      <c r="F619" s="248"/>
      <c r="G619" s="248" t="s">
        <v>965</v>
      </c>
      <c r="H619" s="248"/>
      <c r="I619" s="248"/>
      <c r="J619" s="248"/>
      <c r="K619" s="248"/>
      <c r="L619" s="248"/>
      <c r="M619" s="248" t="s">
        <v>966</v>
      </c>
    </row>
    <row r="620" spans="1:13" ht="20.100000000000001" customHeight="1">
      <c r="A620" s="248"/>
      <c r="B620" s="248" t="s">
        <v>4587</v>
      </c>
      <c r="C620" s="248" t="s">
        <v>4271</v>
      </c>
      <c r="D620" s="248"/>
      <c r="E620" s="248"/>
      <c r="F620" s="248"/>
      <c r="G620" s="248" t="s">
        <v>967</v>
      </c>
      <c r="H620" s="248"/>
      <c r="I620" s="248"/>
      <c r="J620" s="248"/>
      <c r="K620" s="248"/>
      <c r="L620" s="248"/>
      <c r="M620" s="248" t="s">
        <v>968</v>
      </c>
    </row>
    <row r="621" spans="1:13" ht="20.100000000000001" customHeight="1">
      <c r="A621" s="248"/>
      <c r="B621" s="248" t="s">
        <v>4588</v>
      </c>
      <c r="C621" s="248" t="s">
        <v>4016</v>
      </c>
      <c r="D621" s="248"/>
      <c r="E621" s="248"/>
      <c r="F621" s="248"/>
      <c r="G621" s="248" t="s">
        <v>969</v>
      </c>
      <c r="H621" s="248"/>
      <c r="I621" s="248"/>
      <c r="J621" s="248"/>
      <c r="K621" s="248"/>
      <c r="L621" s="248"/>
      <c r="M621" s="248" t="s">
        <v>970</v>
      </c>
    </row>
    <row r="622" spans="1:13" ht="20.100000000000001" customHeight="1">
      <c r="A622" s="248"/>
      <c r="B622" s="248" t="s">
        <v>4589</v>
      </c>
      <c r="C622" s="248" t="s">
        <v>4016</v>
      </c>
      <c r="D622" s="248"/>
      <c r="E622" s="248"/>
      <c r="F622" s="248"/>
      <c r="G622" s="248" t="s">
        <v>2997</v>
      </c>
      <c r="H622" s="248"/>
      <c r="I622" s="248"/>
      <c r="J622" s="248"/>
      <c r="K622" s="248"/>
      <c r="L622" s="248"/>
      <c r="M622" s="248" t="s">
        <v>3550</v>
      </c>
    </row>
    <row r="623" spans="1:13" ht="20.100000000000001" customHeight="1">
      <c r="A623" s="248"/>
      <c r="B623" s="248" t="s">
        <v>4590</v>
      </c>
      <c r="C623" s="248" t="s">
        <v>4025</v>
      </c>
      <c r="D623" s="248"/>
      <c r="E623" s="248"/>
      <c r="F623" s="248"/>
      <c r="G623" s="248" t="s">
        <v>971</v>
      </c>
      <c r="H623" s="248"/>
      <c r="I623" s="248"/>
      <c r="J623" s="248"/>
      <c r="K623" s="248"/>
      <c r="L623" s="248"/>
      <c r="M623" s="248" t="s">
        <v>972</v>
      </c>
    </row>
    <row r="624" spans="1:13" ht="20.100000000000001" customHeight="1">
      <c r="A624" s="248"/>
      <c r="B624" s="248" t="s">
        <v>4591</v>
      </c>
      <c r="C624" s="248" t="s">
        <v>4030</v>
      </c>
      <c r="D624" s="248"/>
      <c r="E624" s="248"/>
      <c r="F624" s="248"/>
      <c r="G624" s="248" t="s">
        <v>973</v>
      </c>
      <c r="H624" s="248"/>
      <c r="I624" s="248"/>
      <c r="J624" s="248"/>
      <c r="K624" s="248"/>
      <c r="L624" s="248"/>
      <c r="M624" s="248" t="s">
        <v>974</v>
      </c>
    </row>
    <row r="625" spans="1:13" ht="20.100000000000001" customHeight="1">
      <c r="A625" s="248"/>
      <c r="B625" s="248" t="s">
        <v>4592</v>
      </c>
      <c r="C625" s="248" t="s">
        <v>4014</v>
      </c>
      <c r="D625" s="248"/>
      <c r="E625" s="248"/>
      <c r="F625" s="248"/>
      <c r="G625" s="248" t="s">
        <v>975</v>
      </c>
      <c r="H625" s="248"/>
      <c r="I625" s="248"/>
      <c r="J625" s="248"/>
      <c r="K625" s="248"/>
      <c r="L625" s="248"/>
      <c r="M625" s="248" t="s">
        <v>976</v>
      </c>
    </row>
    <row r="626" spans="1:13" ht="20.100000000000001" customHeight="1">
      <c r="A626" s="248"/>
      <c r="B626" s="248" t="s">
        <v>4593</v>
      </c>
      <c r="C626" s="248" t="s">
        <v>4271</v>
      </c>
      <c r="D626" s="248"/>
      <c r="E626" s="248"/>
      <c r="F626" s="248"/>
      <c r="G626" s="248" t="s">
        <v>977</v>
      </c>
      <c r="H626" s="248"/>
      <c r="I626" s="248"/>
      <c r="J626" s="248"/>
      <c r="K626" s="248"/>
      <c r="L626" s="248"/>
      <c r="M626" s="248" t="s">
        <v>978</v>
      </c>
    </row>
    <row r="627" spans="1:13" ht="20.100000000000001" customHeight="1">
      <c r="A627" s="248"/>
      <c r="B627" s="248" t="s">
        <v>6486</v>
      </c>
      <c r="C627" s="248" t="s">
        <v>4271</v>
      </c>
      <c r="D627" s="248"/>
      <c r="E627" s="248"/>
      <c r="F627" s="248"/>
      <c r="G627" s="248" t="s">
        <v>977</v>
      </c>
      <c r="H627" s="248"/>
      <c r="I627" s="248"/>
      <c r="J627" s="248"/>
      <c r="K627" s="248"/>
      <c r="L627" s="248"/>
      <c r="M627" s="248" t="s">
        <v>978</v>
      </c>
    </row>
    <row r="628" spans="1:13" ht="20.100000000000001" customHeight="1">
      <c r="A628" s="248"/>
      <c r="B628" s="248" t="s">
        <v>4594</v>
      </c>
      <c r="C628" s="248" t="s">
        <v>4036</v>
      </c>
      <c r="D628" s="248"/>
      <c r="E628" s="248"/>
      <c r="F628" s="248"/>
      <c r="G628" s="248" t="s">
        <v>3944</v>
      </c>
      <c r="H628" s="248"/>
      <c r="I628" s="248"/>
      <c r="J628" s="248"/>
      <c r="K628" s="248"/>
      <c r="L628" s="248"/>
      <c r="M628" s="248" t="s">
        <v>980</v>
      </c>
    </row>
    <row r="629" spans="1:13" ht="20.100000000000001" customHeight="1">
      <c r="A629" s="248"/>
      <c r="B629" s="248" t="s">
        <v>4595</v>
      </c>
      <c r="C629" s="248" t="s">
        <v>4036</v>
      </c>
      <c r="D629" s="248"/>
      <c r="E629" s="248"/>
      <c r="F629" s="248"/>
      <c r="G629" s="248" t="s">
        <v>979</v>
      </c>
      <c r="H629" s="248"/>
      <c r="I629" s="248"/>
      <c r="J629" s="248"/>
      <c r="K629" s="248"/>
      <c r="L629" s="248"/>
      <c r="M629" s="248" t="s">
        <v>980</v>
      </c>
    </row>
    <row r="630" spans="1:13" ht="20.100000000000001" customHeight="1">
      <c r="A630" s="248"/>
      <c r="B630" s="248" t="s">
        <v>4596</v>
      </c>
      <c r="C630" s="248" t="s">
        <v>4008</v>
      </c>
      <c r="D630" s="248"/>
      <c r="E630" s="248"/>
      <c r="F630" s="248"/>
      <c r="G630" s="248" t="s">
        <v>3987</v>
      </c>
      <c r="H630" s="248"/>
      <c r="I630" s="248"/>
      <c r="J630" s="248"/>
      <c r="K630" s="248"/>
      <c r="L630" s="248"/>
      <c r="M630" s="248" t="s">
        <v>3550</v>
      </c>
    </row>
    <row r="631" spans="1:13" ht="20.100000000000001" customHeight="1">
      <c r="A631" s="248"/>
      <c r="B631" s="248" t="s">
        <v>4597</v>
      </c>
      <c r="C631" s="248" t="s">
        <v>4012</v>
      </c>
      <c r="D631" s="248"/>
      <c r="E631" s="248"/>
      <c r="F631" s="248"/>
      <c r="G631" s="248" t="s">
        <v>981</v>
      </c>
      <c r="H631" s="248"/>
      <c r="I631" s="248"/>
      <c r="J631" s="248"/>
      <c r="K631" s="248"/>
      <c r="L631" s="248"/>
      <c r="M631" s="248" t="s">
        <v>982</v>
      </c>
    </row>
    <row r="632" spans="1:13" ht="20.100000000000001" customHeight="1">
      <c r="A632" s="248"/>
      <c r="B632" s="248" t="s">
        <v>4598</v>
      </c>
      <c r="C632" s="248" t="s">
        <v>4016</v>
      </c>
      <c r="D632" s="248"/>
      <c r="E632" s="248"/>
      <c r="F632" s="248"/>
      <c r="G632" s="248" t="s">
        <v>3032</v>
      </c>
      <c r="H632" s="248"/>
      <c r="I632" s="248"/>
      <c r="J632" s="248"/>
      <c r="K632" s="248"/>
      <c r="L632" s="248"/>
      <c r="M632" s="248" t="s">
        <v>3033</v>
      </c>
    </row>
    <row r="633" spans="1:13" ht="20.100000000000001" customHeight="1">
      <c r="A633" s="248"/>
      <c r="B633" s="248" t="s">
        <v>4599</v>
      </c>
      <c r="C633" s="248" t="s">
        <v>4012</v>
      </c>
      <c r="D633" s="248"/>
      <c r="E633" s="248"/>
      <c r="F633" s="248"/>
      <c r="G633" s="248" t="s">
        <v>983</v>
      </c>
      <c r="H633" s="248"/>
      <c r="I633" s="248"/>
      <c r="J633" s="248"/>
      <c r="K633" s="248"/>
      <c r="L633" s="248"/>
      <c r="M633" s="248" t="s">
        <v>3550</v>
      </c>
    </row>
    <row r="634" spans="1:13" ht="20.100000000000001" customHeight="1">
      <c r="A634" s="248"/>
      <c r="B634" s="248" t="s">
        <v>4600</v>
      </c>
      <c r="C634" s="248" t="s">
        <v>4014</v>
      </c>
      <c r="D634" s="248"/>
      <c r="E634" s="248"/>
      <c r="F634" s="248"/>
      <c r="G634" s="248" t="s">
        <v>3262</v>
      </c>
      <c r="H634" s="248"/>
      <c r="I634" s="248"/>
      <c r="J634" s="248"/>
      <c r="K634" s="248"/>
      <c r="L634" s="248"/>
      <c r="M634" s="248" t="s">
        <v>3550</v>
      </c>
    </row>
    <row r="635" spans="1:13" ht="20.100000000000001" customHeight="1">
      <c r="A635" s="249"/>
      <c r="B635" s="249" t="s">
        <v>4601</v>
      </c>
      <c r="C635" s="250" t="s">
        <v>4036</v>
      </c>
      <c r="D635" s="249"/>
      <c r="E635" s="249"/>
      <c r="F635" s="249"/>
      <c r="G635" s="249" t="s">
        <v>984</v>
      </c>
      <c r="H635" s="249"/>
      <c r="I635" s="249"/>
      <c r="J635" s="249"/>
      <c r="K635" s="249"/>
      <c r="L635" s="249"/>
      <c r="M635" s="249" t="s">
        <v>985</v>
      </c>
    </row>
    <row r="636" spans="1:13" ht="20.100000000000001" customHeight="1">
      <c r="A636" s="248"/>
      <c r="B636" s="248" t="s">
        <v>4602</v>
      </c>
      <c r="C636" s="248" t="s">
        <v>4008</v>
      </c>
      <c r="D636" s="248"/>
      <c r="E636" s="248"/>
      <c r="F636" s="248"/>
      <c r="G636" s="248" t="s">
        <v>3945</v>
      </c>
      <c r="H636" s="248"/>
      <c r="I636" s="248"/>
      <c r="J636" s="248"/>
      <c r="K636" s="248"/>
      <c r="L636" s="248"/>
      <c r="M636" s="248" t="s">
        <v>986</v>
      </c>
    </row>
    <row r="637" spans="1:13" ht="20.100000000000001" customHeight="1">
      <c r="A637" s="248"/>
      <c r="B637" s="248" t="s">
        <v>4603</v>
      </c>
      <c r="C637" s="248" t="s">
        <v>4025</v>
      </c>
      <c r="D637" s="248"/>
      <c r="E637" s="248"/>
      <c r="F637" s="248"/>
      <c r="G637" s="248" t="s">
        <v>987</v>
      </c>
      <c r="H637" s="248"/>
      <c r="I637" s="248"/>
      <c r="J637" s="248"/>
      <c r="K637" s="248"/>
      <c r="L637" s="248"/>
      <c r="M637" s="248" t="s">
        <v>988</v>
      </c>
    </row>
    <row r="638" spans="1:13" ht="20.100000000000001" customHeight="1">
      <c r="A638" s="248"/>
      <c r="B638" s="248" t="s">
        <v>4604</v>
      </c>
      <c r="C638" s="248" t="s">
        <v>4030</v>
      </c>
      <c r="D638" s="248"/>
      <c r="E638" s="248"/>
      <c r="F638" s="248"/>
      <c r="G638" s="248" t="s">
        <v>989</v>
      </c>
      <c r="H638" s="248"/>
      <c r="I638" s="248"/>
      <c r="J638" s="248"/>
      <c r="K638" s="248"/>
      <c r="L638" s="248"/>
      <c r="M638" s="248" t="s">
        <v>990</v>
      </c>
    </row>
    <row r="639" spans="1:13" ht="20.100000000000001" customHeight="1">
      <c r="A639" s="248"/>
      <c r="B639" s="248" t="s">
        <v>4605</v>
      </c>
      <c r="C639" s="248" t="s">
        <v>4014</v>
      </c>
      <c r="D639" s="248"/>
      <c r="E639" s="248"/>
      <c r="F639" s="248"/>
      <c r="G639" s="248" t="s">
        <v>3498</v>
      </c>
      <c r="H639" s="248"/>
      <c r="I639" s="248"/>
      <c r="J639" s="248"/>
      <c r="K639" s="248"/>
      <c r="L639" s="248"/>
      <c r="M639" s="248" t="s">
        <v>196</v>
      </c>
    </row>
    <row r="640" spans="1:13" ht="20.100000000000001" customHeight="1">
      <c r="A640" s="248"/>
      <c r="B640" s="248" t="s">
        <v>4606</v>
      </c>
      <c r="C640" s="248" t="s">
        <v>4036</v>
      </c>
      <c r="D640" s="248"/>
      <c r="E640" s="248"/>
      <c r="F640" s="248"/>
      <c r="G640" s="248" t="s">
        <v>3286</v>
      </c>
      <c r="H640" s="248"/>
      <c r="I640" s="248"/>
      <c r="J640" s="248"/>
      <c r="K640" s="248"/>
      <c r="L640" s="248"/>
      <c r="M640" s="248" t="s">
        <v>3287</v>
      </c>
    </row>
    <row r="641" spans="1:13" ht="20.100000000000001" customHeight="1">
      <c r="A641" s="248"/>
      <c r="B641" s="248" t="s">
        <v>4607</v>
      </c>
      <c r="C641" s="248" t="s">
        <v>4016</v>
      </c>
      <c r="D641" s="248"/>
      <c r="E641" s="248"/>
      <c r="F641" s="248"/>
      <c r="G641" s="248" t="s">
        <v>991</v>
      </c>
      <c r="H641" s="248"/>
      <c r="I641" s="248"/>
      <c r="J641" s="248"/>
      <c r="K641" s="248"/>
      <c r="L641" s="248"/>
      <c r="M641" s="248" t="s">
        <v>3550</v>
      </c>
    </row>
    <row r="642" spans="1:13" ht="20.100000000000001" customHeight="1">
      <c r="A642" s="248"/>
      <c r="B642" s="248" t="s">
        <v>4608</v>
      </c>
      <c r="C642" s="248" t="s">
        <v>4025</v>
      </c>
      <c r="D642" s="248"/>
      <c r="E642" s="248"/>
      <c r="F642" s="248"/>
      <c r="G642" s="248" t="s">
        <v>992</v>
      </c>
      <c r="H642" s="248"/>
      <c r="I642" s="248"/>
      <c r="J642" s="248"/>
      <c r="K642" s="248"/>
      <c r="L642" s="248"/>
      <c r="M642" s="248" t="s">
        <v>993</v>
      </c>
    </row>
    <row r="643" spans="1:13" ht="20.100000000000001" customHeight="1">
      <c r="A643" s="248"/>
      <c r="B643" s="248" t="s">
        <v>4609</v>
      </c>
      <c r="C643" s="248" t="s">
        <v>4008</v>
      </c>
      <c r="D643" s="248"/>
      <c r="E643" s="248"/>
      <c r="F643" s="248"/>
      <c r="G643" s="248" t="s">
        <v>3558</v>
      </c>
      <c r="H643" s="248"/>
      <c r="I643" s="248"/>
      <c r="J643" s="248"/>
      <c r="K643" s="248"/>
      <c r="L643" s="248"/>
      <c r="M643" s="248" t="s">
        <v>993</v>
      </c>
    </row>
    <row r="644" spans="1:13" ht="20.100000000000001" customHeight="1">
      <c r="A644" s="248"/>
      <c r="B644" s="248" t="s">
        <v>4610</v>
      </c>
      <c r="C644" s="248" t="s">
        <v>4014</v>
      </c>
      <c r="D644" s="248"/>
      <c r="E644" s="248"/>
      <c r="F644" s="248"/>
      <c r="G644" s="248" t="s">
        <v>3988</v>
      </c>
      <c r="H644" s="248"/>
      <c r="I644" s="248"/>
      <c r="J644" s="248"/>
      <c r="K644" s="248"/>
      <c r="L644" s="248"/>
      <c r="M644" s="248" t="s">
        <v>3989</v>
      </c>
    </row>
    <row r="645" spans="1:13" ht="20.100000000000001" customHeight="1">
      <c r="A645" s="248"/>
      <c r="B645" s="248" t="s">
        <v>6242</v>
      </c>
      <c r="C645" s="248" t="s">
        <v>4008</v>
      </c>
      <c r="D645" s="248"/>
      <c r="E645" s="248"/>
      <c r="F645" s="248"/>
      <c r="G645" s="248" t="s">
        <v>6243</v>
      </c>
      <c r="H645" s="248"/>
      <c r="I645" s="248"/>
      <c r="J645" s="248"/>
      <c r="K645" s="248"/>
      <c r="L645" s="248"/>
      <c r="M645" s="248" t="s">
        <v>196</v>
      </c>
    </row>
    <row r="646" spans="1:13" ht="20.100000000000001" customHeight="1">
      <c r="A646" s="248"/>
      <c r="B646" s="248" t="s">
        <v>4611</v>
      </c>
      <c r="C646" s="248" t="s">
        <v>4030</v>
      </c>
      <c r="D646" s="248"/>
      <c r="E646" s="248"/>
      <c r="F646" s="248"/>
      <c r="G646" s="248" t="s">
        <v>994</v>
      </c>
      <c r="H646" s="248"/>
      <c r="I646" s="248"/>
      <c r="J646" s="248"/>
      <c r="K646" s="248"/>
      <c r="L646" s="248"/>
      <c r="M646" s="248" t="s">
        <v>995</v>
      </c>
    </row>
    <row r="647" spans="1:13" ht="20.100000000000001" customHeight="1">
      <c r="A647" s="248"/>
      <c r="B647" s="248" t="s">
        <v>4612</v>
      </c>
      <c r="C647" s="248" t="s">
        <v>4016</v>
      </c>
      <c r="D647" s="248"/>
      <c r="E647" s="248"/>
      <c r="F647" s="248"/>
      <c r="G647" s="248" t="s">
        <v>996</v>
      </c>
      <c r="H647" s="248"/>
      <c r="I647" s="248"/>
      <c r="J647" s="248"/>
      <c r="K647" s="248"/>
      <c r="L647" s="248"/>
      <c r="M647" s="248" t="s">
        <v>997</v>
      </c>
    </row>
    <row r="648" spans="1:13" ht="20.100000000000001" customHeight="1">
      <c r="A648" s="248"/>
      <c r="B648" s="248" t="s">
        <v>6545</v>
      </c>
      <c r="C648" s="248" t="s">
        <v>4036</v>
      </c>
      <c r="D648" s="248"/>
      <c r="E648" s="248"/>
      <c r="F648" s="248"/>
      <c r="G648" s="248" t="s">
        <v>6546</v>
      </c>
      <c r="H648" s="248"/>
      <c r="I648" s="248"/>
      <c r="J648" s="248"/>
      <c r="K648" s="248"/>
      <c r="L648" s="248"/>
      <c r="M648" s="248" t="s">
        <v>6547</v>
      </c>
    </row>
    <row r="649" spans="1:13" ht="20.100000000000001" customHeight="1">
      <c r="A649" s="248"/>
      <c r="B649" s="248" t="s">
        <v>4613</v>
      </c>
      <c r="C649" s="248" t="s">
        <v>4014</v>
      </c>
      <c r="D649" s="248"/>
      <c r="E649" s="248"/>
      <c r="F649" s="248"/>
      <c r="G649" s="248" t="s">
        <v>3946</v>
      </c>
      <c r="H649" s="248"/>
      <c r="I649" s="248"/>
      <c r="J649" s="248"/>
      <c r="K649" s="248"/>
      <c r="L649" s="248"/>
      <c r="M649" s="248" t="s">
        <v>3550</v>
      </c>
    </row>
    <row r="650" spans="1:13" ht="20.100000000000001" customHeight="1">
      <c r="A650" s="248"/>
      <c r="B650" s="248" t="s">
        <v>4614</v>
      </c>
      <c r="C650" s="248" t="s">
        <v>4012</v>
      </c>
      <c r="D650" s="248"/>
      <c r="E650" s="248"/>
      <c r="F650" s="248"/>
      <c r="G650" s="248" t="s">
        <v>998</v>
      </c>
      <c r="H650" s="248"/>
      <c r="I650" s="248"/>
      <c r="J650" s="248"/>
      <c r="K650" s="248"/>
      <c r="L650" s="248"/>
      <c r="M650" s="248" t="s">
        <v>3550</v>
      </c>
    </row>
    <row r="651" spans="1:13" ht="20.100000000000001" customHeight="1">
      <c r="A651" s="248"/>
      <c r="B651" s="248" t="s">
        <v>4615</v>
      </c>
      <c r="C651" s="248" t="s">
        <v>4003</v>
      </c>
      <c r="D651" s="248"/>
      <c r="E651" s="248"/>
      <c r="F651" s="248"/>
      <c r="G651" s="248" t="s">
        <v>999</v>
      </c>
      <c r="H651" s="248"/>
      <c r="I651" s="248"/>
      <c r="J651" s="248"/>
      <c r="K651" s="248"/>
      <c r="L651" s="248"/>
      <c r="M651" s="248" t="s">
        <v>1000</v>
      </c>
    </row>
    <row r="652" spans="1:13" ht="20.100000000000001" customHeight="1">
      <c r="A652" s="248"/>
      <c r="B652" s="248" t="s">
        <v>4616</v>
      </c>
      <c r="C652" s="248" t="s">
        <v>4008</v>
      </c>
      <c r="D652" s="248"/>
      <c r="E652" s="248"/>
      <c r="F652" s="248"/>
      <c r="G652" s="248" t="s">
        <v>1001</v>
      </c>
      <c r="H652" s="248"/>
      <c r="I652" s="248"/>
      <c r="J652" s="248"/>
      <c r="K652" s="248"/>
      <c r="L652" s="248"/>
      <c r="M652" s="248" t="s">
        <v>3550</v>
      </c>
    </row>
    <row r="653" spans="1:13" ht="20.100000000000001" customHeight="1">
      <c r="A653" s="248"/>
      <c r="B653" s="248" t="s">
        <v>4617</v>
      </c>
      <c r="C653" s="248" t="s">
        <v>4025</v>
      </c>
      <c r="D653" s="248"/>
      <c r="E653" s="248"/>
      <c r="F653" s="248"/>
      <c r="G653" s="248" t="s">
        <v>1002</v>
      </c>
      <c r="H653" s="248"/>
      <c r="I653" s="248"/>
      <c r="J653" s="248"/>
      <c r="K653" s="248"/>
      <c r="L653" s="248"/>
      <c r="M653" s="248" t="s">
        <v>1003</v>
      </c>
    </row>
    <row r="654" spans="1:13" ht="20.100000000000001" customHeight="1">
      <c r="A654" s="248"/>
      <c r="B654" s="248" t="s">
        <v>4618</v>
      </c>
      <c r="C654" s="248" t="s">
        <v>4008</v>
      </c>
      <c r="D654" s="248"/>
      <c r="E654" s="248"/>
      <c r="F654" s="248"/>
      <c r="G654" s="248" t="s">
        <v>3868</v>
      </c>
      <c r="H654" s="248"/>
      <c r="I654" s="248"/>
      <c r="J654" s="248"/>
      <c r="K654" s="248"/>
      <c r="L654" s="248"/>
      <c r="M654" s="248" t="s">
        <v>3869</v>
      </c>
    </row>
    <row r="655" spans="1:13" ht="20.100000000000001" customHeight="1">
      <c r="A655" s="248"/>
      <c r="B655" s="248" t="s">
        <v>4619</v>
      </c>
      <c r="C655" s="248" t="s">
        <v>4025</v>
      </c>
      <c r="D655" s="248"/>
      <c r="E655" s="248"/>
      <c r="F655" s="248"/>
      <c r="G655" s="248" t="s">
        <v>3051</v>
      </c>
      <c r="H655" s="248"/>
      <c r="I655" s="248"/>
      <c r="J655" s="248"/>
      <c r="K655" s="248"/>
      <c r="L655" s="248"/>
      <c r="M655" s="248" t="s">
        <v>3052</v>
      </c>
    </row>
    <row r="656" spans="1:13" ht="20.100000000000001" customHeight="1">
      <c r="A656" s="248"/>
      <c r="B656" s="248" t="s">
        <v>4620</v>
      </c>
      <c r="C656" s="248" t="s">
        <v>4005</v>
      </c>
      <c r="D656" s="248"/>
      <c r="E656" s="248"/>
      <c r="F656" s="248"/>
      <c r="G656" s="248" t="s">
        <v>1004</v>
      </c>
      <c r="H656" s="248"/>
      <c r="I656" s="248"/>
      <c r="J656" s="248"/>
      <c r="K656" s="248"/>
      <c r="L656" s="248"/>
      <c r="M656" s="248" t="s">
        <v>1005</v>
      </c>
    </row>
    <row r="657" spans="1:13" ht="20.100000000000001" customHeight="1">
      <c r="A657" s="248"/>
      <c r="B657" s="248" t="s">
        <v>4621</v>
      </c>
      <c r="C657" s="248" t="s">
        <v>4025</v>
      </c>
      <c r="D657" s="248"/>
      <c r="E657" s="248"/>
      <c r="F657" s="248"/>
      <c r="G657" s="248" t="s">
        <v>3244</v>
      </c>
      <c r="H657" s="248"/>
      <c r="I657" s="248"/>
      <c r="J657" s="248"/>
      <c r="K657" s="248"/>
      <c r="L657" s="248"/>
      <c r="M657" s="248" t="s">
        <v>3245</v>
      </c>
    </row>
    <row r="658" spans="1:13" ht="20.100000000000001" customHeight="1">
      <c r="A658" s="248"/>
      <c r="B658" s="248" t="s">
        <v>4622</v>
      </c>
      <c r="C658" s="248" t="s">
        <v>4008</v>
      </c>
      <c r="D658" s="248"/>
      <c r="E658" s="248"/>
      <c r="F658" s="248"/>
      <c r="G658" s="248" t="s">
        <v>3001</v>
      </c>
      <c r="H658" s="248"/>
      <c r="I658" s="248"/>
      <c r="J658" s="248"/>
      <c r="K658" s="248"/>
      <c r="L658" s="248"/>
      <c r="M658" s="248" t="s">
        <v>3550</v>
      </c>
    </row>
    <row r="659" spans="1:13" ht="20.100000000000001" customHeight="1">
      <c r="A659" s="248"/>
      <c r="B659" s="248" t="s">
        <v>4623</v>
      </c>
      <c r="C659" s="248" t="s">
        <v>4016</v>
      </c>
      <c r="D659" s="248"/>
      <c r="E659" s="248"/>
      <c r="F659" s="248"/>
      <c r="G659" s="248" t="s">
        <v>1006</v>
      </c>
      <c r="H659" s="248"/>
      <c r="I659" s="248"/>
      <c r="J659" s="248"/>
      <c r="K659" s="248"/>
      <c r="L659" s="248"/>
      <c r="M659" s="248" t="s">
        <v>1007</v>
      </c>
    </row>
    <row r="660" spans="1:13" ht="20.100000000000001" customHeight="1">
      <c r="A660" s="248"/>
      <c r="B660" s="248" t="s">
        <v>4624</v>
      </c>
      <c r="C660" s="248" t="s">
        <v>4124</v>
      </c>
      <c r="D660" s="248"/>
      <c r="E660" s="248"/>
      <c r="F660" s="248"/>
      <c r="G660" s="248" t="s">
        <v>1008</v>
      </c>
      <c r="H660" s="248"/>
      <c r="I660" s="248"/>
      <c r="J660" s="248"/>
      <c r="K660" s="248"/>
      <c r="L660" s="248"/>
      <c r="M660" s="248" t="s">
        <v>1009</v>
      </c>
    </row>
    <row r="661" spans="1:13" ht="20.100000000000001" customHeight="1">
      <c r="A661" s="248"/>
      <c r="B661" s="248" t="s">
        <v>4625</v>
      </c>
      <c r="C661" s="248" t="s">
        <v>4012</v>
      </c>
      <c r="D661" s="248"/>
      <c r="E661" s="248"/>
      <c r="F661" s="248"/>
      <c r="G661" s="248" t="s">
        <v>6362</v>
      </c>
      <c r="H661" s="248"/>
      <c r="I661" s="248"/>
      <c r="J661" s="248"/>
      <c r="K661" s="248"/>
      <c r="L661" s="248"/>
      <c r="M661" s="248" t="s">
        <v>1010</v>
      </c>
    </row>
    <row r="662" spans="1:13" ht="20.100000000000001" customHeight="1">
      <c r="A662" s="248"/>
      <c r="B662" s="248" t="s">
        <v>4626</v>
      </c>
      <c r="C662" s="248" t="s">
        <v>4016</v>
      </c>
      <c r="D662" s="248"/>
      <c r="E662" s="248"/>
      <c r="F662" s="248"/>
      <c r="G662" s="248" t="s">
        <v>1011</v>
      </c>
      <c r="H662" s="248"/>
      <c r="I662" s="248"/>
      <c r="J662" s="248"/>
      <c r="K662" s="248"/>
      <c r="L662" s="248"/>
      <c r="M662" s="248" t="s">
        <v>1012</v>
      </c>
    </row>
    <row r="663" spans="1:13" ht="20.100000000000001" customHeight="1">
      <c r="A663" s="248"/>
      <c r="B663" s="248" t="s">
        <v>4627</v>
      </c>
      <c r="C663" s="248" t="s">
        <v>4008</v>
      </c>
      <c r="D663" s="248"/>
      <c r="E663" s="248"/>
      <c r="F663" s="248"/>
      <c r="G663" s="248" t="s">
        <v>1013</v>
      </c>
      <c r="H663" s="248"/>
      <c r="I663" s="248"/>
      <c r="J663" s="248"/>
      <c r="K663" s="248"/>
      <c r="L663" s="248"/>
      <c r="M663" s="248" t="s">
        <v>1014</v>
      </c>
    </row>
    <row r="664" spans="1:13" ht="20.100000000000001" customHeight="1">
      <c r="A664" s="248"/>
      <c r="B664" s="248" t="s">
        <v>4628</v>
      </c>
      <c r="C664" s="248" t="s">
        <v>4025</v>
      </c>
      <c r="D664" s="248"/>
      <c r="E664" s="248"/>
      <c r="F664" s="248"/>
      <c r="G664" s="248" t="s">
        <v>1015</v>
      </c>
      <c r="H664" s="248"/>
      <c r="I664" s="248"/>
      <c r="J664" s="248"/>
      <c r="K664" s="248"/>
      <c r="L664" s="248"/>
      <c r="M664" s="248" t="s">
        <v>1016</v>
      </c>
    </row>
    <row r="665" spans="1:13" ht="20.100000000000001" customHeight="1">
      <c r="A665" s="248"/>
      <c r="B665" s="248" t="s">
        <v>4629</v>
      </c>
      <c r="C665" s="248" t="s">
        <v>4016</v>
      </c>
      <c r="D665" s="248"/>
      <c r="E665" s="248"/>
      <c r="F665" s="248"/>
      <c r="G665" s="248" t="s">
        <v>1017</v>
      </c>
      <c r="H665" s="248"/>
      <c r="I665" s="248"/>
      <c r="J665" s="248"/>
      <c r="K665" s="248"/>
      <c r="L665" s="248"/>
      <c r="M665" s="248" t="s">
        <v>1018</v>
      </c>
    </row>
    <row r="666" spans="1:13" ht="20.100000000000001" customHeight="1">
      <c r="A666" s="248"/>
      <c r="B666" s="248" t="s">
        <v>4630</v>
      </c>
      <c r="C666" s="248" t="s">
        <v>4030</v>
      </c>
      <c r="D666" s="248"/>
      <c r="E666" s="248"/>
      <c r="F666" s="248"/>
      <c r="G666" s="248" t="s">
        <v>1019</v>
      </c>
      <c r="H666" s="248"/>
      <c r="I666" s="248"/>
      <c r="J666" s="248"/>
      <c r="K666" s="248"/>
      <c r="L666" s="248"/>
      <c r="M666" s="248" t="s">
        <v>1020</v>
      </c>
    </row>
    <row r="667" spans="1:13" ht="20.100000000000001" customHeight="1">
      <c r="A667" s="248"/>
      <c r="B667" s="248" t="s">
        <v>4631</v>
      </c>
      <c r="C667" s="248" t="s">
        <v>4036</v>
      </c>
      <c r="D667" s="248"/>
      <c r="E667" s="248"/>
      <c r="F667" s="248"/>
      <c r="G667" s="248" t="s">
        <v>1021</v>
      </c>
      <c r="H667" s="248"/>
      <c r="I667" s="248"/>
      <c r="J667" s="248"/>
      <c r="K667" s="248"/>
      <c r="L667" s="248"/>
      <c r="M667" s="248" t="s">
        <v>3550</v>
      </c>
    </row>
    <row r="668" spans="1:13" ht="20.100000000000001" customHeight="1">
      <c r="A668" s="248"/>
      <c r="B668" s="248" t="s">
        <v>4632</v>
      </c>
      <c r="C668" s="248" t="s">
        <v>4012</v>
      </c>
      <c r="D668" s="248"/>
      <c r="E668" s="248"/>
      <c r="F668" s="248"/>
      <c r="G668" s="248" t="s">
        <v>1022</v>
      </c>
      <c r="H668" s="248"/>
      <c r="I668" s="248"/>
      <c r="J668" s="248"/>
      <c r="K668" s="248"/>
      <c r="L668" s="248"/>
      <c r="M668" s="248" t="s">
        <v>1023</v>
      </c>
    </row>
    <row r="669" spans="1:13" ht="20.100000000000001" customHeight="1">
      <c r="A669" s="248"/>
      <c r="B669" s="248" t="s">
        <v>4633</v>
      </c>
      <c r="C669" s="248" t="s">
        <v>4030</v>
      </c>
      <c r="D669" s="248"/>
      <c r="E669" s="248"/>
      <c r="F669" s="248"/>
      <c r="G669" s="248" t="s">
        <v>1024</v>
      </c>
      <c r="H669" s="248"/>
      <c r="I669" s="248"/>
      <c r="J669" s="248"/>
      <c r="K669" s="248"/>
      <c r="L669" s="248"/>
      <c r="M669" s="248" t="s">
        <v>1025</v>
      </c>
    </row>
    <row r="670" spans="1:13" ht="20.100000000000001" customHeight="1">
      <c r="A670" s="248"/>
      <c r="B670" s="248" t="s">
        <v>4634</v>
      </c>
      <c r="C670" s="248" t="s">
        <v>4016</v>
      </c>
      <c r="D670" s="248"/>
      <c r="E670" s="248"/>
      <c r="F670" s="248"/>
      <c r="G670" s="248" t="s">
        <v>2998</v>
      </c>
      <c r="H670" s="248"/>
      <c r="I670" s="248"/>
      <c r="J670" s="248"/>
      <c r="K670" s="248"/>
      <c r="L670" s="248"/>
      <c r="M670" s="248" t="s">
        <v>2999</v>
      </c>
    </row>
    <row r="671" spans="1:13" ht="20.100000000000001" customHeight="1">
      <c r="A671" s="248"/>
      <c r="B671" s="248" t="s">
        <v>4635</v>
      </c>
      <c r="C671" s="248" t="s">
        <v>4012</v>
      </c>
      <c r="D671" s="248"/>
      <c r="E671" s="248"/>
      <c r="F671" s="248"/>
      <c r="G671" s="248" t="s">
        <v>1026</v>
      </c>
      <c r="H671" s="248"/>
      <c r="I671" s="248"/>
      <c r="J671" s="248"/>
      <c r="K671" s="248"/>
      <c r="L671" s="248"/>
      <c r="M671" s="248" t="s">
        <v>1027</v>
      </c>
    </row>
    <row r="672" spans="1:13" ht="20.100000000000001" customHeight="1">
      <c r="A672" s="248"/>
      <c r="B672" s="248" t="s">
        <v>4636</v>
      </c>
      <c r="C672" s="248" t="s">
        <v>4008</v>
      </c>
      <c r="D672" s="248"/>
      <c r="E672" s="248"/>
      <c r="F672" s="248"/>
      <c r="G672" s="248" t="s">
        <v>1028</v>
      </c>
      <c r="H672" s="248"/>
      <c r="I672" s="248"/>
      <c r="J672" s="248"/>
      <c r="K672" s="248"/>
      <c r="L672" s="248"/>
      <c r="M672" s="248" t="s">
        <v>3550</v>
      </c>
    </row>
    <row r="673" spans="1:13" ht="20.100000000000001" customHeight="1">
      <c r="A673" s="248"/>
      <c r="B673" s="248" t="s">
        <v>4637</v>
      </c>
      <c r="C673" s="248" t="s">
        <v>4146</v>
      </c>
      <c r="D673" s="248"/>
      <c r="E673" s="248"/>
      <c r="F673" s="248"/>
      <c r="G673" s="248" t="s">
        <v>3196</v>
      </c>
      <c r="H673" s="248"/>
      <c r="I673" s="248"/>
      <c r="J673" s="248"/>
      <c r="K673" s="248"/>
      <c r="L673" s="248"/>
      <c r="M673" s="248" t="s">
        <v>3197</v>
      </c>
    </row>
    <row r="674" spans="1:13" ht="20.100000000000001" customHeight="1">
      <c r="A674" s="248"/>
      <c r="B674" s="248" t="s">
        <v>4638</v>
      </c>
      <c r="C674" s="248" t="s">
        <v>4025</v>
      </c>
      <c r="D674" s="248"/>
      <c r="E674" s="248"/>
      <c r="F674" s="248"/>
      <c r="G674" s="248" t="s">
        <v>1029</v>
      </c>
      <c r="H674" s="248"/>
      <c r="I674" s="248"/>
      <c r="J674" s="248"/>
      <c r="K674" s="248"/>
      <c r="L674" s="248"/>
      <c r="M674" s="248" t="s">
        <v>3550</v>
      </c>
    </row>
    <row r="675" spans="1:13" ht="20.100000000000001" customHeight="1">
      <c r="A675" s="248"/>
      <c r="B675" s="248" t="s">
        <v>4639</v>
      </c>
      <c r="C675" s="248" t="s">
        <v>4030</v>
      </c>
      <c r="D675" s="248"/>
      <c r="E675" s="248"/>
      <c r="F675" s="248"/>
      <c r="G675" s="248" t="s">
        <v>1030</v>
      </c>
      <c r="H675" s="248"/>
      <c r="I675" s="248"/>
      <c r="J675" s="248"/>
      <c r="K675" s="248"/>
      <c r="L675" s="248"/>
      <c r="M675" s="248" t="s">
        <v>1031</v>
      </c>
    </row>
    <row r="676" spans="1:13" ht="20.100000000000001" customHeight="1">
      <c r="A676" s="248"/>
      <c r="B676" s="248" t="s">
        <v>4640</v>
      </c>
      <c r="C676" s="248" t="s">
        <v>4003</v>
      </c>
      <c r="D676" s="248"/>
      <c r="E676" s="248"/>
      <c r="F676" s="248"/>
      <c r="G676" s="248" t="s">
        <v>1032</v>
      </c>
      <c r="H676" s="248"/>
      <c r="I676" s="248"/>
      <c r="J676" s="248"/>
      <c r="K676" s="248"/>
      <c r="L676" s="248"/>
      <c r="M676" s="248" t="s">
        <v>3550</v>
      </c>
    </row>
    <row r="677" spans="1:13" ht="20.100000000000001" customHeight="1">
      <c r="A677" s="248"/>
      <c r="B677" s="248" t="s">
        <v>4641</v>
      </c>
      <c r="C677" s="248" t="s">
        <v>4012</v>
      </c>
      <c r="D677" s="248"/>
      <c r="E677" s="248"/>
      <c r="F677" s="248"/>
      <c r="G677" s="248" t="s">
        <v>1033</v>
      </c>
      <c r="H677" s="248"/>
      <c r="I677" s="248"/>
      <c r="J677" s="248"/>
      <c r="K677" s="248"/>
      <c r="L677" s="248"/>
      <c r="M677" s="248" t="s">
        <v>1034</v>
      </c>
    </row>
    <row r="678" spans="1:13" ht="20.100000000000001" customHeight="1">
      <c r="A678" s="248"/>
      <c r="B678" s="248" t="s">
        <v>4642</v>
      </c>
      <c r="C678" s="248" t="s">
        <v>4008</v>
      </c>
      <c r="D678" s="248"/>
      <c r="E678" s="248"/>
      <c r="F678" s="248"/>
      <c r="G678" s="248" t="s">
        <v>1035</v>
      </c>
      <c r="H678" s="248"/>
      <c r="I678" s="248"/>
      <c r="J678" s="248"/>
      <c r="K678" s="248"/>
      <c r="L678" s="248"/>
      <c r="M678" s="248" t="s">
        <v>1036</v>
      </c>
    </row>
    <row r="679" spans="1:13" ht="20.100000000000001" customHeight="1">
      <c r="A679" s="248"/>
      <c r="B679" s="248" t="s">
        <v>4643</v>
      </c>
      <c r="C679" s="248" t="s">
        <v>4030</v>
      </c>
      <c r="D679" s="248"/>
      <c r="E679" s="248"/>
      <c r="F679" s="248"/>
      <c r="G679" s="248" t="s">
        <v>1037</v>
      </c>
      <c r="H679" s="248"/>
      <c r="I679" s="248"/>
      <c r="J679" s="248"/>
      <c r="K679" s="248"/>
      <c r="L679" s="248"/>
      <c r="M679" s="248" t="s">
        <v>3550</v>
      </c>
    </row>
    <row r="680" spans="1:13" ht="20.100000000000001" customHeight="1">
      <c r="A680" s="248"/>
      <c r="B680" s="248" t="s">
        <v>4644</v>
      </c>
      <c r="C680" s="248" t="s">
        <v>4025</v>
      </c>
      <c r="D680" s="248"/>
      <c r="E680" s="248"/>
      <c r="F680" s="248"/>
      <c r="G680" s="248" t="s">
        <v>1038</v>
      </c>
      <c r="H680" s="248"/>
      <c r="I680" s="248"/>
      <c r="J680" s="248"/>
      <c r="K680" s="248"/>
      <c r="L680" s="248"/>
      <c r="M680" s="248" t="s">
        <v>1039</v>
      </c>
    </row>
    <row r="681" spans="1:13" ht="20.100000000000001" customHeight="1">
      <c r="A681" s="248"/>
      <c r="B681" s="248" t="s">
        <v>4645</v>
      </c>
      <c r="C681" s="248" t="s">
        <v>4008</v>
      </c>
      <c r="D681" s="248"/>
      <c r="E681" s="248"/>
      <c r="F681" s="248"/>
      <c r="G681" s="248" t="s">
        <v>3721</v>
      </c>
      <c r="H681" s="248"/>
      <c r="I681" s="248"/>
      <c r="J681" s="248"/>
      <c r="K681" s="248"/>
      <c r="L681" s="248"/>
      <c r="M681" s="248" t="s">
        <v>3722</v>
      </c>
    </row>
    <row r="682" spans="1:13" ht="20.100000000000001" customHeight="1">
      <c r="A682" s="248"/>
      <c r="B682" s="248" t="s">
        <v>4646</v>
      </c>
      <c r="C682" s="248" t="s">
        <v>4016</v>
      </c>
      <c r="D682" s="248"/>
      <c r="E682" s="248"/>
      <c r="F682" s="248"/>
      <c r="G682" s="248" t="s">
        <v>1040</v>
      </c>
      <c r="H682" s="248"/>
      <c r="I682" s="248"/>
      <c r="J682" s="248"/>
      <c r="K682" s="248"/>
      <c r="L682" s="248"/>
      <c r="M682" s="248" t="s">
        <v>3550</v>
      </c>
    </row>
    <row r="683" spans="1:13" ht="20.100000000000001" customHeight="1">
      <c r="A683" s="248"/>
      <c r="B683" s="248" t="s">
        <v>4647</v>
      </c>
      <c r="C683" s="248" t="s">
        <v>4014</v>
      </c>
      <c r="D683" s="248"/>
      <c r="E683" s="248"/>
      <c r="F683" s="248"/>
      <c r="G683" s="248" t="s">
        <v>3785</v>
      </c>
      <c r="H683" s="248"/>
      <c r="I683" s="248"/>
      <c r="J683" s="248"/>
      <c r="K683" s="248"/>
      <c r="L683" s="248"/>
      <c r="M683" s="248" t="s">
        <v>3550</v>
      </c>
    </row>
    <row r="684" spans="1:13" ht="20.100000000000001" customHeight="1">
      <c r="A684" s="248"/>
      <c r="B684" s="248" t="s">
        <v>4648</v>
      </c>
      <c r="C684" s="248" t="s">
        <v>4030</v>
      </c>
      <c r="D684" s="248"/>
      <c r="E684" s="248"/>
      <c r="F684" s="248"/>
      <c r="G684" s="248" t="s">
        <v>1041</v>
      </c>
      <c r="H684" s="248"/>
      <c r="I684" s="248"/>
      <c r="J684" s="248"/>
      <c r="K684" s="248"/>
      <c r="L684" s="248"/>
      <c r="M684" s="248" t="s">
        <v>1042</v>
      </c>
    </row>
    <row r="685" spans="1:13" ht="20.100000000000001" customHeight="1">
      <c r="A685" s="248"/>
      <c r="B685" s="248" t="s">
        <v>4649</v>
      </c>
      <c r="C685" s="248" t="s">
        <v>4012</v>
      </c>
      <c r="D685" s="248"/>
      <c r="E685" s="248"/>
      <c r="F685" s="248"/>
      <c r="G685" s="248" t="s">
        <v>1043</v>
      </c>
      <c r="H685" s="248"/>
      <c r="I685" s="248"/>
      <c r="J685" s="248"/>
      <c r="K685" s="248"/>
      <c r="L685" s="248"/>
      <c r="M685" s="248" t="s">
        <v>1044</v>
      </c>
    </row>
    <row r="686" spans="1:13" ht="20.100000000000001" customHeight="1">
      <c r="A686" s="248"/>
      <c r="B686" s="248" t="s">
        <v>4650</v>
      </c>
      <c r="C686" s="248" t="s">
        <v>4003</v>
      </c>
      <c r="D686" s="248"/>
      <c r="E686" s="248"/>
      <c r="F686" s="248"/>
      <c r="G686" s="248" t="s">
        <v>3604</v>
      </c>
      <c r="H686" s="248"/>
      <c r="I686" s="248"/>
      <c r="J686" s="248"/>
      <c r="K686" s="248"/>
      <c r="L686" s="248"/>
      <c r="M686" s="248" t="s">
        <v>3605</v>
      </c>
    </row>
    <row r="687" spans="1:13" ht="20.100000000000001" customHeight="1">
      <c r="A687" s="248"/>
      <c r="B687" s="248" t="s">
        <v>6293</v>
      </c>
      <c r="C687" s="248" t="s">
        <v>4008</v>
      </c>
      <c r="D687" s="248"/>
      <c r="E687" s="248"/>
      <c r="F687" s="248"/>
      <c r="G687" s="248" t="s">
        <v>6294</v>
      </c>
      <c r="H687" s="248"/>
      <c r="I687" s="248"/>
      <c r="J687" s="248"/>
      <c r="K687" s="248"/>
      <c r="L687" s="248"/>
      <c r="M687" s="248" t="s">
        <v>3550</v>
      </c>
    </row>
    <row r="688" spans="1:13" ht="20.100000000000001" customHeight="1">
      <c r="A688" s="248"/>
      <c r="B688" s="248" t="s">
        <v>4651</v>
      </c>
      <c r="C688" s="248" t="s">
        <v>4025</v>
      </c>
      <c r="D688" s="248"/>
      <c r="E688" s="248"/>
      <c r="F688" s="248"/>
      <c r="G688" s="248" t="s">
        <v>3298</v>
      </c>
      <c r="H688" s="248"/>
      <c r="I688" s="248"/>
      <c r="J688" s="248"/>
      <c r="K688" s="248"/>
      <c r="L688" s="248"/>
      <c r="M688" s="248" t="s">
        <v>1045</v>
      </c>
    </row>
    <row r="689" spans="1:13" ht="20.100000000000001" customHeight="1">
      <c r="A689" s="248"/>
      <c r="B689" s="248" t="s">
        <v>4652</v>
      </c>
      <c r="C689" s="248" t="s">
        <v>4008</v>
      </c>
      <c r="D689" s="248"/>
      <c r="E689" s="248"/>
      <c r="F689" s="248"/>
      <c r="G689" s="248" t="s">
        <v>1046</v>
      </c>
      <c r="H689" s="248"/>
      <c r="I689" s="248"/>
      <c r="J689" s="248"/>
      <c r="K689" s="248"/>
      <c r="L689" s="248"/>
      <c r="M689" s="248" t="s">
        <v>1047</v>
      </c>
    </row>
    <row r="690" spans="1:13" ht="20.100000000000001" customHeight="1">
      <c r="A690" s="248"/>
      <c r="B690" s="248" t="s">
        <v>4653</v>
      </c>
      <c r="C690" s="248" t="s">
        <v>4016</v>
      </c>
      <c r="D690" s="248"/>
      <c r="E690" s="248"/>
      <c r="F690" s="248"/>
      <c r="G690" s="248" t="s">
        <v>2991</v>
      </c>
      <c r="H690" s="248"/>
      <c r="I690" s="248"/>
      <c r="J690" s="248"/>
      <c r="K690" s="248"/>
      <c r="L690" s="248"/>
      <c r="M690" s="248" t="s">
        <v>3550</v>
      </c>
    </row>
    <row r="691" spans="1:13" ht="20.100000000000001" customHeight="1">
      <c r="A691" s="248"/>
      <c r="B691" s="248" t="s">
        <v>4654</v>
      </c>
      <c r="C691" s="248" t="s">
        <v>4012</v>
      </c>
      <c r="D691" s="248"/>
      <c r="E691" s="248"/>
      <c r="F691" s="248"/>
      <c r="G691" s="248" t="s">
        <v>3947</v>
      </c>
      <c r="H691" s="248"/>
      <c r="I691" s="248"/>
      <c r="J691" s="248"/>
      <c r="K691" s="248"/>
      <c r="L691" s="248"/>
      <c r="M691" s="248" t="s">
        <v>3948</v>
      </c>
    </row>
    <row r="692" spans="1:13" ht="20.100000000000001" customHeight="1">
      <c r="A692" s="248"/>
      <c r="B692" s="248" t="s">
        <v>4655</v>
      </c>
      <c r="C692" s="248" t="s">
        <v>4030</v>
      </c>
      <c r="D692" s="248"/>
      <c r="E692" s="248"/>
      <c r="F692" s="248"/>
      <c r="G692" s="248" t="s">
        <v>3315</v>
      </c>
      <c r="H692" s="248"/>
      <c r="I692" s="248"/>
      <c r="J692" s="248"/>
      <c r="K692" s="248"/>
      <c r="L692" s="248"/>
      <c r="M692" s="248" t="s">
        <v>3316</v>
      </c>
    </row>
    <row r="693" spans="1:13" ht="20.100000000000001" customHeight="1">
      <c r="A693" s="248"/>
      <c r="B693" s="248" t="s">
        <v>4656</v>
      </c>
      <c r="C693" s="248" t="s">
        <v>4014</v>
      </c>
      <c r="D693" s="248"/>
      <c r="E693" s="248"/>
      <c r="F693" s="248"/>
      <c r="G693" s="248" t="s">
        <v>1048</v>
      </c>
      <c r="H693" s="248"/>
      <c r="I693" s="248"/>
      <c r="J693" s="248"/>
      <c r="K693" s="248"/>
      <c r="L693" s="248"/>
      <c r="M693" s="248" t="s">
        <v>1049</v>
      </c>
    </row>
    <row r="694" spans="1:13" ht="20.100000000000001" customHeight="1">
      <c r="A694" s="248"/>
      <c r="B694" s="248" t="s">
        <v>6295</v>
      </c>
      <c r="C694" s="248" t="s">
        <v>4008</v>
      </c>
      <c r="D694" s="248"/>
      <c r="E694" s="248"/>
      <c r="F694" s="248"/>
      <c r="G694" s="248" t="s">
        <v>6296</v>
      </c>
      <c r="H694" s="248"/>
      <c r="I694" s="248"/>
      <c r="J694" s="248"/>
      <c r="K694" s="248"/>
      <c r="L694" s="248"/>
      <c r="M694" s="248" t="s">
        <v>6297</v>
      </c>
    </row>
    <row r="695" spans="1:13" ht="20.100000000000001" customHeight="1">
      <c r="A695" s="248"/>
      <c r="B695" s="248" t="s">
        <v>4657</v>
      </c>
      <c r="C695" s="248" t="s">
        <v>4014</v>
      </c>
      <c r="D695" s="248"/>
      <c r="E695" s="248"/>
      <c r="F695" s="248"/>
      <c r="G695" s="248" t="s">
        <v>1050</v>
      </c>
      <c r="H695" s="248"/>
      <c r="I695" s="248"/>
      <c r="J695" s="248"/>
      <c r="K695" s="248"/>
      <c r="L695" s="248"/>
      <c r="M695" s="248" t="s">
        <v>1051</v>
      </c>
    </row>
    <row r="696" spans="1:13" ht="20.100000000000001" customHeight="1">
      <c r="A696" s="248"/>
      <c r="B696" s="248" t="s">
        <v>4658</v>
      </c>
      <c r="C696" s="248" t="s">
        <v>4014</v>
      </c>
      <c r="D696" s="248"/>
      <c r="E696" s="248"/>
      <c r="F696" s="248"/>
      <c r="G696" s="248" t="s">
        <v>1052</v>
      </c>
      <c r="H696" s="248"/>
      <c r="I696" s="248"/>
      <c r="J696" s="248"/>
      <c r="K696" s="248"/>
      <c r="L696" s="248"/>
      <c r="M696" s="248" t="s">
        <v>3550</v>
      </c>
    </row>
    <row r="697" spans="1:13" ht="20.100000000000001" customHeight="1">
      <c r="A697" s="248"/>
      <c r="B697" s="248" t="s">
        <v>6487</v>
      </c>
      <c r="C697" s="248" t="s">
        <v>4036</v>
      </c>
      <c r="D697" s="248"/>
      <c r="E697" s="248"/>
      <c r="F697" s="248"/>
      <c r="G697" s="248" t="s">
        <v>6488</v>
      </c>
      <c r="H697" s="248"/>
      <c r="I697" s="248"/>
      <c r="J697" s="248"/>
      <c r="K697" s="248"/>
      <c r="L697" s="248"/>
      <c r="M697" s="248" t="s">
        <v>6489</v>
      </c>
    </row>
    <row r="698" spans="1:13" ht="20.100000000000001" customHeight="1">
      <c r="A698" s="248"/>
      <c r="B698" s="248" t="s">
        <v>4659</v>
      </c>
      <c r="C698" s="248" t="s">
        <v>4012</v>
      </c>
      <c r="D698" s="248"/>
      <c r="E698" s="248"/>
      <c r="F698" s="248"/>
      <c r="G698" s="248" t="s">
        <v>1053</v>
      </c>
      <c r="H698" s="248"/>
      <c r="I698" s="248"/>
      <c r="J698" s="248"/>
      <c r="K698" s="248"/>
      <c r="L698" s="248"/>
      <c r="M698" s="248" t="s">
        <v>3550</v>
      </c>
    </row>
    <row r="699" spans="1:13" ht="20.100000000000001" customHeight="1">
      <c r="A699" s="248"/>
      <c r="B699" s="248" t="s">
        <v>6177</v>
      </c>
      <c r="C699" s="248" t="s">
        <v>4003</v>
      </c>
      <c r="D699" s="248"/>
      <c r="E699" s="248"/>
      <c r="F699" s="248"/>
      <c r="G699" s="248" t="s">
        <v>6178</v>
      </c>
      <c r="H699" s="248"/>
      <c r="I699" s="248"/>
      <c r="J699" s="248"/>
      <c r="K699" s="248"/>
      <c r="L699" s="248"/>
      <c r="M699" s="248" t="s">
        <v>3418</v>
      </c>
    </row>
    <row r="700" spans="1:13" ht="20.100000000000001" customHeight="1">
      <c r="A700" s="248"/>
      <c r="B700" s="248" t="s">
        <v>4660</v>
      </c>
      <c r="C700" s="248" t="s">
        <v>4050</v>
      </c>
      <c r="D700" s="248"/>
      <c r="E700" s="248"/>
      <c r="F700" s="248"/>
      <c r="G700" s="248" t="s">
        <v>1054</v>
      </c>
      <c r="H700" s="248"/>
      <c r="I700" s="248"/>
      <c r="J700" s="248"/>
      <c r="K700" s="248"/>
      <c r="L700" s="248"/>
      <c r="M700" s="248" t="s">
        <v>1055</v>
      </c>
    </row>
    <row r="701" spans="1:13" ht="20.100000000000001" customHeight="1">
      <c r="A701" s="248"/>
      <c r="B701" s="248" t="s">
        <v>6244</v>
      </c>
      <c r="C701" s="248" t="s">
        <v>4036</v>
      </c>
      <c r="D701" s="248"/>
      <c r="E701" s="248"/>
      <c r="F701" s="248"/>
      <c r="G701" s="248" t="s">
        <v>6245</v>
      </c>
      <c r="H701" s="248"/>
      <c r="I701" s="248"/>
      <c r="J701" s="248"/>
      <c r="K701" s="248"/>
      <c r="L701" s="248"/>
      <c r="M701" s="248" t="s">
        <v>3550</v>
      </c>
    </row>
    <row r="702" spans="1:13" ht="20.100000000000001" customHeight="1">
      <c r="A702" s="248"/>
      <c r="B702" s="248" t="s">
        <v>4661</v>
      </c>
      <c r="C702" s="248" t="s">
        <v>4016</v>
      </c>
      <c r="D702" s="248"/>
      <c r="E702" s="248"/>
      <c r="F702" s="248"/>
      <c r="G702" s="248" t="s">
        <v>1056</v>
      </c>
      <c r="H702" s="248"/>
      <c r="I702" s="248"/>
      <c r="J702" s="248"/>
      <c r="K702" s="248"/>
      <c r="L702" s="248"/>
      <c r="M702" s="248" t="s">
        <v>1057</v>
      </c>
    </row>
    <row r="703" spans="1:13" ht="20.100000000000001" customHeight="1">
      <c r="A703" s="248"/>
      <c r="B703" s="248" t="s">
        <v>4662</v>
      </c>
      <c r="C703" s="248" t="s">
        <v>4014</v>
      </c>
      <c r="D703" s="248"/>
      <c r="E703" s="248"/>
      <c r="F703" s="248"/>
      <c r="G703" s="248" t="s">
        <v>3263</v>
      </c>
      <c r="H703" s="248"/>
      <c r="I703" s="248"/>
      <c r="J703" s="248"/>
      <c r="K703" s="248"/>
      <c r="L703" s="248"/>
      <c r="M703" s="248" t="s">
        <v>1058</v>
      </c>
    </row>
    <row r="704" spans="1:13" ht="20.100000000000001" customHeight="1">
      <c r="A704" s="248"/>
      <c r="B704" s="248" t="s">
        <v>4663</v>
      </c>
      <c r="C704" s="248" t="s">
        <v>4003</v>
      </c>
      <c r="D704" s="248"/>
      <c r="E704" s="248"/>
      <c r="F704" s="248"/>
      <c r="G704" s="248" t="s">
        <v>3198</v>
      </c>
      <c r="H704" s="248"/>
      <c r="I704" s="248"/>
      <c r="J704" s="248"/>
      <c r="K704" s="248"/>
      <c r="L704" s="248"/>
      <c r="M704" s="248" t="s">
        <v>3199</v>
      </c>
    </row>
    <row r="705" spans="1:13" ht="20.100000000000001" customHeight="1">
      <c r="A705" s="248"/>
      <c r="B705" s="248" t="s">
        <v>4664</v>
      </c>
      <c r="C705" s="248" t="s">
        <v>4146</v>
      </c>
      <c r="D705" s="248"/>
      <c r="E705" s="248"/>
      <c r="F705" s="248"/>
      <c r="G705" s="248" t="s">
        <v>1059</v>
      </c>
      <c r="H705" s="248"/>
      <c r="I705" s="248"/>
      <c r="J705" s="248"/>
      <c r="K705" s="248"/>
      <c r="L705" s="248"/>
      <c r="M705" s="248" t="s">
        <v>3550</v>
      </c>
    </row>
    <row r="706" spans="1:13" ht="20.100000000000001" customHeight="1">
      <c r="A706" s="248"/>
      <c r="B706" s="248" t="s">
        <v>4665</v>
      </c>
      <c r="C706" s="248" t="s">
        <v>4174</v>
      </c>
      <c r="D706" s="248"/>
      <c r="E706" s="248"/>
      <c r="F706" s="248"/>
      <c r="G706" s="248" t="s">
        <v>1060</v>
      </c>
      <c r="H706" s="248"/>
      <c r="I706" s="248"/>
      <c r="J706" s="248"/>
      <c r="K706" s="248"/>
      <c r="L706" s="248"/>
      <c r="M706" s="248" t="s">
        <v>1061</v>
      </c>
    </row>
    <row r="707" spans="1:13" ht="20.100000000000001" customHeight="1">
      <c r="A707" s="248"/>
      <c r="B707" s="248" t="s">
        <v>4666</v>
      </c>
      <c r="C707" s="248" t="s">
        <v>4003</v>
      </c>
      <c r="D707" s="248"/>
      <c r="E707" s="248"/>
      <c r="F707" s="248"/>
      <c r="G707" s="248" t="s">
        <v>6404</v>
      </c>
      <c r="H707" s="248"/>
      <c r="I707" s="248"/>
      <c r="J707" s="248"/>
      <c r="K707" s="248"/>
      <c r="L707" s="248"/>
      <c r="M707" s="248" t="s">
        <v>1062</v>
      </c>
    </row>
    <row r="708" spans="1:13" ht="20.100000000000001" customHeight="1">
      <c r="A708" s="248"/>
      <c r="B708" s="248" t="s">
        <v>4667</v>
      </c>
      <c r="C708" s="248" t="s">
        <v>4016</v>
      </c>
      <c r="D708" s="248"/>
      <c r="E708" s="248"/>
      <c r="F708" s="248"/>
      <c r="G708" s="248" t="s">
        <v>1063</v>
      </c>
      <c r="H708" s="248"/>
      <c r="I708" s="248"/>
      <c r="J708" s="248"/>
      <c r="K708" s="248"/>
      <c r="L708" s="248"/>
      <c r="M708" s="248" t="s">
        <v>1064</v>
      </c>
    </row>
    <row r="709" spans="1:13" ht="20.100000000000001" customHeight="1">
      <c r="A709" s="248"/>
      <c r="B709" s="248" t="s">
        <v>4668</v>
      </c>
      <c r="C709" s="248" t="s">
        <v>4036</v>
      </c>
      <c r="D709" s="248"/>
      <c r="E709" s="248"/>
      <c r="F709" s="248"/>
      <c r="G709" s="248" t="s">
        <v>3870</v>
      </c>
      <c r="H709" s="248"/>
      <c r="I709" s="248"/>
      <c r="J709" s="248"/>
      <c r="K709" s="248"/>
      <c r="L709" s="248"/>
      <c r="M709" s="248" t="s">
        <v>3871</v>
      </c>
    </row>
    <row r="710" spans="1:13" ht="20.100000000000001" customHeight="1">
      <c r="A710" s="248"/>
      <c r="B710" s="248" t="s">
        <v>4669</v>
      </c>
      <c r="C710" s="248" t="s">
        <v>4025</v>
      </c>
      <c r="D710" s="248"/>
      <c r="E710" s="248"/>
      <c r="F710" s="248"/>
      <c r="G710" s="248" t="s">
        <v>1067</v>
      </c>
      <c r="H710" s="248"/>
      <c r="I710" s="248"/>
      <c r="J710" s="248"/>
      <c r="K710" s="248"/>
      <c r="L710" s="248"/>
      <c r="M710" s="248" t="s">
        <v>1068</v>
      </c>
    </row>
    <row r="711" spans="1:13" ht="20.100000000000001" customHeight="1">
      <c r="A711" s="248"/>
      <c r="B711" s="248" t="s">
        <v>4670</v>
      </c>
      <c r="C711" s="248" t="s">
        <v>4030</v>
      </c>
      <c r="D711" s="248"/>
      <c r="E711" s="248"/>
      <c r="F711" s="248"/>
      <c r="G711" s="248" t="s">
        <v>1065</v>
      </c>
      <c r="H711" s="248"/>
      <c r="I711" s="248"/>
      <c r="J711" s="248"/>
      <c r="K711" s="248"/>
      <c r="L711" s="248"/>
      <c r="M711" s="248" t="s">
        <v>1066</v>
      </c>
    </row>
    <row r="712" spans="1:13" ht="20.100000000000001" customHeight="1">
      <c r="A712" s="248"/>
      <c r="B712" s="248" t="s">
        <v>4671</v>
      </c>
      <c r="C712" s="248" t="s">
        <v>4271</v>
      </c>
      <c r="D712" s="248"/>
      <c r="E712" s="248"/>
      <c r="F712" s="248"/>
      <c r="G712" s="248" t="s">
        <v>3264</v>
      </c>
      <c r="H712" s="248"/>
      <c r="I712" s="248"/>
      <c r="J712" s="248"/>
      <c r="K712" s="248"/>
      <c r="L712" s="248"/>
      <c r="M712" s="248" t="s">
        <v>1069</v>
      </c>
    </row>
    <row r="713" spans="1:13" ht="20.100000000000001" customHeight="1">
      <c r="A713" s="248"/>
      <c r="B713" s="248" t="s">
        <v>4672</v>
      </c>
      <c r="C713" s="248" t="s">
        <v>4050</v>
      </c>
      <c r="D713" s="248"/>
      <c r="E713" s="248"/>
      <c r="F713" s="248"/>
      <c r="G713" s="248" t="s">
        <v>3299</v>
      </c>
      <c r="H713" s="248"/>
      <c r="I713" s="248"/>
      <c r="J713" s="248"/>
      <c r="K713" s="248"/>
      <c r="L713" s="248"/>
      <c r="M713" s="248" t="s">
        <v>1070</v>
      </c>
    </row>
    <row r="714" spans="1:13" ht="20.100000000000001" customHeight="1">
      <c r="A714" s="248"/>
      <c r="B714" s="248" t="s">
        <v>4673</v>
      </c>
      <c r="C714" s="248" t="s">
        <v>4030</v>
      </c>
      <c r="D714" s="248"/>
      <c r="E714" s="248"/>
      <c r="F714" s="248"/>
      <c r="G714" s="248" t="s">
        <v>3089</v>
      </c>
      <c r="H714" s="248"/>
      <c r="I714" s="248"/>
      <c r="J714" s="248"/>
      <c r="K714" s="248"/>
      <c r="L714" s="248"/>
      <c r="M714" s="248" t="s">
        <v>3090</v>
      </c>
    </row>
    <row r="715" spans="1:13" ht="20.100000000000001" customHeight="1">
      <c r="A715" s="248"/>
      <c r="B715" s="248" t="s">
        <v>4674</v>
      </c>
      <c r="C715" s="248" t="s">
        <v>4146</v>
      </c>
      <c r="D715" s="248"/>
      <c r="E715" s="248"/>
      <c r="F715" s="248"/>
      <c r="G715" s="248" t="s">
        <v>1071</v>
      </c>
      <c r="H715" s="248"/>
      <c r="I715" s="248"/>
      <c r="J715" s="248"/>
      <c r="K715" s="248"/>
      <c r="L715" s="248"/>
      <c r="M715" s="248" t="s">
        <v>1072</v>
      </c>
    </row>
    <row r="716" spans="1:13" ht="20.100000000000001" customHeight="1">
      <c r="A716" s="248"/>
      <c r="B716" s="248" t="s">
        <v>4675</v>
      </c>
      <c r="C716" s="248" t="s">
        <v>4271</v>
      </c>
      <c r="D716" s="248"/>
      <c r="E716" s="248"/>
      <c r="F716" s="248"/>
      <c r="G716" s="248" t="s">
        <v>3275</v>
      </c>
      <c r="H716" s="248"/>
      <c r="I716" s="248"/>
      <c r="J716" s="248"/>
      <c r="K716" s="248"/>
      <c r="L716" s="248"/>
      <c r="M716" s="248" t="s">
        <v>3276</v>
      </c>
    </row>
    <row r="717" spans="1:13" ht="20.100000000000001" customHeight="1">
      <c r="A717" s="248"/>
      <c r="B717" s="248" t="s">
        <v>4676</v>
      </c>
      <c r="C717" s="248" t="s">
        <v>4008</v>
      </c>
      <c r="D717" s="248"/>
      <c r="E717" s="248"/>
      <c r="F717" s="248"/>
      <c r="G717" s="248" t="s">
        <v>1073</v>
      </c>
      <c r="H717" s="248"/>
      <c r="I717" s="248"/>
      <c r="J717" s="248"/>
      <c r="K717" s="248"/>
      <c r="L717" s="248"/>
      <c r="M717" s="248" t="s">
        <v>3550</v>
      </c>
    </row>
    <row r="718" spans="1:13" ht="20.100000000000001" customHeight="1">
      <c r="A718" s="248"/>
      <c r="B718" s="248" t="s">
        <v>4677</v>
      </c>
      <c r="C718" s="248" t="s">
        <v>4050</v>
      </c>
      <c r="D718" s="248"/>
      <c r="E718" s="248"/>
      <c r="F718" s="248"/>
      <c r="G718" s="248" t="s">
        <v>1074</v>
      </c>
      <c r="H718" s="248"/>
      <c r="I718" s="248"/>
      <c r="J718" s="248"/>
      <c r="K718" s="248"/>
      <c r="L718" s="248"/>
      <c r="M718" s="248" t="s">
        <v>1075</v>
      </c>
    </row>
    <row r="719" spans="1:13" ht="20.100000000000001" customHeight="1">
      <c r="A719" s="248"/>
      <c r="B719" s="248" t="s">
        <v>4678</v>
      </c>
      <c r="C719" s="248" t="s">
        <v>4016</v>
      </c>
      <c r="D719" s="248"/>
      <c r="E719" s="248"/>
      <c r="F719" s="248"/>
      <c r="G719" s="248" t="s">
        <v>3415</v>
      </c>
      <c r="H719" s="248"/>
      <c r="I719" s="248"/>
      <c r="J719" s="248"/>
      <c r="K719" s="248"/>
      <c r="L719" s="248"/>
      <c r="M719" s="248" t="s">
        <v>3416</v>
      </c>
    </row>
    <row r="720" spans="1:13" ht="20.100000000000001" customHeight="1">
      <c r="A720" s="248"/>
      <c r="B720" s="248" t="s">
        <v>4679</v>
      </c>
      <c r="C720" s="248" t="s">
        <v>4014</v>
      </c>
      <c r="D720" s="248"/>
      <c r="E720" s="248"/>
      <c r="F720" s="248"/>
      <c r="G720" s="248" t="s">
        <v>1076</v>
      </c>
      <c r="H720" s="248"/>
      <c r="I720" s="248"/>
      <c r="J720" s="248"/>
      <c r="K720" s="248"/>
      <c r="L720" s="248"/>
      <c r="M720" s="248" t="s">
        <v>1077</v>
      </c>
    </row>
    <row r="721" spans="1:13" ht="20.100000000000001" customHeight="1">
      <c r="A721" s="249"/>
      <c r="B721" s="249" t="s">
        <v>4680</v>
      </c>
      <c r="C721" s="250" t="s">
        <v>4008</v>
      </c>
      <c r="D721" s="249"/>
      <c r="E721" s="249"/>
      <c r="F721" s="249"/>
      <c r="G721" s="249" t="s">
        <v>3949</v>
      </c>
      <c r="H721" s="249"/>
      <c r="I721" s="249"/>
      <c r="J721" s="249"/>
      <c r="K721" s="249"/>
      <c r="L721" s="249"/>
      <c r="M721" s="249" t="s">
        <v>3550</v>
      </c>
    </row>
    <row r="722" spans="1:13" ht="20.100000000000001" customHeight="1">
      <c r="A722" s="248"/>
      <c r="B722" s="248" t="s">
        <v>4681</v>
      </c>
      <c r="C722" s="248" t="s">
        <v>4025</v>
      </c>
      <c r="D722" s="248"/>
      <c r="E722" s="248"/>
      <c r="F722" s="248"/>
      <c r="G722" s="248" t="s">
        <v>1078</v>
      </c>
      <c r="H722" s="248"/>
      <c r="I722" s="248"/>
      <c r="J722" s="248"/>
      <c r="K722" s="248"/>
      <c r="L722" s="248"/>
      <c r="M722" s="248" t="s">
        <v>1079</v>
      </c>
    </row>
    <row r="723" spans="1:13" ht="20.100000000000001" customHeight="1">
      <c r="A723" s="248"/>
      <c r="B723" s="248" t="s">
        <v>4682</v>
      </c>
      <c r="C723" s="248" t="s">
        <v>4036</v>
      </c>
      <c r="D723" s="248"/>
      <c r="E723" s="248"/>
      <c r="F723" s="248"/>
      <c r="G723" s="248" t="s">
        <v>3786</v>
      </c>
      <c r="H723" s="248"/>
      <c r="I723" s="248"/>
      <c r="J723" s="248"/>
      <c r="K723" s="248"/>
      <c r="L723" s="248"/>
      <c r="M723" s="248" t="s">
        <v>3787</v>
      </c>
    </row>
    <row r="724" spans="1:13" ht="20.100000000000001" customHeight="1">
      <c r="A724" s="248"/>
      <c r="B724" s="248" t="s">
        <v>4683</v>
      </c>
      <c r="C724" s="248" t="s">
        <v>4030</v>
      </c>
      <c r="D724" s="248"/>
      <c r="E724" s="248"/>
      <c r="F724" s="248"/>
      <c r="G724" s="248" t="s">
        <v>1080</v>
      </c>
      <c r="H724" s="248"/>
      <c r="I724" s="248"/>
      <c r="J724" s="248"/>
      <c r="K724" s="248"/>
      <c r="L724" s="248"/>
      <c r="M724" s="248" t="s">
        <v>3550</v>
      </c>
    </row>
    <row r="725" spans="1:13" ht="20.100000000000001" customHeight="1">
      <c r="A725" s="248"/>
      <c r="B725" s="248" t="s">
        <v>4684</v>
      </c>
      <c r="C725" s="248" t="s">
        <v>4036</v>
      </c>
      <c r="D725" s="248"/>
      <c r="E725" s="248"/>
      <c r="F725" s="248"/>
      <c r="G725" s="248" t="s">
        <v>1081</v>
      </c>
      <c r="H725" s="248"/>
      <c r="I725" s="248"/>
      <c r="J725" s="248"/>
      <c r="K725" s="248"/>
      <c r="L725" s="248"/>
      <c r="M725" s="248" t="s">
        <v>1082</v>
      </c>
    </row>
    <row r="726" spans="1:13" ht="20.100000000000001" customHeight="1">
      <c r="A726" s="248"/>
      <c r="B726" s="248" t="s">
        <v>4685</v>
      </c>
      <c r="C726" s="248" t="s">
        <v>4036</v>
      </c>
      <c r="D726" s="248"/>
      <c r="E726" s="248"/>
      <c r="F726" s="248"/>
      <c r="G726" s="248" t="s">
        <v>1083</v>
      </c>
      <c r="H726" s="248"/>
      <c r="I726" s="248"/>
      <c r="J726" s="248"/>
      <c r="K726" s="248"/>
      <c r="L726" s="248"/>
      <c r="M726" s="248" t="s">
        <v>1084</v>
      </c>
    </row>
    <row r="727" spans="1:13" ht="20.100000000000001" customHeight="1">
      <c r="A727" s="248"/>
      <c r="B727" s="248" t="s">
        <v>4686</v>
      </c>
      <c r="C727" s="248" t="s">
        <v>4174</v>
      </c>
      <c r="D727" s="248"/>
      <c r="E727" s="248"/>
      <c r="F727" s="248"/>
      <c r="G727" s="248" t="s">
        <v>3378</v>
      </c>
      <c r="H727" s="248"/>
      <c r="I727" s="248"/>
      <c r="J727" s="248"/>
      <c r="K727" s="248"/>
      <c r="L727" s="248"/>
      <c r="M727" s="248" t="s">
        <v>3499</v>
      </c>
    </row>
    <row r="728" spans="1:13" ht="20.100000000000001" customHeight="1">
      <c r="A728" s="248"/>
      <c r="B728" s="248" t="s">
        <v>4687</v>
      </c>
      <c r="C728" s="248" t="s">
        <v>4003</v>
      </c>
      <c r="D728" s="248"/>
      <c r="E728" s="248"/>
      <c r="F728" s="248"/>
      <c r="G728" s="248" t="s">
        <v>1085</v>
      </c>
      <c r="H728" s="248"/>
      <c r="I728" s="248"/>
      <c r="J728" s="248"/>
      <c r="K728" s="248"/>
      <c r="L728" s="248"/>
      <c r="M728" s="248" t="s">
        <v>3550</v>
      </c>
    </row>
    <row r="729" spans="1:13" ht="20.100000000000001" customHeight="1">
      <c r="A729" s="248"/>
      <c r="B729" s="248" t="s">
        <v>4688</v>
      </c>
      <c r="C729" s="248" t="s">
        <v>4025</v>
      </c>
      <c r="D729" s="248"/>
      <c r="E729" s="248"/>
      <c r="F729" s="248"/>
      <c r="G729" s="248" t="s">
        <v>3788</v>
      </c>
      <c r="H729" s="248"/>
      <c r="I729" s="248"/>
      <c r="J729" s="248"/>
      <c r="K729" s="248"/>
      <c r="L729" s="248"/>
      <c r="M729" s="248" t="s">
        <v>3789</v>
      </c>
    </row>
    <row r="730" spans="1:13" ht="20.100000000000001" customHeight="1">
      <c r="A730" s="248"/>
      <c r="B730" s="248" t="s">
        <v>4689</v>
      </c>
      <c r="C730" s="248" t="s">
        <v>4003</v>
      </c>
      <c r="D730" s="248"/>
      <c r="E730" s="248"/>
      <c r="F730" s="248"/>
      <c r="G730" s="248" t="s">
        <v>1086</v>
      </c>
      <c r="H730" s="248"/>
      <c r="I730" s="248"/>
      <c r="J730" s="248"/>
      <c r="K730" s="248"/>
      <c r="L730" s="248"/>
      <c r="M730" s="248" t="s">
        <v>1087</v>
      </c>
    </row>
    <row r="731" spans="1:13" ht="20.100000000000001" customHeight="1">
      <c r="A731" s="248"/>
      <c r="B731" s="248" t="s">
        <v>4690</v>
      </c>
      <c r="C731" s="248" t="s">
        <v>4146</v>
      </c>
      <c r="D731" s="248"/>
      <c r="E731" s="248"/>
      <c r="F731" s="248"/>
      <c r="G731" s="248" t="s">
        <v>1088</v>
      </c>
      <c r="H731" s="248"/>
      <c r="I731" s="248"/>
      <c r="J731" s="248"/>
      <c r="K731" s="248"/>
      <c r="L731" s="248"/>
      <c r="M731" s="248" t="s">
        <v>1089</v>
      </c>
    </row>
    <row r="732" spans="1:13" ht="20.100000000000001" customHeight="1">
      <c r="A732" s="248"/>
      <c r="B732" s="248" t="s">
        <v>4691</v>
      </c>
      <c r="C732" s="248" t="s">
        <v>4012</v>
      </c>
      <c r="D732" s="248"/>
      <c r="E732" s="248"/>
      <c r="F732" s="248"/>
      <c r="G732" s="248" t="s">
        <v>1090</v>
      </c>
      <c r="H732" s="248"/>
      <c r="I732" s="248"/>
      <c r="J732" s="248"/>
      <c r="K732" s="248"/>
      <c r="L732" s="248"/>
      <c r="M732" s="248" t="s">
        <v>1091</v>
      </c>
    </row>
    <row r="733" spans="1:13" ht="20.100000000000001" customHeight="1">
      <c r="A733" s="248"/>
      <c r="B733" s="248" t="s">
        <v>4692</v>
      </c>
      <c r="C733" s="248" t="s">
        <v>4016</v>
      </c>
      <c r="D733" s="248"/>
      <c r="E733" s="248"/>
      <c r="F733" s="248"/>
      <c r="G733" s="248" t="s">
        <v>1092</v>
      </c>
      <c r="H733" s="248"/>
      <c r="I733" s="248"/>
      <c r="J733" s="248"/>
      <c r="K733" s="248"/>
      <c r="L733" s="248"/>
      <c r="M733" s="248" t="s">
        <v>3550</v>
      </c>
    </row>
    <row r="734" spans="1:13" ht="20.100000000000001" customHeight="1">
      <c r="A734" s="248"/>
      <c r="B734" s="248" t="s">
        <v>4693</v>
      </c>
      <c r="C734" s="248" t="s">
        <v>4016</v>
      </c>
      <c r="D734" s="248"/>
      <c r="E734" s="248"/>
      <c r="F734" s="248"/>
      <c r="G734" s="248" t="s">
        <v>3559</v>
      </c>
      <c r="H734" s="248"/>
      <c r="I734" s="248"/>
      <c r="J734" s="248"/>
      <c r="K734" s="248"/>
      <c r="L734" s="248"/>
      <c r="M734" s="248" t="s">
        <v>3550</v>
      </c>
    </row>
    <row r="735" spans="1:13" ht="20.100000000000001" customHeight="1">
      <c r="A735" s="248"/>
      <c r="B735" s="248" t="s">
        <v>4694</v>
      </c>
      <c r="C735" s="248" t="s">
        <v>4014</v>
      </c>
      <c r="D735" s="248"/>
      <c r="E735" s="248"/>
      <c r="F735" s="248"/>
      <c r="G735" s="248" t="s">
        <v>3200</v>
      </c>
      <c r="H735" s="248"/>
      <c r="I735" s="248"/>
      <c r="J735" s="248"/>
      <c r="K735" s="248"/>
      <c r="L735" s="248"/>
      <c r="M735" s="248" t="s">
        <v>1093</v>
      </c>
    </row>
    <row r="736" spans="1:13" ht="20.100000000000001" customHeight="1">
      <c r="A736" s="248"/>
      <c r="B736" s="248" t="s">
        <v>4695</v>
      </c>
      <c r="C736" s="248" t="s">
        <v>4016</v>
      </c>
      <c r="D736" s="248"/>
      <c r="E736" s="248"/>
      <c r="F736" s="248"/>
      <c r="G736" s="248" t="s">
        <v>3560</v>
      </c>
      <c r="H736" s="248"/>
      <c r="I736" s="248"/>
      <c r="J736" s="248"/>
      <c r="K736" s="248"/>
      <c r="L736" s="248"/>
      <c r="M736" s="248" t="s">
        <v>1118</v>
      </c>
    </row>
    <row r="737" spans="1:13" ht="20.100000000000001" customHeight="1">
      <c r="A737" s="248"/>
      <c r="B737" s="248" t="s">
        <v>4696</v>
      </c>
      <c r="C737" s="248" t="s">
        <v>4271</v>
      </c>
      <c r="D737" s="248"/>
      <c r="E737" s="248"/>
      <c r="F737" s="248"/>
      <c r="G737" s="248" t="s">
        <v>1094</v>
      </c>
      <c r="H737" s="248"/>
      <c r="I737" s="248"/>
      <c r="J737" s="248"/>
      <c r="K737" s="248"/>
      <c r="L737" s="248"/>
      <c r="M737" s="248" t="s">
        <v>1095</v>
      </c>
    </row>
    <row r="738" spans="1:13" ht="20.100000000000001" customHeight="1">
      <c r="A738" s="248"/>
      <c r="B738" s="248" t="s">
        <v>6433</v>
      </c>
      <c r="C738" s="248" t="s">
        <v>4036</v>
      </c>
      <c r="D738" s="248"/>
      <c r="E738" s="248"/>
      <c r="F738" s="248"/>
      <c r="G738" s="248" t="s">
        <v>6434</v>
      </c>
      <c r="H738" s="248"/>
      <c r="I738" s="248"/>
      <c r="J738" s="248"/>
      <c r="K738" s="248"/>
      <c r="L738" s="248"/>
      <c r="M738" s="248" t="s">
        <v>3550</v>
      </c>
    </row>
    <row r="739" spans="1:13" ht="20.100000000000001" customHeight="1">
      <c r="A739" s="248"/>
      <c r="B739" s="248" t="s">
        <v>6246</v>
      </c>
      <c r="C739" s="248" t="s">
        <v>4016</v>
      </c>
      <c r="D739" s="248"/>
      <c r="E739" s="248"/>
      <c r="F739" s="248"/>
      <c r="G739" s="248" t="s">
        <v>6247</v>
      </c>
      <c r="H739" s="248"/>
      <c r="I739" s="248"/>
      <c r="J739" s="248"/>
      <c r="K739" s="248"/>
      <c r="L739" s="248"/>
      <c r="M739" s="248" t="s">
        <v>6248</v>
      </c>
    </row>
    <row r="740" spans="1:13" ht="20.100000000000001" customHeight="1">
      <c r="A740" s="248"/>
      <c r="B740" s="248" t="s">
        <v>4697</v>
      </c>
      <c r="C740" s="248" t="s">
        <v>4025</v>
      </c>
      <c r="D740" s="248"/>
      <c r="E740" s="248"/>
      <c r="F740" s="248"/>
      <c r="G740" s="248" t="s">
        <v>3105</v>
      </c>
      <c r="H740" s="248"/>
      <c r="I740" s="248"/>
      <c r="J740" s="248"/>
      <c r="K740" s="248"/>
      <c r="L740" s="248"/>
      <c r="M740" s="248" t="s">
        <v>3106</v>
      </c>
    </row>
    <row r="741" spans="1:13" ht="20.100000000000001" customHeight="1">
      <c r="A741" s="248"/>
      <c r="B741" s="248" t="s">
        <v>4698</v>
      </c>
      <c r="C741" s="248" t="s">
        <v>4003</v>
      </c>
      <c r="D741" s="248"/>
      <c r="E741" s="248"/>
      <c r="F741" s="248"/>
      <c r="G741" s="248" t="s">
        <v>3185</v>
      </c>
      <c r="H741" s="248"/>
      <c r="I741" s="248"/>
      <c r="J741" s="248"/>
      <c r="K741" s="248"/>
      <c r="L741" s="248"/>
      <c r="M741" s="248" t="s">
        <v>3186</v>
      </c>
    </row>
    <row r="742" spans="1:13" ht="20.100000000000001" customHeight="1">
      <c r="A742" s="248"/>
      <c r="B742" s="248" t="s">
        <v>4699</v>
      </c>
      <c r="C742" s="248" t="s">
        <v>4036</v>
      </c>
      <c r="D742" s="248"/>
      <c r="E742" s="248"/>
      <c r="F742" s="248"/>
      <c r="G742" s="248" t="s">
        <v>1096</v>
      </c>
      <c r="H742" s="248"/>
      <c r="I742" s="248"/>
      <c r="J742" s="248"/>
      <c r="K742" s="248"/>
      <c r="L742" s="248"/>
      <c r="M742" s="248" t="s">
        <v>1097</v>
      </c>
    </row>
    <row r="743" spans="1:13" ht="20.100000000000001" customHeight="1">
      <c r="A743" s="248"/>
      <c r="B743" s="248" t="s">
        <v>4700</v>
      </c>
      <c r="C743" s="248" t="s">
        <v>4008</v>
      </c>
      <c r="D743" s="248"/>
      <c r="E743" s="248"/>
      <c r="F743" s="248"/>
      <c r="G743" s="248" t="s">
        <v>1098</v>
      </c>
      <c r="H743" s="248"/>
      <c r="I743" s="248"/>
      <c r="J743" s="248"/>
      <c r="K743" s="248"/>
      <c r="L743" s="248"/>
      <c r="M743" s="248" t="s">
        <v>3550</v>
      </c>
    </row>
    <row r="744" spans="1:13" ht="20.100000000000001" customHeight="1">
      <c r="A744" s="248"/>
      <c r="B744" s="248" t="s">
        <v>4701</v>
      </c>
      <c r="C744" s="248" t="s">
        <v>4016</v>
      </c>
      <c r="D744" s="248"/>
      <c r="E744" s="248"/>
      <c r="F744" s="248"/>
      <c r="G744" s="248" t="s">
        <v>1099</v>
      </c>
      <c r="H744" s="248"/>
      <c r="I744" s="248"/>
      <c r="J744" s="248"/>
      <c r="K744" s="248"/>
      <c r="L744" s="248"/>
      <c r="M744" s="248" t="s">
        <v>3550</v>
      </c>
    </row>
    <row r="745" spans="1:13" ht="20.100000000000001" customHeight="1">
      <c r="A745" s="248"/>
      <c r="B745" s="248" t="s">
        <v>4702</v>
      </c>
      <c r="C745" s="248" t="s">
        <v>4003</v>
      </c>
      <c r="D745" s="248"/>
      <c r="E745" s="248"/>
      <c r="F745" s="248"/>
      <c r="G745" s="248" t="s">
        <v>3950</v>
      </c>
      <c r="H745" s="248"/>
      <c r="I745" s="248"/>
      <c r="J745" s="248"/>
      <c r="K745" s="248"/>
      <c r="L745" s="248"/>
      <c r="M745" s="248" t="s">
        <v>3951</v>
      </c>
    </row>
    <row r="746" spans="1:13" ht="20.100000000000001" customHeight="1">
      <c r="A746" s="248"/>
      <c r="B746" s="248" t="s">
        <v>4703</v>
      </c>
      <c r="C746" s="248" t="s">
        <v>4008</v>
      </c>
      <c r="D746" s="248"/>
      <c r="E746" s="248"/>
      <c r="F746" s="248"/>
      <c r="G746" s="248" t="s">
        <v>1100</v>
      </c>
      <c r="H746" s="248"/>
      <c r="I746" s="248"/>
      <c r="J746" s="248"/>
      <c r="K746" s="248"/>
      <c r="L746" s="248"/>
      <c r="M746" s="248" t="s">
        <v>1101</v>
      </c>
    </row>
    <row r="747" spans="1:13" ht="20.100000000000001" customHeight="1">
      <c r="A747" s="248"/>
      <c r="B747" s="248" t="s">
        <v>4704</v>
      </c>
      <c r="C747" s="248" t="s">
        <v>4025</v>
      </c>
      <c r="D747" s="248"/>
      <c r="E747" s="248"/>
      <c r="F747" s="248"/>
      <c r="G747" s="248" t="s">
        <v>1102</v>
      </c>
      <c r="H747" s="248"/>
      <c r="I747" s="248"/>
      <c r="J747" s="248"/>
      <c r="K747" s="248"/>
      <c r="L747" s="248"/>
      <c r="M747" s="248" t="s">
        <v>1103</v>
      </c>
    </row>
    <row r="748" spans="1:13" ht="20.100000000000001" customHeight="1">
      <c r="A748" s="248"/>
      <c r="B748" s="248" t="s">
        <v>4705</v>
      </c>
      <c r="C748" s="248" t="s">
        <v>4036</v>
      </c>
      <c r="D748" s="248"/>
      <c r="E748" s="248"/>
      <c r="F748" s="248"/>
      <c r="G748" s="248" t="s">
        <v>1104</v>
      </c>
      <c r="H748" s="248"/>
      <c r="I748" s="248"/>
      <c r="J748" s="248"/>
      <c r="K748" s="248"/>
      <c r="L748" s="248"/>
      <c r="M748" s="248" t="s">
        <v>1105</v>
      </c>
    </row>
    <row r="749" spans="1:13" ht="20.100000000000001" customHeight="1">
      <c r="A749" s="248"/>
      <c r="B749" s="248" t="s">
        <v>4706</v>
      </c>
      <c r="C749" s="248" t="s">
        <v>4003</v>
      </c>
      <c r="D749" s="248"/>
      <c r="E749" s="248"/>
      <c r="F749" s="248"/>
      <c r="G749" s="248" t="s">
        <v>1106</v>
      </c>
      <c r="H749" s="248"/>
      <c r="I749" s="248"/>
      <c r="J749" s="248"/>
      <c r="K749" s="248"/>
      <c r="L749" s="248"/>
      <c r="M749" s="248" t="s">
        <v>262</v>
      </c>
    </row>
    <row r="750" spans="1:13" ht="20.100000000000001" customHeight="1">
      <c r="A750" s="248"/>
      <c r="B750" s="248" t="s">
        <v>4707</v>
      </c>
      <c r="C750" s="248" t="s">
        <v>4036</v>
      </c>
      <c r="D750" s="248"/>
      <c r="E750" s="248"/>
      <c r="F750" s="248"/>
      <c r="G750" s="248" t="s">
        <v>1107</v>
      </c>
      <c r="H750" s="248"/>
      <c r="I750" s="248"/>
      <c r="J750" s="248"/>
      <c r="K750" s="248"/>
      <c r="L750" s="248"/>
      <c r="M750" s="248" t="s">
        <v>1108</v>
      </c>
    </row>
    <row r="751" spans="1:13" ht="20.100000000000001" customHeight="1">
      <c r="A751" s="248"/>
      <c r="B751" s="248" t="s">
        <v>4708</v>
      </c>
      <c r="C751" s="248" t="s">
        <v>4016</v>
      </c>
      <c r="D751" s="248"/>
      <c r="E751" s="248"/>
      <c r="F751" s="248"/>
      <c r="G751" s="248" t="s">
        <v>1109</v>
      </c>
      <c r="H751" s="248"/>
      <c r="I751" s="248"/>
      <c r="J751" s="248"/>
      <c r="K751" s="248"/>
      <c r="L751" s="248"/>
      <c r="M751" s="248" t="s">
        <v>1110</v>
      </c>
    </row>
    <row r="752" spans="1:13" ht="20.100000000000001" customHeight="1">
      <c r="A752" s="248"/>
      <c r="B752" s="248" t="s">
        <v>4709</v>
      </c>
      <c r="C752" s="248" t="s">
        <v>4036</v>
      </c>
      <c r="D752" s="248"/>
      <c r="E752" s="248"/>
      <c r="F752" s="248"/>
      <c r="G752" s="248" t="s">
        <v>3333</v>
      </c>
      <c r="H752" s="248"/>
      <c r="I752" s="248"/>
      <c r="J752" s="248"/>
      <c r="K752" s="248"/>
      <c r="L752" s="248"/>
      <c r="M752" s="248" t="s">
        <v>3334</v>
      </c>
    </row>
    <row r="753" spans="1:13" ht="20.100000000000001" customHeight="1">
      <c r="A753" s="248"/>
      <c r="B753" s="248" t="s">
        <v>4710</v>
      </c>
      <c r="C753" s="248" t="s">
        <v>4124</v>
      </c>
      <c r="D753" s="248"/>
      <c r="E753" s="248"/>
      <c r="F753" s="248"/>
      <c r="G753" s="248" t="s">
        <v>1111</v>
      </c>
      <c r="H753" s="248"/>
      <c r="I753" s="248"/>
      <c r="J753" s="248"/>
      <c r="K753" s="248"/>
      <c r="L753" s="248"/>
      <c r="M753" s="248" t="s">
        <v>1112</v>
      </c>
    </row>
    <row r="754" spans="1:13" ht="20.100000000000001" customHeight="1">
      <c r="A754" s="248"/>
      <c r="B754" s="248" t="s">
        <v>4711</v>
      </c>
      <c r="C754" s="248" t="s">
        <v>4012</v>
      </c>
      <c r="D754" s="248"/>
      <c r="E754" s="248"/>
      <c r="F754" s="248"/>
      <c r="G754" s="248" t="s">
        <v>3723</v>
      </c>
      <c r="H754" s="248"/>
      <c r="I754" s="248"/>
      <c r="J754" s="248"/>
      <c r="K754" s="248"/>
      <c r="L754" s="248"/>
      <c r="M754" s="248" t="s">
        <v>3724</v>
      </c>
    </row>
    <row r="755" spans="1:13" ht="20.100000000000001" customHeight="1">
      <c r="A755" s="248"/>
      <c r="B755" s="248" t="s">
        <v>4712</v>
      </c>
      <c r="C755" s="248" t="s">
        <v>4057</v>
      </c>
      <c r="D755" s="248"/>
      <c r="E755" s="248"/>
      <c r="F755" s="248"/>
      <c r="G755" s="248" t="s">
        <v>1113</v>
      </c>
      <c r="H755" s="248"/>
      <c r="I755" s="248"/>
      <c r="J755" s="248"/>
      <c r="K755" s="248"/>
      <c r="L755" s="248"/>
      <c r="M755" s="248" t="s">
        <v>1114</v>
      </c>
    </row>
    <row r="756" spans="1:13" ht="20.100000000000001" customHeight="1">
      <c r="A756" s="248"/>
      <c r="B756" s="248" t="s">
        <v>4713</v>
      </c>
      <c r="C756" s="248" t="s">
        <v>4016</v>
      </c>
      <c r="D756" s="248"/>
      <c r="E756" s="248"/>
      <c r="F756" s="248"/>
      <c r="G756" s="248" t="s">
        <v>1115</v>
      </c>
      <c r="H756" s="248"/>
      <c r="I756" s="248"/>
      <c r="J756" s="248"/>
      <c r="K756" s="248"/>
      <c r="L756" s="248"/>
      <c r="M756" s="248" t="s">
        <v>1116</v>
      </c>
    </row>
    <row r="757" spans="1:13" ht="20.100000000000001" customHeight="1">
      <c r="A757" s="248"/>
      <c r="B757" s="248" t="s">
        <v>4714</v>
      </c>
      <c r="C757" s="248" t="s">
        <v>4016</v>
      </c>
      <c r="D757" s="248"/>
      <c r="E757" s="248"/>
      <c r="F757" s="248"/>
      <c r="G757" s="248" t="s">
        <v>1117</v>
      </c>
      <c r="H757" s="248"/>
      <c r="I757" s="248"/>
      <c r="J757" s="248"/>
      <c r="K757" s="248"/>
      <c r="L757" s="248"/>
      <c r="M757" s="248" t="s">
        <v>1118</v>
      </c>
    </row>
    <row r="758" spans="1:13" ht="20.100000000000001" customHeight="1">
      <c r="A758" s="248"/>
      <c r="B758" s="248" t="s">
        <v>4715</v>
      </c>
      <c r="C758" s="248" t="s">
        <v>4012</v>
      </c>
      <c r="D758" s="248"/>
      <c r="E758" s="248"/>
      <c r="F758" s="248"/>
      <c r="G758" s="248" t="s">
        <v>1119</v>
      </c>
      <c r="H758" s="248"/>
      <c r="I758" s="248"/>
      <c r="J758" s="248"/>
      <c r="K758" s="248"/>
      <c r="L758" s="248"/>
      <c r="M758" s="248" t="s">
        <v>3550</v>
      </c>
    </row>
    <row r="759" spans="1:13" ht="20.100000000000001" customHeight="1">
      <c r="A759" s="248"/>
      <c r="B759" s="248" t="s">
        <v>4716</v>
      </c>
      <c r="C759" s="248" t="s">
        <v>4036</v>
      </c>
      <c r="D759" s="248"/>
      <c r="E759" s="248"/>
      <c r="F759" s="248"/>
      <c r="G759" s="248" t="s">
        <v>3379</v>
      </c>
      <c r="H759" s="248"/>
      <c r="I759" s="248"/>
      <c r="J759" s="248"/>
      <c r="K759" s="248"/>
      <c r="L759" s="248"/>
      <c r="M759" s="248" t="s">
        <v>1120</v>
      </c>
    </row>
    <row r="760" spans="1:13" ht="20.100000000000001" customHeight="1">
      <c r="A760" s="248"/>
      <c r="B760" s="248" t="s">
        <v>4717</v>
      </c>
      <c r="C760" s="248" t="s">
        <v>4008</v>
      </c>
      <c r="D760" s="248"/>
      <c r="E760" s="248"/>
      <c r="F760" s="248"/>
      <c r="G760" s="248" t="s">
        <v>1121</v>
      </c>
      <c r="H760" s="248"/>
      <c r="I760" s="248"/>
      <c r="J760" s="248"/>
      <c r="K760" s="248"/>
      <c r="L760" s="248"/>
      <c r="M760" s="248" t="s">
        <v>3550</v>
      </c>
    </row>
    <row r="761" spans="1:13" ht="20.100000000000001" customHeight="1">
      <c r="A761" s="248"/>
      <c r="B761" s="248" t="s">
        <v>4718</v>
      </c>
      <c r="C761" s="248" t="s">
        <v>4003</v>
      </c>
      <c r="D761" s="248"/>
      <c r="E761" s="248"/>
      <c r="F761" s="248"/>
      <c r="G761" s="248" t="s">
        <v>3300</v>
      </c>
      <c r="H761" s="248"/>
      <c r="I761" s="248"/>
      <c r="J761" s="248"/>
      <c r="K761" s="248"/>
      <c r="L761" s="248"/>
      <c r="M761" s="248" t="s">
        <v>3301</v>
      </c>
    </row>
    <row r="762" spans="1:13" ht="20.100000000000001" customHeight="1">
      <c r="A762" s="248"/>
      <c r="B762" s="248" t="s">
        <v>4719</v>
      </c>
      <c r="C762" s="248" t="s">
        <v>4030</v>
      </c>
      <c r="D762" s="248"/>
      <c r="E762" s="248"/>
      <c r="F762" s="248"/>
      <c r="G762" s="248" t="s">
        <v>1122</v>
      </c>
      <c r="H762" s="248"/>
      <c r="I762" s="248"/>
      <c r="J762" s="248"/>
      <c r="K762" s="248"/>
      <c r="L762" s="248"/>
      <c r="M762" s="248" t="s">
        <v>1123</v>
      </c>
    </row>
    <row r="763" spans="1:13" ht="20.100000000000001" customHeight="1">
      <c r="A763" s="248"/>
      <c r="B763" s="248" t="s">
        <v>4720</v>
      </c>
      <c r="C763" s="248" t="s">
        <v>4014</v>
      </c>
      <c r="D763" s="248"/>
      <c r="E763" s="248"/>
      <c r="F763" s="248"/>
      <c r="G763" s="248" t="s">
        <v>1124</v>
      </c>
      <c r="H763" s="248"/>
      <c r="I763" s="248"/>
      <c r="J763" s="248"/>
      <c r="K763" s="248"/>
      <c r="L763" s="248"/>
      <c r="M763" s="248" t="s">
        <v>3550</v>
      </c>
    </row>
    <row r="764" spans="1:13" ht="20.100000000000001" customHeight="1">
      <c r="A764" s="248"/>
      <c r="B764" s="248" t="s">
        <v>4721</v>
      </c>
      <c r="C764" s="248" t="s">
        <v>4030</v>
      </c>
      <c r="D764" s="248"/>
      <c r="E764" s="248"/>
      <c r="F764" s="248"/>
      <c r="G764" s="248" t="s">
        <v>1125</v>
      </c>
      <c r="H764" s="248"/>
      <c r="I764" s="248"/>
      <c r="J764" s="248"/>
      <c r="K764" s="248"/>
      <c r="L764" s="248"/>
      <c r="M764" s="248" t="s">
        <v>1126</v>
      </c>
    </row>
    <row r="765" spans="1:13" ht="20.100000000000001" customHeight="1">
      <c r="A765" s="248"/>
      <c r="B765" s="248" t="s">
        <v>4722</v>
      </c>
      <c r="C765" s="248" t="s">
        <v>4014</v>
      </c>
      <c r="D765" s="248"/>
      <c r="E765" s="248"/>
      <c r="F765" s="248"/>
      <c r="G765" s="248" t="s">
        <v>1127</v>
      </c>
      <c r="H765" s="248"/>
      <c r="I765" s="248"/>
      <c r="J765" s="248"/>
      <c r="K765" s="248"/>
      <c r="L765" s="248"/>
      <c r="M765" s="248" t="s">
        <v>3550</v>
      </c>
    </row>
    <row r="766" spans="1:13" ht="20.100000000000001" customHeight="1">
      <c r="A766" s="248"/>
      <c r="B766" s="248" t="s">
        <v>6620</v>
      </c>
      <c r="C766" s="248" t="s">
        <v>4012</v>
      </c>
      <c r="D766" s="248"/>
      <c r="E766" s="248"/>
      <c r="F766" s="248"/>
      <c r="G766" s="248" t="s">
        <v>6621</v>
      </c>
      <c r="H766" s="248"/>
      <c r="I766" s="248"/>
      <c r="J766" s="248"/>
      <c r="K766" s="248"/>
      <c r="L766" s="248"/>
      <c r="M766" s="248" t="s">
        <v>6622</v>
      </c>
    </row>
    <row r="767" spans="1:13" ht="20.100000000000001" customHeight="1">
      <c r="A767" s="248"/>
      <c r="B767" s="248" t="s">
        <v>4723</v>
      </c>
      <c r="C767" s="248" t="s">
        <v>4012</v>
      </c>
      <c r="D767" s="248"/>
      <c r="E767" s="248"/>
      <c r="F767" s="248"/>
      <c r="G767" s="248" t="s">
        <v>1128</v>
      </c>
      <c r="H767" s="248"/>
      <c r="I767" s="248"/>
      <c r="J767" s="248"/>
      <c r="K767" s="248"/>
      <c r="L767" s="248"/>
      <c r="M767" s="248" t="s">
        <v>1129</v>
      </c>
    </row>
    <row r="768" spans="1:13" ht="20.100000000000001" customHeight="1">
      <c r="A768" s="248"/>
      <c r="B768" s="248" t="s">
        <v>4724</v>
      </c>
      <c r="C768" s="248" t="s">
        <v>4036</v>
      </c>
      <c r="D768" s="248"/>
      <c r="E768" s="248"/>
      <c r="F768" s="248"/>
      <c r="G768" s="248" t="s">
        <v>1130</v>
      </c>
      <c r="H768" s="248"/>
      <c r="I768" s="248"/>
      <c r="J768" s="248"/>
      <c r="K768" s="248"/>
      <c r="L768" s="248"/>
      <c r="M768" s="248" t="s">
        <v>514</v>
      </c>
    </row>
    <row r="769" spans="1:13" ht="20.100000000000001" customHeight="1">
      <c r="A769" s="248"/>
      <c r="B769" s="248" t="s">
        <v>6623</v>
      </c>
      <c r="C769" s="248" t="s">
        <v>4014</v>
      </c>
      <c r="D769" s="248"/>
      <c r="E769" s="248"/>
      <c r="F769" s="248"/>
      <c r="G769" s="248" t="s">
        <v>6624</v>
      </c>
      <c r="H769" s="248"/>
      <c r="I769" s="248"/>
      <c r="J769" s="248"/>
      <c r="K769" s="248"/>
      <c r="L769" s="248"/>
      <c r="M769" s="248" t="s">
        <v>6625</v>
      </c>
    </row>
    <row r="770" spans="1:13" ht="20.100000000000001" customHeight="1">
      <c r="A770" s="248"/>
      <c r="B770" s="248" t="s">
        <v>4725</v>
      </c>
      <c r="C770" s="248" t="s">
        <v>4016</v>
      </c>
      <c r="D770" s="248"/>
      <c r="E770" s="248"/>
      <c r="F770" s="248"/>
      <c r="G770" s="248" t="s">
        <v>1131</v>
      </c>
      <c r="H770" s="248"/>
      <c r="I770" s="248"/>
      <c r="J770" s="248"/>
      <c r="K770" s="248"/>
      <c r="L770" s="248"/>
      <c r="M770" s="248" t="s">
        <v>1132</v>
      </c>
    </row>
    <row r="771" spans="1:13" ht="20.100000000000001" customHeight="1">
      <c r="A771" s="248"/>
      <c r="B771" s="248" t="s">
        <v>4726</v>
      </c>
      <c r="C771" s="248" t="s">
        <v>4008</v>
      </c>
      <c r="D771" s="248"/>
      <c r="E771" s="248"/>
      <c r="F771" s="248"/>
      <c r="G771" s="248" t="s">
        <v>1133</v>
      </c>
      <c r="H771" s="248"/>
      <c r="I771" s="248"/>
      <c r="J771" s="248"/>
      <c r="K771" s="248"/>
      <c r="L771" s="248"/>
      <c r="M771" s="248" t="s">
        <v>1134</v>
      </c>
    </row>
    <row r="772" spans="1:13" ht="20.100000000000001" customHeight="1">
      <c r="A772" s="248"/>
      <c r="B772" s="248" t="s">
        <v>4727</v>
      </c>
      <c r="C772" s="248" t="s">
        <v>4008</v>
      </c>
      <c r="D772" s="248"/>
      <c r="E772" s="248"/>
      <c r="F772" s="248"/>
      <c r="G772" s="248" t="s">
        <v>1135</v>
      </c>
      <c r="H772" s="248"/>
      <c r="I772" s="248"/>
      <c r="J772" s="248"/>
      <c r="K772" s="248"/>
      <c r="L772" s="248"/>
      <c r="M772" s="248" t="s">
        <v>1136</v>
      </c>
    </row>
    <row r="773" spans="1:13" ht="20.100000000000001" customHeight="1">
      <c r="A773" s="248"/>
      <c r="B773" s="248" t="s">
        <v>4728</v>
      </c>
      <c r="C773" s="248" t="s">
        <v>4030</v>
      </c>
      <c r="D773" s="248"/>
      <c r="E773" s="248"/>
      <c r="F773" s="248"/>
      <c r="G773" s="248" t="s">
        <v>3063</v>
      </c>
      <c r="H773" s="248"/>
      <c r="I773" s="248"/>
      <c r="J773" s="248"/>
      <c r="K773" s="248"/>
      <c r="L773" s="248"/>
      <c r="M773" s="248" t="s">
        <v>3064</v>
      </c>
    </row>
    <row r="774" spans="1:13" ht="20.100000000000001" customHeight="1">
      <c r="A774" s="248"/>
      <c r="B774" s="248" t="s">
        <v>6626</v>
      </c>
      <c r="C774" s="248" t="s">
        <v>4012</v>
      </c>
      <c r="D774" s="248"/>
      <c r="E774" s="248"/>
      <c r="F774" s="248"/>
      <c r="G774" s="248" t="s">
        <v>6627</v>
      </c>
      <c r="H774" s="248"/>
      <c r="I774" s="248"/>
      <c r="J774" s="248"/>
      <c r="K774" s="248"/>
      <c r="L774" s="248"/>
      <c r="M774" s="248" t="s">
        <v>6628</v>
      </c>
    </row>
    <row r="775" spans="1:13" ht="20.100000000000001" customHeight="1">
      <c r="A775" s="248"/>
      <c r="B775" s="248" t="s">
        <v>4729</v>
      </c>
      <c r="C775" s="248" t="s">
        <v>4036</v>
      </c>
      <c r="D775" s="248"/>
      <c r="E775" s="248"/>
      <c r="F775" s="248"/>
      <c r="G775" s="248" t="s">
        <v>1137</v>
      </c>
      <c r="H775" s="248"/>
      <c r="I775" s="248"/>
      <c r="J775" s="248"/>
      <c r="K775" s="248"/>
      <c r="L775" s="248"/>
      <c r="M775" s="248" t="s">
        <v>1138</v>
      </c>
    </row>
    <row r="776" spans="1:13" ht="20.100000000000001" customHeight="1">
      <c r="A776" s="248"/>
      <c r="B776" s="248" t="s">
        <v>4730</v>
      </c>
      <c r="C776" s="248" t="s">
        <v>4025</v>
      </c>
      <c r="D776" s="248"/>
      <c r="E776" s="248"/>
      <c r="F776" s="248"/>
      <c r="G776" s="248" t="s">
        <v>1139</v>
      </c>
      <c r="H776" s="248"/>
      <c r="I776" s="248"/>
      <c r="J776" s="248"/>
      <c r="K776" s="248"/>
      <c r="L776" s="248"/>
      <c r="M776" s="248" t="s">
        <v>1140</v>
      </c>
    </row>
    <row r="777" spans="1:13" ht="20.100000000000001" customHeight="1">
      <c r="A777" s="248"/>
      <c r="B777" s="248" t="s">
        <v>4731</v>
      </c>
      <c r="C777" s="248" t="s">
        <v>4146</v>
      </c>
      <c r="D777" s="248"/>
      <c r="E777" s="248"/>
      <c r="F777" s="248"/>
      <c r="G777" s="248" t="s">
        <v>1141</v>
      </c>
      <c r="H777" s="248"/>
      <c r="I777" s="248"/>
      <c r="J777" s="248"/>
      <c r="K777" s="248"/>
      <c r="L777" s="248"/>
      <c r="M777" s="248" t="s">
        <v>1142</v>
      </c>
    </row>
    <row r="778" spans="1:13" ht="20.100000000000001" customHeight="1">
      <c r="A778" s="248"/>
      <c r="B778" s="248" t="s">
        <v>4732</v>
      </c>
      <c r="C778" s="248" t="s">
        <v>4012</v>
      </c>
      <c r="D778" s="248"/>
      <c r="E778" s="248"/>
      <c r="F778" s="248"/>
      <c r="G778" s="248" t="s">
        <v>1143</v>
      </c>
      <c r="H778" s="248"/>
      <c r="I778" s="248"/>
      <c r="J778" s="248"/>
      <c r="K778" s="248"/>
      <c r="L778" s="248"/>
      <c r="M778" s="248" t="s">
        <v>3550</v>
      </c>
    </row>
    <row r="779" spans="1:13" ht="20.100000000000001" customHeight="1">
      <c r="A779" s="248"/>
      <c r="B779" s="248" t="s">
        <v>4733</v>
      </c>
      <c r="C779" s="248" t="s">
        <v>4036</v>
      </c>
      <c r="D779" s="248"/>
      <c r="E779" s="248"/>
      <c r="F779" s="248"/>
      <c r="G779" s="248" t="s">
        <v>3000</v>
      </c>
      <c r="H779" s="248"/>
      <c r="I779" s="248"/>
      <c r="J779" s="248"/>
      <c r="K779" s="248"/>
      <c r="L779" s="248"/>
      <c r="M779" s="248" t="s">
        <v>3550</v>
      </c>
    </row>
    <row r="780" spans="1:13" ht="20.100000000000001" customHeight="1">
      <c r="A780" s="248"/>
      <c r="B780" s="248" t="s">
        <v>4734</v>
      </c>
      <c r="C780" s="248" t="s">
        <v>4008</v>
      </c>
      <c r="D780" s="248"/>
      <c r="E780" s="248"/>
      <c r="F780" s="248"/>
      <c r="G780" s="248" t="s">
        <v>3836</v>
      </c>
      <c r="H780" s="248"/>
      <c r="I780" s="248"/>
      <c r="J780" s="248"/>
      <c r="K780" s="248"/>
      <c r="L780" s="248"/>
      <c r="M780" s="248" t="s">
        <v>3837</v>
      </c>
    </row>
    <row r="781" spans="1:13" ht="20.100000000000001" customHeight="1">
      <c r="A781" s="248"/>
      <c r="B781" s="248" t="s">
        <v>4735</v>
      </c>
      <c r="C781" s="248" t="s">
        <v>4008</v>
      </c>
      <c r="D781" s="248"/>
      <c r="E781" s="248"/>
      <c r="F781" s="248"/>
      <c r="G781" s="248" t="s">
        <v>3838</v>
      </c>
      <c r="H781" s="248"/>
      <c r="I781" s="248"/>
      <c r="J781" s="248"/>
      <c r="K781" s="248"/>
      <c r="L781" s="248"/>
      <c r="M781" s="248" t="s">
        <v>3837</v>
      </c>
    </row>
    <row r="782" spans="1:13" ht="20.100000000000001" customHeight="1">
      <c r="A782" s="248"/>
      <c r="B782" s="248" t="s">
        <v>4736</v>
      </c>
      <c r="C782" s="248" t="s">
        <v>4014</v>
      </c>
      <c r="D782" s="248"/>
      <c r="E782" s="248"/>
      <c r="F782" s="248"/>
      <c r="G782" s="248" t="s">
        <v>3650</v>
      </c>
      <c r="H782" s="248"/>
      <c r="I782" s="248"/>
      <c r="J782" s="248"/>
      <c r="K782" s="248"/>
      <c r="L782" s="248"/>
      <c r="M782" s="248" t="s">
        <v>196</v>
      </c>
    </row>
    <row r="783" spans="1:13" ht="20.100000000000001" customHeight="1">
      <c r="A783" s="248"/>
      <c r="B783" s="248" t="s">
        <v>4737</v>
      </c>
      <c r="C783" s="248" t="s">
        <v>4036</v>
      </c>
      <c r="D783" s="248"/>
      <c r="E783" s="248"/>
      <c r="F783" s="248"/>
      <c r="G783" s="248" t="s">
        <v>1144</v>
      </c>
      <c r="H783" s="248"/>
      <c r="I783" s="248"/>
      <c r="J783" s="248"/>
      <c r="K783" s="248"/>
      <c r="L783" s="248"/>
      <c r="M783" s="248" t="s">
        <v>3550</v>
      </c>
    </row>
    <row r="784" spans="1:13" ht="20.100000000000001" customHeight="1">
      <c r="A784" s="248"/>
      <c r="B784" s="248" t="s">
        <v>4738</v>
      </c>
      <c r="C784" s="248" t="s">
        <v>4016</v>
      </c>
      <c r="D784" s="248"/>
      <c r="E784" s="248"/>
      <c r="F784" s="248"/>
      <c r="G784" s="248" t="s">
        <v>3265</v>
      </c>
      <c r="H784" s="248"/>
      <c r="I784" s="248"/>
      <c r="J784" s="248"/>
      <c r="K784" s="248"/>
      <c r="L784" s="248"/>
      <c r="M784" s="248" t="s">
        <v>1145</v>
      </c>
    </row>
    <row r="785" spans="1:13" ht="20.100000000000001" customHeight="1">
      <c r="A785" s="248"/>
      <c r="B785" s="248" t="s">
        <v>4739</v>
      </c>
      <c r="C785" s="248" t="s">
        <v>4740</v>
      </c>
      <c r="D785" s="248"/>
      <c r="E785" s="248"/>
      <c r="F785" s="248"/>
      <c r="G785" s="248" t="s">
        <v>1146</v>
      </c>
      <c r="H785" s="248"/>
      <c r="I785" s="248"/>
      <c r="J785" s="248"/>
      <c r="K785" s="248"/>
      <c r="L785" s="248"/>
      <c r="M785" s="248" t="s">
        <v>1147</v>
      </c>
    </row>
    <row r="786" spans="1:13" ht="20.100000000000001" customHeight="1">
      <c r="A786" s="248"/>
      <c r="B786" s="248" t="s">
        <v>4741</v>
      </c>
      <c r="C786" s="248" t="s">
        <v>4740</v>
      </c>
      <c r="D786" s="248"/>
      <c r="E786" s="248"/>
      <c r="F786" s="248"/>
      <c r="G786" s="248" t="s">
        <v>1148</v>
      </c>
      <c r="H786" s="248"/>
      <c r="I786" s="248"/>
      <c r="J786" s="248"/>
      <c r="K786" s="248"/>
      <c r="L786" s="248"/>
      <c r="M786" s="248" t="s">
        <v>1149</v>
      </c>
    </row>
    <row r="787" spans="1:13" ht="20.100000000000001" customHeight="1">
      <c r="A787" s="248"/>
      <c r="B787" s="248" t="s">
        <v>6435</v>
      </c>
      <c r="C787" s="248" t="s">
        <v>4014</v>
      </c>
      <c r="D787" s="248"/>
      <c r="E787" s="248"/>
      <c r="F787" s="248"/>
      <c r="G787" s="248" t="s">
        <v>6436</v>
      </c>
      <c r="H787" s="248"/>
      <c r="I787" s="248"/>
      <c r="J787" s="248"/>
      <c r="K787" s="248"/>
      <c r="L787" s="248"/>
      <c r="M787" s="248" t="s">
        <v>3550</v>
      </c>
    </row>
    <row r="788" spans="1:13" ht="20.100000000000001" customHeight="1">
      <c r="A788" s="248"/>
      <c r="B788" s="248" t="s">
        <v>4742</v>
      </c>
      <c r="C788" s="248" t="s">
        <v>4008</v>
      </c>
      <c r="D788" s="248"/>
      <c r="E788" s="248"/>
      <c r="F788" s="248"/>
      <c r="G788" s="248" t="s">
        <v>3897</v>
      </c>
      <c r="H788" s="248"/>
      <c r="I788" s="248"/>
      <c r="J788" s="248"/>
      <c r="K788" s="248"/>
      <c r="L788" s="248"/>
      <c r="M788" s="248" t="s">
        <v>3898</v>
      </c>
    </row>
    <row r="789" spans="1:13" ht="20.100000000000001" customHeight="1">
      <c r="A789" s="248"/>
      <c r="B789" s="248" t="s">
        <v>4743</v>
      </c>
      <c r="C789" s="248" t="s">
        <v>4030</v>
      </c>
      <c r="D789" s="248"/>
      <c r="E789" s="248"/>
      <c r="F789" s="248"/>
      <c r="G789" s="248" t="s">
        <v>3208</v>
      </c>
      <c r="H789" s="248"/>
      <c r="I789" s="248"/>
      <c r="J789" s="248"/>
      <c r="K789" s="248"/>
      <c r="L789" s="248"/>
      <c r="M789" s="248" t="s">
        <v>3209</v>
      </c>
    </row>
    <row r="790" spans="1:13" ht="20.100000000000001" customHeight="1">
      <c r="A790" s="248"/>
      <c r="B790" s="248" t="s">
        <v>4744</v>
      </c>
      <c r="C790" s="248" t="s">
        <v>4036</v>
      </c>
      <c r="D790" s="248"/>
      <c r="E790" s="248"/>
      <c r="F790" s="248"/>
      <c r="G790" s="248" t="s">
        <v>1150</v>
      </c>
      <c r="H790" s="248"/>
      <c r="I790" s="248"/>
      <c r="J790" s="248"/>
      <c r="K790" s="248"/>
      <c r="L790" s="248"/>
      <c r="M790" s="248" t="s">
        <v>1151</v>
      </c>
    </row>
    <row r="791" spans="1:13" ht="20.100000000000001" customHeight="1">
      <c r="A791" s="248"/>
      <c r="B791" s="248" t="s">
        <v>4745</v>
      </c>
      <c r="C791" s="248" t="s">
        <v>4012</v>
      </c>
      <c r="D791" s="248"/>
      <c r="E791" s="248"/>
      <c r="F791" s="248"/>
      <c r="G791" s="248" t="s">
        <v>1152</v>
      </c>
      <c r="H791" s="248"/>
      <c r="I791" s="248"/>
      <c r="J791" s="248"/>
      <c r="K791" s="248"/>
      <c r="L791" s="248"/>
      <c r="M791" s="248" t="s">
        <v>1153</v>
      </c>
    </row>
    <row r="792" spans="1:13" ht="20.100000000000001" customHeight="1">
      <c r="A792" s="248"/>
      <c r="B792" s="248" t="s">
        <v>4746</v>
      </c>
      <c r="C792" s="248" t="s">
        <v>4008</v>
      </c>
      <c r="D792" s="248"/>
      <c r="E792" s="248"/>
      <c r="F792" s="248"/>
      <c r="G792" s="248" t="s">
        <v>1154</v>
      </c>
      <c r="H792" s="248"/>
      <c r="I792" s="248"/>
      <c r="J792" s="248"/>
      <c r="K792" s="248"/>
      <c r="L792" s="248"/>
      <c r="M792" s="248" t="s">
        <v>1155</v>
      </c>
    </row>
    <row r="793" spans="1:13" ht="20.100000000000001" customHeight="1">
      <c r="A793" s="248"/>
      <c r="B793" s="248" t="s">
        <v>4747</v>
      </c>
      <c r="C793" s="248" t="s">
        <v>4057</v>
      </c>
      <c r="D793" s="248"/>
      <c r="E793" s="248"/>
      <c r="F793" s="248"/>
      <c r="G793" s="248" t="s">
        <v>1156</v>
      </c>
      <c r="H793" s="248"/>
      <c r="I793" s="248"/>
      <c r="J793" s="248"/>
      <c r="K793" s="248"/>
      <c r="L793" s="248"/>
      <c r="M793" s="248" t="s">
        <v>3550</v>
      </c>
    </row>
    <row r="794" spans="1:13" ht="20.100000000000001" customHeight="1">
      <c r="A794" s="248"/>
      <c r="B794" s="248" t="s">
        <v>4748</v>
      </c>
      <c r="C794" s="248" t="s">
        <v>4016</v>
      </c>
      <c r="D794" s="248"/>
      <c r="E794" s="248"/>
      <c r="F794" s="248"/>
      <c r="G794" s="248" t="s">
        <v>1157</v>
      </c>
      <c r="H794" s="248"/>
      <c r="I794" s="248"/>
      <c r="J794" s="248"/>
      <c r="K794" s="248"/>
      <c r="L794" s="248"/>
      <c r="M794" s="248" t="s">
        <v>1158</v>
      </c>
    </row>
    <row r="795" spans="1:13" ht="20.100000000000001" customHeight="1">
      <c r="A795" s="248"/>
      <c r="B795" s="248" t="s">
        <v>6548</v>
      </c>
      <c r="C795" s="248" t="s">
        <v>4003</v>
      </c>
      <c r="D795" s="248"/>
      <c r="E795" s="248"/>
      <c r="F795" s="248"/>
      <c r="G795" s="248" t="s">
        <v>6549</v>
      </c>
      <c r="H795" s="248"/>
      <c r="I795" s="248"/>
      <c r="J795" s="248"/>
      <c r="K795" s="248"/>
      <c r="L795" s="248"/>
      <c r="M795" s="248" t="s">
        <v>6550</v>
      </c>
    </row>
    <row r="796" spans="1:13" ht="20.100000000000001" customHeight="1">
      <c r="A796" s="248"/>
      <c r="B796" s="248" t="s">
        <v>4749</v>
      </c>
      <c r="C796" s="248" t="s">
        <v>4030</v>
      </c>
      <c r="D796" s="248"/>
      <c r="E796" s="248"/>
      <c r="F796" s="248"/>
      <c r="G796" s="248" t="s">
        <v>3905</v>
      </c>
      <c r="H796" s="248"/>
      <c r="I796" s="248"/>
      <c r="J796" s="248"/>
      <c r="K796" s="248"/>
      <c r="L796" s="248"/>
      <c r="M796" s="248" t="s">
        <v>3906</v>
      </c>
    </row>
    <row r="797" spans="1:13" ht="20.100000000000001" customHeight="1">
      <c r="A797" s="248"/>
      <c r="B797" s="248" t="s">
        <v>4750</v>
      </c>
      <c r="C797" s="248" t="s">
        <v>4030</v>
      </c>
      <c r="D797" s="248"/>
      <c r="E797" s="248"/>
      <c r="F797" s="248"/>
      <c r="G797" s="248" t="s">
        <v>3179</v>
      </c>
      <c r="H797" s="248"/>
      <c r="I797" s="248"/>
      <c r="J797" s="248"/>
      <c r="K797" s="248"/>
      <c r="L797" s="248"/>
      <c r="M797" s="248" t="s">
        <v>3180</v>
      </c>
    </row>
    <row r="798" spans="1:13" ht="20.100000000000001" customHeight="1">
      <c r="A798" s="248"/>
      <c r="B798" s="248" t="s">
        <v>4751</v>
      </c>
      <c r="C798" s="248" t="s">
        <v>4008</v>
      </c>
      <c r="D798" s="248"/>
      <c r="E798" s="248"/>
      <c r="F798" s="248"/>
      <c r="G798" s="248" t="s">
        <v>1159</v>
      </c>
      <c r="H798" s="248"/>
      <c r="I798" s="248"/>
      <c r="J798" s="248"/>
      <c r="K798" s="248"/>
      <c r="L798" s="248"/>
      <c r="M798" s="248" t="s">
        <v>1160</v>
      </c>
    </row>
    <row r="799" spans="1:13" ht="20.100000000000001" customHeight="1">
      <c r="A799" s="248"/>
      <c r="B799" s="248" t="s">
        <v>4752</v>
      </c>
      <c r="C799" s="248" t="s">
        <v>4025</v>
      </c>
      <c r="D799" s="248"/>
      <c r="E799" s="248"/>
      <c r="F799" s="248"/>
      <c r="G799" s="248" t="s">
        <v>1161</v>
      </c>
      <c r="H799" s="248"/>
      <c r="I799" s="248"/>
      <c r="J799" s="248"/>
      <c r="K799" s="248"/>
      <c r="L799" s="248"/>
      <c r="M799" s="248" t="s">
        <v>1162</v>
      </c>
    </row>
    <row r="800" spans="1:13" ht="20.100000000000001" customHeight="1">
      <c r="A800" s="248"/>
      <c r="B800" s="248" t="s">
        <v>4753</v>
      </c>
      <c r="C800" s="248" t="s">
        <v>4008</v>
      </c>
      <c r="D800" s="248"/>
      <c r="E800" s="248"/>
      <c r="F800" s="248"/>
      <c r="G800" s="248" t="s">
        <v>3752</v>
      </c>
      <c r="H800" s="248"/>
      <c r="I800" s="248"/>
      <c r="J800" s="248"/>
      <c r="K800" s="248"/>
      <c r="L800" s="248"/>
      <c r="M800" s="248" t="s">
        <v>3753</v>
      </c>
    </row>
    <row r="801" spans="1:13" ht="20.100000000000001" customHeight="1">
      <c r="A801" s="248"/>
      <c r="B801" s="248" t="s">
        <v>4754</v>
      </c>
      <c r="C801" s="248" t="s">
        <v>4036</v>
      </c>
      <c r="D801" s="248"/>
      <c r="E801" s="248"/>
      <c r="F801" s="248"/>
      <c r="G801" s="248" t="s">
        <v>1163</v>
      </c>
      <c r="H801" s="248"/>
      <c r="I801" s="248"/>
      <c r="J801" s="248"/>
      <c r="K801" s="248"/>
      <c r="L801" s="248"/>
      <c r="M801" s="248" t="s">
        <v>1164</v>
      </c>
    </row>
    <row r="802" spans="1:13" ht="20.100000000000001" customHeight="1">
      <c r="A802" s="248"/>
      <c r="B802" s="248" t="s">
        <v>4755</v>
      </c>
      <c r="C802" s="248" t="s">
        <v>4014</v>
      </c>
      <c r="D802" s="248"/>
      <c r="E802" s="248"/>
      <c r="F802" s="248"/>
      <c r="G802" s="248" t="s">
        <v>1165</v>
      </c>
      <c r="H802" s="248"/>
      <c r="I802" s="248"/>
      <c r="J802" s="248"/>
      <c r="K802" s="248"/>
      <c r="L802" s="248"/>
      <c r="M802" s="248" t="s">
        <v>1166</v>
      </c>
    </row>
    <row r="803" spans="1:13" ht="20.100000000000001" customHeight="1">
      <c r="A803" s="248"/>
      <c r="B803" s="248" t="s">
        <v>4756</v>
      </c>
      <c r="C803" s="248" t="s">
        <v>4016</v>
      </c>
      <c r="D803" s="248"/>
      <c r="E803" s="248"/>
      <c r="F803" s="248"/>
      <c r="G803" s="248" t="s">
        <v>3278</v>
      </c>
      <c r="H803" s="248"/>
      <c r="I803" s="248"/>
      <c r="J803" s="248"/>
      <c r="K803" s="248"/>
      <c r="L803" s="248"/>
      <c r="M803" s="248" t="s">
        <v>3279</v>
      </c>
    </row>
    <row r="804" spans="1:13" ht="20.100000000000001" customHeight="1">
      <c r="A804" s="248"/>
      <c r="B804" s="248" t="s">
        <v>4757</v>
      </c>
      <c r="C804" s="248" t="s">
        <v>4003</v>
      </c>
      <c r="D804" s="248"/>
      <c r="E804" s="248"/>
      <c r="F804" s="248"/>
      <c r="G804" s="248" t="s">
        <v>3017</v>
      </c>
      <c r="H804" s="248"/>
      <c r="I804" s="248"/>
      <c r="J804" s="248"/>
      <c r="K804" s="248"/>
      <c r="L804" s="248"/>
      <c r="M804" s="248" t="s">
        <v>3018</v>
      </c>
    </row>
    <row r="805" spans="1:13" ht="20.100000000000001" customHeight="1">
      <c r="A805" s="248"/>
      <c r="B805" s="248" t="s">
        <v>4758</v>
      </c>
      <c r="C805" s="248" t="s">
        <v>4005</v>
      </c>
      <c r="D805" s="248"/>
      <c r="E805" s="248"/>
      <c r="F805" s="248"/>
      <c r="G805" s="248" t="s">
        <v>6490</v>
      </c>
      <c r="H805" s="248"/>
      <c r="I805" s="248"/>
      <c r="J805" s="248"/>
      <c r="K805" s="248"/>
      <c r="L805" s="248"/>
      <c r="M805" s="248" t="s">
        <v>3380</v>
      </c>
    </row>
    <row r="806" spans="1:13" ht="20.100000000000001" customHeight="1">
      <c r="A806" s="248"/>
      <c r="B806" s="248" t="s">
        <v>4759</v>
      </c>
      <c r="C806" s="248" t="s">
        <v>4003</v>
      </c>
      <c r="D806" s="248"/>
      <c r="E806" s="248"/>
      <c r="F806" s="248"/>
      <c r="G806" s="248" t="s">
        <v>2989</v>
      </c>
      <c r="H806" s="248"/>
      <c r="I806" s="248"/>
      <c r="J806" s="248"/>
      <c r="K806" s="248"/>
      <c r="L806" s="248"/>
      <c r="M806" s="248" t="s">
        <v>2990</v>
      </c>
    </row>
    <row r="807" spans="1:13" ht="20.100000000000001" customHeight="1">
      <c r="A807" s="248"/>
      <c r="B807" s="248" t="s">
        <v>6551</v>
      </c>
      <c r="C807" s="248" t="s">
        <v>4003</v>
      </c>
      <c r="D807" s="248"/>
      <c r="E807" s="248"/>
      <c r="F807" s="248"/>
      <c r="G807" s="248" t="s">
        <v>6552</v>
      </c>
      <c r="H807" s="248"/>
      <c r="I807" s="248"/>
      <c r="J807" s="248"/>
      <c r="K807" s="248"/>
      <c r="L807" s="248"/>
      <c r="M807" s="248" t="s">
        <v>6553</v>
      </c>
    </row>
    <row r="808" spans="1:13" ht="20.100000000000001" customHeight="1">
      <c r="A808" s="248"/>
      <c r="B808" s="248" t="s">
        <v>4760</v>
      </c>
      <c r="C808" s="248" t="s">
        <v>4016</v>
      </c>
      <c r="D808" s="248"/>
      <c r="E808" s="248"/>
      <c r="F808" s="248"/>
      <c r="G808" s="248" t="s">
        <v>3688</v>
      </c>
      <c r="H808" s="248"/>
      <c r="I808" s="248"/>
      <c r="J808" s="248"/>
      <c r="K808" s="248"/>
      <c r="L808" s="248"/>
      <c r="M808" s="248" t="s">
        <v>3689</v>
      </c>
    </row>
    <row r="809" spans="1:13" ht="20.100000000000001" customHeight="1">
      <c r="A809" s="249"/>
      <c r="B809" s="249" t="s">
        <v>4761</v>
      </c>
      <c r="C809" s="250" t="s">
        <v>4271</v>
      </c>
      <c r="D809" s="249"/>
      <c r="E809" s="249"/>
      <c r="F809" s="249"/>
      <c r="G809" s="249" t="s">
        <v>1167</v>
      </c>
      <c r="H809" s="249"/>
      <c r="I809" s="249"/>
      <c r="J809" s="249"/>
      <c r="K809" s="249"/>
      <c r="L809" s="249"/>
      <c r="M809" s="249" t="s">
        <v>1168</v>
      </c>
    </row>
    <row r="810" spans="1:13" ht="20.100000000000001" customHeight="1">
      <c r="A810" s="248"/>
      <c r="B810" s="248" t="s">
        <v>4762</v>
      </c>
      <c r="C810" s="248" t="s">
        <v>4014</v>
      </c>
      <c r="D810" s="248"/>
      <c r="E810" s="248"/>
      <c r="F810" s="248"/>
      <c r="G810" s="248" t="s">
        <v>3463</v>
      </c>
      <c r="H810" s="248"/>
      <c r="I810" s="248"/>
      <c r="J810" s="248"/>
      <c r="K810" s="248"/>
      <c r="L810" s="248"/>
      <c r="M810" s="248" t="s">
        <v>196</v>
      </c>
    </row>
    <row r="811" spans="1:13" ht="20.100000000000001" customHeight="1">
      <c r="A811" s="248"/>
      <c r="B811" s="248" t="s">
        <v>4763</v>
      </c>
      <c r="C811" s="248" t="s">
        <v>4030</v>
      </c>
      <c r="D811" s="248"/>
      <c r="E811" s="248"/>
      <c r="F811" s="248"/>
      <c r="G811" s="248" t="s">
        <v>1169</v>
      </c>
      <c r="H811" s="248"/>
      <c r="I811" s="248"/>
      <c r="J811" s="248"/>
      <c r="K811" s="248"/>
      <c r="L811" s="248"/>
      <c r="M811" s="248" t="s">
        <v>1170</v>
      </c>
    </row>
    <row r="812" spans="1:13" ht="20.100000000000001" customHeight="1">
      <c r="A812" s="248"/>
      <c r="B812" s="248" t="s">
        <v>4764</v>
      </c>
      <c r="C812" s="248" t="s">
        <v>4036</v>
      </c>
      <c r="D812" s="248"/>
      <c r="E812" s="248"/>
      <c r="F812" s="248"/>
      <c r="G812" s="248" t="s">
        <v>3152</v>
      </c>
      <c r="H812" s="248"/>
      <c r="I812" s="248"/>
      <c r="J812" s="248"/>
      <c r="K812" s="248"/>
      <c r="L812" s="248"/>
      <c r="M812" s="248" t="s">
        <v>3153</v>
      </c>
    </row>
    <row r="813" spans="1:13" ht="20.100000000000001" customHeight="1">
      <c r="A813" s="248"/>
      <c r="B813" s="248" t="s">
        <v>4765</v>
      </c>
      <c r="C813" s="248" t="s">
        <v>4003</v>
      </c>
      <c r="D813" s="248"/>
      <c r="E813" s="248"/>
      <c r="F813" s="248"/>
      <c r="G813" s="248" t="s">
        <v>1171</v>
      </c>
      <c r="H813" s="248"/>
      <c r="I813" s="248"/>
      <c r="J813" s="248"/>
      <c r="K813" s="248"/>
      <c r="L813" s="248"/>
      <c r="M813" s="248" t="s">
        <v>1172</v>
      </c>
    </row>
    <row r="814" spans="1:13" ht="20.100000000000001" customHeight="1">
      <c r="A814" s="248"/>
      <c r="B814" s="248" t="s">
        <v>4766</v>
      </c>
      <c r="C814" s="248" t="s">
        <v>4036</v>
      </c>
      <c r="D814" s="248"/>
      <c r="E814" s="248"/>
      <c r="F814" s="248"/>
      <c r="G814" s="248" t="s">
        <v>1173</v>
      </c>
      <c r="H814" s="248"/>
      <c r="I814" s="248"/>
      <c r="J814" s="248"/>
      <c r="K814" s="248"/>
      <c r="L814" s="248"/>
      <c r="M814" s="248" t="s">
        <v>1174</v>
      </c>
    </row>
    <row r="815" spans="1:13" ht="20.100000000000001" customHeight="1">
      <c r="A815" s="248"/>
      <c r="B815" s="248" t="s">
        <v>4767</v>
      </c>
      <c r="C815" s="248" t="s">
        <v>4016</v>
      </c>
      <c r="D815" s="248"/>
      <c r="E815" s="248"/>
      <c r="F815" s="248"/>
      <c r="G815" s="248" t="s">
        <v>1175</v>
      </c>
      <c r="H815" s="248"/>
      <c r="I815" s="248"/>
      <c r="J815" s="248"/>
      <c r="K815" s="248"/>
      <c r="L815" s="248"/>
      <c r="M815" s="248" t="s">
        <v>1176</v>
      </c>
    </row>
    <row r="816" spans="1:13" ht="20.100000000000001" customHeight="1">
      <c r="A816" s="248"/>
      <c r="B816" s="248" t="s">
        <v>6437</v>
      </c>
      <c r="C816" s="248" t="s">
        <v>4016</v>
      </c>
      <c r="D816" s="248"/>
      <c r="E816" s="248"/>
      <c r="F816" s="248"/>
      <c r="G816" s="248" t="s">
        <v>6438</v>
      </c>
      <c r="H816" s="248"/>
      <c r="I816" s="248"/>
      <c r="J816" s="248"/>
      <c r="K816" s="248"/>
      <c r="L816" s="248"/>
      <c r="M816" s="248" t="s">
        <v>6439</v>
      </c>
    </row>
    <row r="817" spans="1:13" ht="20.100000000000001" customHeight="1">
      <c r="A817" s="248"/>
      <c r="B817" s="248" t="s">
        <v>6491</v>
      </c>
      <c r="C817" s="248" t="s">
        <v>4014</v>
      </c>
      <c r="D817" s="248"/>
      <c r="E817" s="248"/>
      <c r="F817" s="248"/>
      <c r="G817" s="248" t="s">
        <v>6492</v>
      </c>
      <c r="H817" s="248"/>
      <c r="I817" s="248"/>
      <c r="J817" s="248"/>
      <c r="K817" s="248"/>
      <c r="L817" s="248"/>
      <c r="M817" s="248" t="s">
        <v>6493</v>
      </c>
    </row>
    <row r="818" spans="1:13" ht="20.100000000000001" customHeight="1">
      <c r="A818" s="248"/>
      <c r="B818" s="248" t="s">
        <v>6298</v>
      </c>
      <c r="C818" s="248" t="s">
        <v>4016</v>
      </c>
      <c r="D818" s="248"/>
      <c r="E818" s="248"/>
      <c r="F818" s="248"/>
      <c r="G818" s="248" t="s">
        <v>6299</v>
      </c>
      <c r="H818" s="248"/>
      <c r="I818" s="248"/>
      <c r="J818" s="248"/>
      <c r="K818" s="248"/>
      <c r="L818" s="248"/>
      <c r="M818" s="248" t="s">
        <v>3550</v>
      </c>
    </row>
    <row r="819" spans="1:13" ht="20.100000000000001" customHeight="1">
      <c r="A819" s="248"/>
      <c r="B819" s="248" t="s">
        <v>4768</v>
      </c>
      <c r="C819" s="248" t="s">
        <v>4030</v>
      </c>
      <c r="D819" s="248"/>
      <c r="E819" s="248"/>
      <c r="F819" s="248"/>
      <c r="G819" s="248" t="s">
        <v>1177</v>
      </c>
      <c r="H819" s="248"/>
      <c r="I819" s="248"/>
      <c r="J819" s="248"/>
      <c r="K819" s="248"/>
      <c r="L819" s="248"/>
      <c r="M819" s="248" t="s">
        <v>1178</v>
      </c>
    </row>
    <row r="820" spans="1:13" ht="20.100000000000001" customHeight="1">
      <c r="A820" s="248"/>
      <c r="B820" s="248" t="s">
        <v>4769</v>
      </c>
      <c r="C820" s="248" t="s">
        <v>4003</v>
      </c>
      <c r="D820" s="248"/>
      <c r="E820" s="248"/>
      <c r="F820" s="248"/>
      <c r="G820" s="248" t="s">
        <v>1179</v>
      </c>
      <c r="H820" s="248"/>
      <c r="I820" s="248"/>
      <c r="J820" s="248"/>
      <c r="K820" s="248"/>
      <c r="L820" s="248"/>
      <c r="M820" s="248" t="s">
        <v>1180</v>
      </c>
    </row>
    <row r="821" spans="1:13" ht="20.100000000000001" customHeight="1">
      <c r="A821" s="248"/>
      <c r="B821" s="248" t="s">
        <v>4770</v>
      </c>
      <c r="C821" s="248" t="s">
        <v>4121</v>
      </c>
      <c r="D821" s="248"/>
      <c r="E821" s="248"/>
      <c r="F821" s="248"/>
      <c r="G821" s="248" t="s">
        <v>3266</v>
      </c>
      <c r="H821" s="248"/>
      <c r="I821" s="248"/>
      <c r="J821" s="248"/>
      <c r="K821" s="248"/>
      <c r="L821" s="248"/>
      <c r="M821" s="248" t="s">
        <v>1181</v>
      </c>
    </row>
    <row r="822" spans="1:13" ht="20.100000000000001" customHeight="1">
      <c r="A822" s="248"/>
      <c r="B822" s="248" t="s">
        <v>4771</v>
      </c>
      <c r="C822" s="248" t="s">
        <v>4012</v>
      </c>
      <c r="D822" s="248"/>
      <c r="E822" s="248"/>
      <c r="F822" s="248"/>
      <c r="G822" s="248" t="s">
        <v>1182</v>
      </c>
      <c r="H822" s="248"/>
      <c r="I822" s="248"/>
      <c r="J822" s="248"/>
      <c r="K822" s="248"/>
      <c r="L822" s="248"/>
      <c r="M822" s="248" t="s">
        <v>1183</v>
      </c>
    </row>
    <row r="823" spans="1:13" ht="20.100000000000001" customHeight="1">
      <c r="A823" s="248"/>
      <c r="B823" s="248" t="s">
        <v>4772</v>
      </c>
      <c r="C823" s="248" t="s">
        <v>4014</v>
      </c>
      <c r="D823" s="248"/>
      <c r="E823" s="248"/>
      <c r="F823" s="248"/>
      <c r="G823" s="248" t="s">
        <v>3754</v>
      </c>
      <c r="H823" s="248"/>
      <c r="I823" s="248"/>
      <c r="J823" s="248"/>
      <c r="K823" s="248"/>
      <c r="L823" s="248"/>
      <c r="M823" s="248" t="s">
        <v>3755</v>
      </c>
    </row>
    <row r="824" spans="1:13" ht="20.100000000000001" customHeight="1">
      <c r="A824" s="248"/>
      <c r="B824" s="248" t="s">
        <v>4773</v>
      </c>
      <c r="C824" s="248" t="s">
        <v>4050</v>
      </c>
      <c r="D824" s="248"/>
      <c r="E824" s="248"/>
      <c r="F824" s="248"/>
      <c r="G824" s="248" t="s">
        <v>1185</v>
      </c>
      <c r="H824" s="248"/>
      <c r="I824" s="248"/>
      <c r="J824" s="248"/>
      <c r="K824" s="248"/>
      <c r="L824" s="248"/>
      <c r="M824" s="248" t="s">
        <v>1186</v>
      </c>
    </row>
    <row r="825" spans="1:13" ht="20.100000000000001" customHeight="1">
      <c r="A825" s="248"/>
      <c r="B825" s="248" t="s">
        <v>4774</v>
      </c>
      <c r="C825" s="248" t="s">
        <v>4036</v>
      </c>
      <c r="D825" s="248"/>
      <c r="E825" s="248"/>
      <c r="F825" s="248"/>
      <c r="G825" s="248" t="s">
        <v>3561</v>
      </c>
      <c r="H825" s="248"/>
      <c r="I825" s="248"/>
      <c r="J825" s="248"/>
      <c r="K825" s="248"/>
      <c r="L825" s="248"/>
      <c r="M825" s="248" t="s">
        <v>3562</v>
      </c>
    </row>
    <row r="826" spans="1:13" ht="20.100000000000001" customHeight="1">
      <c r="A826" s="248"/>
      <c r="B826" s="248" t="s">
        <v>4775</v>
      </c>
      <c r="C826" s="248" t="s">
        <v>4003</v>
      </c>
      <c r="D826" s="248"/>
      <c r="E826" s="248"/>
      <c r="F826" s="248"/>
      <c r="G826" s="248" t="s">
        <v>1187</v>
      </c>
      <c r="H826" s="248"/>
      <c r="I826" s="248"/>
      <c r="J826" s="248"/>
      <c r="K826" s="248"/>
      <c r="L826" s="248"/>
      <c r="M826" s="248" t="s">
        <v>1188</v>
      </c>
    </row>
    <row r="827" spans="1:13" ht="20.100000000000001" customHeight="1">
      <c r="A827" s="248"/>
      <c r="B827" s="248" t="s">
        <v>4776</v>
      </c>
      <c r="C827" s="248" t="s">
        <v>4014</v>
      </c>
      <c r="D827" s="248"/>
      <c r="E827" s="248"/>
      <c r="F827" s="248"/>
      <c r="G827" s="248" t="s">
        <v>3907</v>
      </c>
      <c r="H827" s="248"/>
      <c r="I827" s="248"/>
      <c r="J827" s="248"/>
      <c r="K827" s="248"/>
      <c r="L827" s="248"/>
      <c r="M827" s="248" t="s">
        <v>1189</v>
      </c>
    </row>
    <row r="828" spans="1:13" ht="20.100000000000001" customHeight="1">
      <c r="A828" s="248"/>
      <c r="B828" s="248" t="s">
        <v>4777</v>
      </c>
      <c r="C828" s="248" t="s">
        <v>4016</v>
      </c>
      <c r="D828" s="248"/>
      <c r="E828" s="248"/>
      <c r="F828" s="248"/>
      <c r="G828" s="248" t="s">
        <v>3040</v>
      </c>
      <c r="H828" s="248"/>
      <c r="I828" s="248"/>
      <c r="J828" s="248"/>
      <c r="K828" s="248"/>
      <c r="L828" s="248"/>
      <c r="M828" s="248" t="s">
        <v>3041</v>
      </c>
    </row>
    <row r="829" spans="1:13" ht="20.100000000000001" customHeight="1">
      <c r="A829" s="249"/>
      <c r="B829" s="249" t="s">
        <v>4778</v>
      </c>
      <c r="C829" s="250" t="s">
        <v>4008</v>
      </c>
      <c r="D829" s="249"/>
      <c r="E829" s="249"/>
      <c r="F829" s="249"/>
      <c r="G829" s="249" t="s">
        <v>1190</v>
      </c>
      <c r="H829" s="249"/>
      <c r="I829" s="249"/>
      <c r="J829" s="249"/>
      <c r="K829" s="249"/>
      <c r="L829" s="249"/>
      <c r="M829" s="249" t="s">
        <v>1191</v>
      </c>
    </row>
    <row r="830" spans="1:13" ht="20.100000000000001" customHeight="1">
      <c r="A830" s="248"/>
      <c r="B830" s="248" t="s">
        <v>4779</v>
      </c>
      <c r="C830" s="248" t="s">
        <v>4008</v>
      </c>
      <c r="D830" s="248"/>
      <c r="E830" s="248"/>
      <c r="F830" s="248"/>
      <c r="G830" s="248" t="s">
        <v>3210</v>
      </c>
      <c r="H830" s="248"/>
      <c r="I830" s="248"/>
      <c r="J830" s="248"/>
      <c r="K830" s="248"/>
      <c r="L830" s="248"/>
      <c r="M830" s="248" t="s">
        <v>3211</v>
      </c>
    </row>
    <row r="831" spans="1:13" ht="20.100000000000001" customHeight="1">
      <c r="A831" s="248"/>
      <c r="B831" s="248" t="s">
        <v>4780</v>
      </c>
      <c r="C831" s="248" t="s">
        <v>4036</v>
      </c>
      <c r="D831" s="248"/>
      <c r="E831" s="248"/>
      <c r="F831" s="248"/>
      <c r="G831" s="248" t="s">
        <v>1192</v>
      </c>
      <c r="H831" s="248"/>
      <c r="I831" s="248"/>
      <c r="J831" s="248"/>
      <c r="K831" s="248"/>
      <c r="L831" s="248"/>
      <c r="M831" s="248" t="s">
        <v>1193</v>
      </c>
    </row>
    <row r="832" spans="1:13" ht="20.100000000000001" customHeight="1">
      <c r="A832" s="248"/>
      <c r="B832" s="248" t="s">
        <v>4781</v>
      </c>
      <c r="C832" s="248" t="s">
        <v>4030</v>
      </c>
      <c r="D832" s="248"/>
      <c r="E832" s="248"/>
      <c r="F832" s="248"/>
      <c r="G832" s="248" t="s">
        <v>3381</v>
      </c>
      <c r="H832" s="248"/>
      <c r="I832" s="248"/>
      <c r="J832" s="248"/>
      <c r="K832" s="248"/>
      <c r="L832" s="248"/>
      <c r="M832" s="248" t="s">
        <v>3382</v>
      </c>
    </row>
    <row r="833" spans="1:13" ht="20.100000000000001" customHeight="1">
      <c r="A833" s="248"/>
      <c r="B833" s="248" t="s">
        <v>4782</v>
      </c>
      <c r="C833" s="248" t="s">
        <v>4003</v>
      </c>
      <c r="D833" s="248"/>
      <c r="E833" s="248"/>
      <c r="F833" s="248"/>
      <c r="G833" s="248" t="s">
        <v>1194</v>
      </c>
      <c r="H833" s="248"/>
      <c r="I833" s="248"/>
      <c r="J833" s="248"/>
      <c r="K833" s="248"/>
      <c r="L833" s="248"/>
      <c r="M833" s="248" t="s">
        <v>1195</v>
      </c>
    </row>
    <row r="834" spans="1:13" ht="20.100000000000001" customHeight="1">
      <c r="A834" s="248"/>
      <c r="B834" s="248" t="s">
        <v>6494</v>
      </c>
      <c r="C834" s="248" t="s">
        <v>4014</v>
      </c>
      <c r="D834" s="248"/>
      <c r="E834" s="248"/>
      <c r="F834" s="248"/>
      <c r="G834" s="248" t="s">
        <v>6495</v>
      </c>
      <c r="H834" s="248"/>
      <c r="I834" s="248"/>
      <c r="J834" s="248"/>
      <c r="K834" s="248"/>
      <c r="L834" s="248"/>
      <c r="M834" s="248" t="s">
        <v>196</v>
      </c>
    </row>
    <row r="835" spans="1:13" ht="20.100000000000001" customHeight="1">
      <c r="A835" s="248"/>
      <c r="B835" s="248" t="s">
        <v>4783</v>
      </c>
      <c r="C835" s="248" t="s">
        <v>4008</v>
      </c>
      <c r="D835" s="248"/>
      <c r="E835" s="248"/>
      <c r="F835" s="248"/>
      <c r="G835" s="248" t="s">
        <v>1196</v>
      </c>
      <c r="H835" s="248"/>
      <c r="I835" s="248"/>
      <c r="J835" s="248"/>
      <c r="K835" s="248"/>
      <c r="L835" s="248"/>
      <c r="M835" s="248" t="s">
        <v>3550</v>
      </c>
    </row>
    <row r="836" spans="1:13" ht="20.100000000000001" customHeight="1">
      <c r="A836" s="248"/>
      <c r="B836" s="248" t="s">
        <v>6440</v>
      </c>
      <c r="C836" s="248" t="s">
        <v>4014</v>
      </c>
      <c r="D836" s="248"/>
      <c r="E836" s="248"/>
      <c r="F836" s="248"/>
      <c r="G836" s="248" t="s">
        <v>6441</v>
      </c>
      <c r="H836" s="248"/>
      <c r="I836" s="248"/>
      <c r="J836" s="248"/>
      <c r="K836" s="248"/>
      <c r="L836" s="248"/>
      <c r="M836" s="248" t="s">
        <v>3550</v>
      </c>
    </row>
    <row r="837" spans="1:13" ht="20.100000000000001" customHeight="1">
      <c r="A837" s="248"/>
      <c r="B837" s="248" t="s">
        <v>4784</v>
      </c>
      <c r="C837" s="248" t="s">
        <v>4036</v>
      </c>
      <c r="D837" s="248"/>
      <c r="E837" s="248"/>
      <c r="F837" s="248"/>
      <c r="G837" s="248" t="s">
        <v>3563</v>
      </c>
      <c r="H837" s="248"/>
      <c r="I837" s="248"/>
      <c r="J837" s="248"/>
      <c r="K837" s="248"/>
      <c r="L837" s="248"/>
      <c r="M837" s="248" t="s">
        <v>3564</v>
      </c>
    </row>
    <row r="838" spans="1:13" ht="20.100000000000001" customHeight="1">
      <c r="A838" s="248"/>
      <c r="B838" s="248" t="s">
        <v>4785</v>
      </c>
      <c r="C838" s="248" t="s">
        <v>4030</v>
      </c>
      <c r="D838" s="248"/>
      <c r="E838" s="248"/>
      <c r="F838" s="248"/>
      <c r="G838" s="248" t="s">
        <v>1197</v>
      </c>
      <c r="H838" s="248"/>
      <c r="I838" s="248"/>
      <c r="J838" s="248"/>
      <c r="K838" s="248"/>
      <c r="L838" s="248"/>
      <c r="M838" s="248" t="s">
        <v>1198</v>
      </c>
    </row>
    <row r="839" spans="1:13" ht="20.100000000000001" customHeight="1">
      <c r="A839" s="248"/>
      <c r="B839" s="248" t="s">
        <v>4786</v>
      </c>
      <c r="C839" s="248" t="s">
        <v>4012</v>
      </c>
      <c r="D839" s="248"/>
      <c r="E839" s="248"/>
      <c r="F839" s="248"/>
      <c r="G839" s="248" t="s">
        <v>3839</v>
      </c>
      <c r="H839" s="248"/>
      <c r="I839" s="248"/>
      <c r="J839" s="248"/>
      <c r="K839" s="248"/>
      <c r="L839" s="248"/>
      <c r="M839" s="248" t="s">
        <v>1199</v>
      </c>
    </row>
    <row r="840" spans="1:13" ht="20.100000000000001" customHeight="1">
      <c r="A840" s="248"/>
      <c r="B840" s="248" t="s">
        <v>4787</v>
      </c>
      <c r="C840" s="248" t="s">
        <v>4008</v>
      </c>
      <c r="D840" s="248"/>
      <c r="E840" s="248"/>
      <c r="F840" s="248"/>
      <c r="G840" s="248" t="s">
        <v>1200</v>
      </c>
      <c r="H840" s="248"/>
      <c r="I840" s="248"/>
      <c r="J840" s="248"/>
      <c r="K840" s="248"/>
      <c r="L840" s="248"/>
      <c r="M840" s="248" t="s">
        <v>1201</v>
      </c>
    </row>
    <row r="841" spans="1:13" ht="20.100000000000001" customHeight="1">
      <c r="A841" s="248"/>
      <c r="B841" s="248" t="s">
        <v>6300</v>
      </c>
      <c r="C841" s="248" t="s">
        <v>4036</v>
      </c>
      <c r="D841" s="248"/>
      <c r="E841" s="248"/>
      <c r="F841" s="248"/>
      <c r="G841" s="248" t="s">
        <v>6301</v>
      </c>
      <c r="H841" s="248"/>
      <c r="I841" s="248"/>
      <c r="J841" s="248"/>
      <c r="K841" s="248"/>
      <c r="L841" s="248"/>
      <c r="M841" s="248" t="s">
        <v>6302</v>
      </c>
    </row>
    <row r="842" spans="1:13" ht="20.100000000000001" customHeight="1">
      <c r="A842" s="248"/>
      <c r="B842" s="248" t="s">
        <v>4788</v>
      </c>
      <c r="C842" s="248" t="s">
        <v>4025</v>
      </c>
      <c r="D842" s="248"/>
      <c r="E842" s="248"/>
      <c r="F842" s="248"/>
      <c r="G842" s="248" t="s">
        <v>1202</v>
      </c>
      <c r="H842" s="248"/>
      <c r="I842" s="248"/>
      <c r="J842" s="248"/>
      <c r="K842" s="248"/>
      <c r="L842" s="248"/>
      <c r="M842" s="248" t="s">
        <v>3550</v>
      </c>
    </row>
    <row r="843" spans="1:13" ht="20.100000000000001" customHeight="1">
      <c r="A843" s="248"/>
      <c r="B843" s="248" t="s">
        <v>4789</v>
      </c>
      <c r="C843" s="248" t="s">
        <v>4003</v>
      </c>
      <c r="D843" s="248"/>
      <c r="E843" s="248"/>
      <c r="F843" s="248"/>
      <c r="G843" s="248" t="s">
        <v>1203</v>
      </c>
      <c r="H843" s="248"/>
      <c r="I843" s="248"/>
      <c r="J843" s="248"/>
      <c r="K843" s="248"/>
      <c r="L843" s="248"/>
      <c r="M843" s="248" t="s">
        <v>1204</v>
      </c>
    </row>
    <row r="844" spans="1:13" ht="20.100000000000001" customHeight="1">
      <c r="A844" s="248"/>
      <c r="B844" s="248" t="s">
        <v>4790</v>
      </c>
      <c r="C844" s="248" t="s">
        <v>4030</v>
      </c>
      <c r="D844" s="248"/>
      <c r="E844" s="248"/>
      <c r="F844" s="248"/>
      <c r="G844" s="248" t="s">
        <v>1205</v>
      </c>
      <c r="H844" s="248"/>
      <c r="I844" s="248"/>
      <c r="J844" s="248"/>
      <c r="K844" s="248"/>
      <c r="L844" s="248"/>
      <c r="M844" s="248" t="s">
        <v>1206</v>
      </c>
    </row>
    <row r="845" spans="1:13" ht="20.100000000000001" customHeight="1">
      <c r="A845" s="248"/>
      <c r="B845" s="248" t="s">
        <v>4791</v>
      </c>
      <c r="C845" s="248" t="s">
        <v>4008</v>
      </c>
      <c r="D845" s="248"/>
      <c r="E845" s="248"/>
      <c r="F845" s="248"/>
      <c r="G845" s="248" t="s">
        <v>1207</v>
      </c>
      <c r="H845" s="248"/>
      <c r="I845" s="248"/>
      <c r="J845" s="248"/>
      <c r="K845" s="248"/>
      <c r="L845" s="248"/>
      <c r="M845" s="248" t="s">
        <v>1208</v>
      </c>
    </row>
    <row r="846" spans="1:13" ht="20.100000000000001" customHeight="1">
      <c r="A846" s="248"/>
      <c r="B846" s="248" t="s">
        <v>4792</v>
      </c>
      <c r="C846" s="248" t="s">
        <v>4008</v>
      </c>
      <c r="D846" s="248"/>
      <c r="E846" s="248"/>
      <c r="F846" s="248"/>
      <c r="G846" s="248" t="s">
        <v>1209</v>
      </c>
      <c r="H846" s="248"/>
      <c r="I846" s="248"/>
      <c r="J846" s="248"/>
      <c r="K846" s="248"/>
      <c r="L846" s="248"/>
      <c r="M846" s="248" t="s">
        <v>1210</v>
      </c>
    </row>
    <row r="847" spans="1:13" ht="20.100000000000001" customHeight="1">
      <c r="A847" s="248"/>
      <c r="B847" s="248" t="s">
        <v>6303</v>
      </c>
      <c r="C847" s="248" t="s">
        <v>4014</v>
      </c>
      <c r="D847" s="248"/>
      <c r="E847" s="248"/>
      <c r="F847" s="248"/>
      <c r="G847" s="248" t="s">
        <v>6304</v>
      </c>
      <c r="H847" s="248"/>
      <c r="I847" s="248"/>
      <c r="J847" s="248"/>
      <c r="K847" s="248"/>
      <c r="L847" s="248"/>
      <c r="M847" s="248" t="s">
        <v>6305</v>
      </c>
    </row>
    <row r="848" spans="1:13" ht="20.100000000000001" customHeight="1">
      <c r="A848" s="248"/>
      <c r="B848" s="248" t="s">
        <v>4793</v>
      </c>
      <c r="C848" s="248" t="s">
        <v>4036</v>
      </c>
      <c r="D848" s="248"/>
      <c r="E848" s="248"/>
      <c r="F848" s="248"/>
      <c r="G848" s="248" t="s">
        <v>1211</v>
      </c>
      <c r="H848" s="248"/>
      <c r="I848" s="248"/>
      <c r="J848" s="248"/>
      <c r="K848" s="248"/>
      <c r="L848" s="248"/>
      <c r="M848" s="248" t="s">
        <v>3550</v>
      </c>
    </row>
    <row r="849" spans="1:13" ht="20.100000000000001" customHeight="1">
      <c r="A849" s="248"/>
      <c r="B849" s="248" t="s">
        <v>4794</v>
      </c>
      <c r="C849" s="248" t="s">
        <v>4036</v>
      </c>
      <c r="D849" s="248"/>
      <c r="E849" s="248"/>
      <c r="F849" s="248"/>
      <c r="G849" s="248" t="s">
        <v>3201</v>
      </c>
      <c r="H849" s="248"/>
      <c r="I849" s="248"/>
      <c r="J849" s="248"/>
      <c r="K849" s="248"/>
      <c r="L849" s="248"/>
      <c r="M849" s="248" t="s">
        <v>196</v>
      </c>
    </row>
    <row r="850" spans="1:13" ht="20.100000000000001" customHeight="1">
      <c r="A850" s="248"/>
      <c r="B850" s="248" t="s">
        <v>4795</v>
      </c>
      <c r="C850" s="248" t="s">
        <v>4036</v>
      </c>
      <c r="D850" s="248"/>
      <c r="E850" s="248"/>
      <c r="F850" s="248"/>
      <c r="G850" s="248" t="s">
        <v>3267</v>
      </c>
      <c r="H850" s="248"/>
      <c r="I850" s="248"/>
      <c r="J850" s="248"/>
      <c r="K850" s="248"/>
      <c r="L850" s="248"/>
      <c r="M850" s="248" t="s">
        <v>3550</v>
      </c>
    </row>
    <row r="851" spans="1:13" ht="20.100000000000001" customHeight="1">
      <c r="A851" s="248"/>
      <c r="B851" s="248" t="s">
        <v>4796</v>
      </c>
      <c r="C851" s="248" t="s">
        <v>4012</v>
      </c>
      <c r="D851" s="248"/>
      <c r="E851" s="248"/>
      <c r="F851" s="248"/>
      <c r="G851" s="248" t="s">
        <v>1212</v>
      </c>
      <c r="H851" s="248"/>
      <c r="I851" s="248"/>
      <c r="J851" s="248"/>
      <c r="K851" s="248"/>
      <c r="L851" s="248"/>
      <c r="M851" s="248" t="s">
        <v>1213</v>
      </c>
    </row>
    <row r="852" spans="1:13" ht="20.100000000000001" customHeight="1">
      <c r="A852" s="248"/>
      <c r="B852" s="248" t="s">
        <v>4797</v>
      </c>
      <c r="C852" s="248" t="s">
        <v>4014</v>
      </c>
      <c r="D852" s="248"/>
      <c r="E852" s="248"/>
      <c r="F852" s="248"/>
      <c r="G852" s="248" t="s">
        <v>1214</v>
      </c>
      <c r="H852" s="248"/>
      <c r="I852" s="248"/>
      <c r="J852" s="248"/>
      <c r="K852" s="248"/>
      <c r="L852" s="248"/>
      <c r="M852" s="248" t="s">
        <v>6249</v>
      </c>
    </row>
    <row r="853" spans="1:13" ht="20.100000000000001" customHeight="1">
      <c r="A853" s="248"/>
      <c r="B853" s="248" t="s">
        <v>4798</v>
      </c>
      <c r="C853" s="248" t="s">
        <v>4014</v>
      </c>
      <c r="D853" s="248"/>
      <c r="E853" s="248"/>
      <c r="F853" s="248"/>
      <c r="G853" s="248" t="s">
        <v>3159</v>
      </c>
      <c r="H853" s="248"/>
      <c r="I853" s="248"/>
      <c r="J853" s="248"/>
      <c r="K853" s="248"/>
      <c r="L853" s="248"/>
      <c r="M853" s="248" t="s">
        <v>3550</v>
      </c>
    </row>
    <row r="854" spans="1:13" ht="20.100000000000001" customHeight="1">
      <c r="A854" s="248"/>
      <c r="B854" s="248" t="s">
        <v>4799</v>
      </c>
      <c r="C854" s="248" t="s">
        <v>4025</v>
      </c>
      <c r="D854" s="248"/>
      <c r="E854" s="248"/>
      <c r="F854" s="248"/>
      <c r="G854" s="248" t="s">
        <v>1215</v>
      </c>
      <c r="H854" s="248"/>
      <c r="I854" s="248"/>
      <c r="J854" s="248"/>
      <c r="K854" s="248"/>
      <c r="L854" s="248"/>
      <c r="M854" s="248" t="s">
        <v>1216</v>
      </c>
    </row>
    <row r="855" spans="1:13" ht="20.100000000000001" customHeight="1">
      <c r="A855" s="248"/>
      <c r="B855" s="248" t="s">
        <v>4800</v>
      </c>
      <c r="C855" s="248" t="s">
        <v>4057</v>
      </c>
      <c r="D855" s="248"/>
      <c r="E855" s="248"/>
      <c r="F855" s="248"/>
      <c r="G855" s="248" t="s">
        <v>1217</v>
      </c>
      <c r="H855" s="248"/>
      <c r="I855" s="248"/>
      <c r="J855" s="248"/>
      <c r="K855" s="248"/>
      <c r="L855" s="248"/>
      <c r="M855" s="248" t="s">
        <v>1218</v>
      </c>
    </row>
    <row r="856" spans="1:13" ht="20.100000000000001" customHeight="1">
      <c r="A856" s="248"/>
      <c r="B856" s="248" t="s">
        <v>4801</v>
      </c>
      <c r="C856" s="248" t="s">
        <v>4030</v>
      </c>
      <c r="D856" s="248"/>
      <c r="E856" s="248"/>
      <c r="F856" s="248"/>
      <c r="G856" s="248" t="s">
        <v>1219</v>
      </c>
      <c r="H856" s="248"/>
      <c r="I856" s="248"/>
      <c r="J856" s="248"/>
      <c r="K856" s="248"/>
      <c r="L856" s="248"/>
      <c r="M856" s="248" t="s">
        <v>1220</v>
      </c>
    </row>
    <row r="857" spans="1:13" ht="20.100000000000001" customHeight="1">
      <c r="A857" s="248"/>
      <c r="B857" s="248" t="s">
        <v>4802</v>
      </c>
      <c r="C857" s="248" t="s">
        <v>4016</v>
      </c>
      <c r="D857" s="248"/>
      <c r="E857" s="248"/>
      <c r="F857" s="248"/>
      <c r="G857" s="248" t="s">
        <v>1221</v>
      </c>
      <c r="H857" s="248"/>
      <c r="I857" s="248"/>
      <c r="J857" s="248"/>
      <c r="K857" s="248"/>
      <c r="L857" s="248"/>
      <c r="M857" s="248" t="s">
        <v>1222</v>
      </c>
    </row>
    <row r="858" spans="1:13" ht="20.100000000000001" customHeight="1">
      <c r="A858" s="248"/>
      <c r="B858" s="248" t="s">
        <v>4803</v>
      </c>
      <c r="C858" s="248" t="s">
        <v>4036</v>
      </c>
      <c r="D858" s="248"/>
      <c r="E858" s="248"/>
      <c r="F858" s="248"/>
      <c r="G858" s="248" t="s">
        <v>1223</v>
      </c>
      <c r="H858" s="248"/>
      <c r="I858" s="248"/>
      <c r="J858" s="248"/>
      <c r="K858" s="248"/>
      <c r="L858" s="248"/>
      <c r="M858" s="248" t="s">
        <v>3550</v>
      </c>
    </row>
    <row r="859" spans="1:13" ht="20.100000000000001" customHeight="1">
      <c r="A859" s="248"/>
      <c r="B859" s="248" t="s">
        <v>4804</v>
      </c>
      <c r="C859" s="248" t="s">
        <v>4036</v>
      </c>
      <c r="D859" s="248"/>
      <c r="E859" s="248"/>
      <c r="F859" s="248"/>
      <c r="G859" s="248" t="s">
        <v>1224</v>
      </c>
      <c r="H859" s="248"/>
      <c r="I859" s="248"/>
      <c r="J859" s="248"/>
      <c r="K859" s="248"/>
      <c r="L859" s="248"/>
      <c r="M859" s="248" t="s">
        <v>1225</v>
      </c>
    </row>
    <row r="860" spans="1:13" ht="20.100000000000001" customHeight="1">
      <c r="A860" s="248"/>
      <c r="B860" s="248" t="s">
        <v>4805</v>
      </c>
      <c r="C860" s="248" t="s">
        <v>4008</v>
      </c>
      <c r="D860" s="248"/>
      <c r="E860" s="248"/>
      <c r="F860" s="248"/>
      <c r="G860" s="248" t="s">
        <v>1226</v>
      </c>
      <c r="H860" s="248"/>
      <c r="I860" s="248"/>
      <c r="J860" s="248"/>
      <c r="K860" s="248"/>
      <c r="L860" s="248"/>
      <c r="M860" s="248" t="s">
        <v>1227</v>
      </c>
    </row>
    <row r="861" spans="1:13" ht="20.100000000000001" customHeight="1">
      <c r="A861" s="248"/>
      <c r="B861" s="248" t="s">
        <v>4806</v>
      </c>
      <c r="C861" s="248" t="s">
        <v>4121</v>
      </c>
      <c r="D861" s="248"/>
      <c r="E861" s="248"/>
      <c r="F861" s="248"/>
      <c r="G861" s="248" t="s">
        <v>1228</v>
      </c>
      <c r="H861" s="248"/>
      <c r="I861" s="248"/>
      <c r="J861" s="248"/>
      <c r="K861" s="248"/>
      <c r="L861" s="248"/>
      <c r="M861" s="248" t="s">
        <v>1229</v>
      </c>
    </row>
    <row r="862" spans="1:13" ht="20.100000000000001" customHeight="1">
      <c r="A862" s="248"/>
      <c r="B862" s="248" t="s">
        <v>4807</v>
      </c>
      <c r="C862" s="248" t="s">
        <v>4036</v>
      </c>
      <c r="D862" s="248"/>
      <c r="E862" s="248"/>
      <c r="F862" s="248"/>
      <c r="G862" s="248" t="s">
        <v>3908</v>
      </c>
      <c r="H862" s="248"/>
      <c r="I862" s="248"/>
      <c r="J862" s="248"/>
      <c r="K862" s="248"/>
      <c r="L862" s="248"/>
      <c r="M862" s="248" t="s">
        <v>6363</v>
      </c>
    </row>
    <row r="863" spans="1:13" ht="20.100000000000001" customHeight="1">
      <c r="A863" s="248"/>
      <c r="B863" s="248" t="s">
        <v>6364</v>
      </c>
      <c r="C863" s="248" t="s">
        <v>4003</v>
      </c>
      <c r="D863" s="248"/>
      <c r="E863" s="248"/>
      <c r="F863" s="248"/>
      <c r="G863" s="248" t="s">
        <v>6365</v>
      </c>
      <c r="H863" s="248"/>
      <c r="I863" s="248"/>
      <c r="J863" s="248"/>
      <c r="K863" s="248"/>
      <c r="L863" s="248"/>
      <c r="M863" s="248" t="s">
        <v>6366</v>
      </c>
    </row>
    <row r="864" spans="1:13" ht="20.100000000000001" customHeight="1">
      <c r="A864" s="248"/>
      <c r="B864" s="248" t="s">
        <v>4808</v>
      </c>
      <c r="C864" s="248" t="s">
        <v>4036</v>
      </c>
      <c r="D864" s="248"/>
      <c r="E864" s="248"/>
      <c r="F864" s="248"/>
      <c r="G864" s="248" t="s">
        <v>1230</v>
      </c>
      <c r="H864" s="248"/>
      <c r="I864" s="248"/>
      <c r="J864" s="248"/>
      <c r="K864" s="248"/>
      <c r="L864" s="248"/>
      <c r="M864" s="248" t="s">
        <v>232</v>
      </c>
    </row>
    <row r="865" spans="1:13" ht="20.100000000000001" customHeight="1">
      <c r="A865" s="248"/>
      <c r="B865" s="248" t="s">
        <v>4809</v>
      </c>
      <c r="C865" s="248" t="s">
        <v>4016</v>
      </c>
      <c r="D865" s="248"/>
      <c r="E865" s="248"/>
      <c r="F865" s="248"/>
      <c r="G865" s="248" t="s">
        <v>1231</v>
      </c>
      <c r="H865" s="248"/>
      <c r="I865" s="248"/>
      <c r="J865" s="248"/>
      <c r="K865" s="248"/>
      <c r="L865" s="248"/>
      <c r="M865" s="248" t="s">
        <v>1232</v>
      </c>
    </row>
    <row r="866" spans="1:13" ht="20.100000000000001" customHeight="1">
      <c r="A866" s="248"/>
      <c r="B866" s="248" t="s">
        <v>4810</v>
      </c>
      <c r="C866" s="248" t="s">
        <v>4025</v>
      </c>
      <c r="D866" s="248"/>
      <c r="E866" s="248"/>
      <c r="F866" s="248"/>
      <c r="G866" s="248" t="s">
        <v>1233</v>
      </c>
      <c r="H866" s="248"/>
      <c r="I866" s="248"/>
      <c r="J866" s="248"/>
      <c r="K866" s="248"/>
      <c r="L866" s="248"/>
      <c r="M866" s="248" t="s">
        <v>1234</v>
      </c>
    </row>
    <row r="867" spans="1:13" ht="20.100000000000001" customHeight="1">
      <c r="A867" s="248"/>
      <c r="B867" s="248" t="s">
        <v>4811</v>
      </c>
      <c r="C867" s="248" t="s">
        <v>4036</v>
      </c>
      <c r="D867" s="248"/>
      <c r="E867" s="248"/>
      <c r="F867" s="248"/>
      <c r="G867" s="248" t="s">
        <v>1235</v>
      </c>
      <c r="H867" s="248"/>
      <c r="I867" s="248"/>
      <c r="J867" s="248"/>
      <c r="K867" s="248"/>
      <c r="L867" s="248"/>
      <c r="M867" s="248" t="s">
        <v>1236</v>
      </c>
    </row>
    <row r="868" spans="1:13" ht="20.100000000000001" customHeight="1">
      <c r="A868" s="248"/>
      <c r="B868" s="248" t="s">
        <v>4812</v>
      </c>
      <c r="C868" s="248" t="s">
        <v>4012</v>
      </c>
      <c r="D868" s="248"/>
      <c r="E868" s="248"/>
      <c r="F868" s="248"/>
      <c r="G868" s="248" t="s">
        <v>3464</v>
      </c>
      <c r="H868" s="248"/>
      <c r="I868" s="248"/>
      <c r="J868" s="248"/>
      <c r="K868" s="248"/>
      <c r="L868" s="248"/>
      <c r="M868" s="248" t="s">
        <v>3725</v>
      </c>
    </row>
    <row r="869" spans="1:13" ht="20.100000000000001" customHeight="1">
      <c r="A869" s="248"/>
      <c r="B869" s="248" t="s">
        <v>4813</v>
      </c>
      <c r="C869" s="248" t="s">
        <v>4036</v>
      </c>
      <c r="D869" s="248"/>
      <c r="E869" s="248"/>
      <c r="F869" s="248"/>
      <c r="G869" s="248" t="s">
        <v>1237</v>
      </c>
      <c r="H869" s="248"/>
      <c r="I869" s="248"/>
      <c r="J869" s="248"/>
      <c r="K869" s="248"/>
      <c r="L869" s="248"/>
      <c r="M869" s="248" t="s">
        <v>1238</v>
      </c>
    </row>
    <row r="870" spans="1:13" ht="20.100000000000001" customHeight="1">
      <c r="A870" s="248"/>
      <c r="B870" s="248" t="s">
        <v>6554</v>
      </c>
      <c r="C870" s="248" t="s">
        <v>4008</v>
      </c>
      <c r="D870" s="248"/>
      <c r="E870" s="248"/>
      <c r="F870" s="248"/>
      <c r="G870" s="248" t="s">
        <v>6555</v>
      </c>
      <c r="H870" s="248"/>
      <c r="I870" s="248"/>
      <c r="J870" s="248"/>
      <c r="K870" s="248"/>
      <c r="L870" s="248"/>
      <c r="M870" s="248" t="s">
        <v>3550</v>
      </c>
    </row>
    <row r="871" spans="1:13" ht="20.100000000000001" customHeight="1">
      <c r="A871" s="248"/>
      <c r="B871" s="248" t="s">
        <v>4814</v>
      </c>
      <c r="C871" s="248" t="s">
        <v>4057</v>
      </c>
      <c r="D871" s="248"/>
      <c r="E871" s="248"/>
      <c r="F871" s="248"/>
      <c r="G871" s="248" t="s">
        <v>1239</v>
      </c>
      <c r="H871" s="248"/>
      <c r="I871" s="248"/>
      <c r="J871" s="248"/>
      <c r="K871" s="248"/>
      <c r="L871" s="248"/>
      <c r="M871" s="248" t="s">
        <v>1240</v>
      </c>
    </row>
    <row r="872" spans="1:13" ht="20.100000000000001" customHeight="1">
      <c r="A872" s="248"/>
      <c r="B872" s="248" t="s">
        <v>4815</v>
      </c>
      <c r="C872" s="248" t="s">
        <v>4030</v>
      </c>
      <c r="D872" s="248"/>
      <c r="E872" s="248"/>
      <c r="F872" s="248"/>
      <c r="G872" s="248" t="s">
        <v>1241</v>
      </c>
      <c r="H872" s="248"/>
      <c r="I872" s="248"/>
      <c r="J872" s="248"/>
      <c r="K872" s="248"/>
      <c r="L872" s="248"/>
      <c r="M872" s="248" t="s">
        <v>1242</v>
      </c>
    </row>
    <row r="873" spans="1:13" ht="20.100000000000001" customHeight="1">
      <c r="A873" s="248"/>
      <c r="B873" s="248" t="s">
        <v>4816</v>
      </c>
      <c r="C873" s="248" t="s">
        <v>4016</v>
      </c>
      <c r="D873" s="248"/>
      <c r="E873" s="248"/>
      <c r="F873" s="248"/>
      <c r="G873" s="248" t="s">
        <v>1243</v>
      </c>
      <c r="H873" s="248"/>
      <c r="I873" s="248"/>
      <c r="J873" s="248"/>
      <c r="K873" s="248"/>
      <c r="L873" s="248"/>
      <c r="M873" s="248" t="s">
        <v>1244</v>
      </c>
    </row>
    <row r="874" spans="1:13" ht="20.100000000000001" customHeight="1">
      <c r="A874" s="248"/>
      <c r="B874" s="248" t="s">
        <v>4817</v>
      </c>
      <c r="C874" s="248" t="s">
        <v>4016</v>
      </c>
      <c r="D874" s="248"/>
      <c r="E874" s="248"/>
      <c r="F874" s="248"/>
      <c r="G874" s="248" t="s">
        <v>1245</v>
      </c>
      <c r="H874" s="248"/>
      <c r="I874" s="248"/>
      <c r="J874" s="248"/>
      <c r="K874" s="248"/>
      <c r="L874" s="248"/>
      <c r="M874" s="248" t="s">
        <v>1246</v>
      </c>
    </row>
    <row r="875" spans="1:13" ht="20.100000000000001" customHeight="1">
      <c r="A875" s="248"/>
      <c r="B875" s="248" t="s">
        <v>4818</v>
      </c>
      <c r="C875" s="248" t="s">
        <v>4016</v>
      </c>
      <c r="D875" s="248"/>
      <c r="E875" s="248"/>
      <c r="F875" s="248"/>
      <c r="G875" s="248" t="s">
        <v>1247</v>
      </c>
      <c r="H875" s="248"/>
      <c r="I875" s="248"/>
      <c r="J875" s="248"/>
      <c r="K875" s="248"/>
      <c r="L875" s="248"/>
      <c r="M875" s="248" t="s">
        <v>788</v>
      </c>
    </row>
    <row r="876" spans="1:13" ht="20.100000000000001" customHeight="1">
      <c r="A876" s="248"/>
      <c r="B876" s="248" t="s">
        <v>4819</v>
      </c>
      <c r="C876" s="248" t="s">
        <v>4036</v>
      </c>
      <c r="D876" s="248"/>
      <c r="E876" s="248"/>
      <c r="F876" s="248"/>
      <c r="G876" s="248" t="s">
        <v>1248</v>
      </c>
      <c r="H876" s="248"/>
      <c r="I876" s="248"/>
      <c r="J876" s="248"/>
      <c r="K876" s="248"/>
      <c r="L876" s="248"/>
      <c r="M876" s="248" t="s">
        <v>1238</v>
      </c>
    </row>
    <row r="877" spans="1:13" ht="20.100000000000001" customHeight="1">
      <c r="A877" s="248"/>
      <c r="B877" s="248" t="s">
        <v>4820</v>
      </c>
      <c r="C877" s="248" t="s">
        <v>4036</v>
      </c>
      <c r="D877" s="248"/>
      <c r="E877" s="248"/>
      <c r="F877" s="248"/>
      <c r="G877" s="248" t="s">
        <v>1249</v>
      </c>
      <c r="H877" s="248"/>
      <c r="I877" s="248"/>
      <c r="J877" s="248"/>
      <c r="K877" s="248"/>
      <c r="L877" s="248"/>
      <c r="M877" s="248" t="s">
        <v>1250</v>
      </c>
    </row>
    <row r="878" spans="1:13" ht="20.100000000000001" customHeight="1">
      <c r="A878" s="248"/>
      <c r="B878" s="248" t="s">
        <v>4821</v>
      </c>
      <c r="C878" s="248" t="s">
        <v>4036</v>
      </c>
      <c r="D878" s="248"/>
      <c r="E878" s="248"/>
      <c r="F878" s="248"/>
      <c r="G878" s="248" t="s">
        <v>3202</v>
      </c>
      <c r="H878" s="248"/>
      <c r="I878" s="248"/>
      <c r="J878" s="248"/>
      <c r="K878" s="248"/>
      <c r="L878" s="248"/>
      <c r="M878" s="248" t="s">
        <v>3203</v>
      </c>
    </row>
    <row r="879" spans="1:13" ht="20.100000000000001" customHeight="1">
      <c r="A879" s="248"/>
      <c r="B879" s="248" t="s">
        <v>4822</v>
      </c>
      <c r="C879" s="248" t="s">
        <v>4008</v>
      </c>
      <c r="D879" s="248"/>
      <c r="E879" s="248"/>
      <c r="F879" s="248"/>
      <c r="G879" s="248" t="s">
        <v>1251</v>
      </c>
      <c r="H879" s="248"/>
      <c r="I879" s="248"/>
      <c r="J879" s="248"/>
      <c r="K879" s="248"/>
      <c r="L879" s="248"/>
      <c r="M879" s="248" t="s">
        <v>1252</v>
      </c>
    </row>
    <row r="880" spans="1:13" ht="20.100000000000001" customHeight="1">
      <c r="A880" s="248"/>
      <c r="B880" s="248" t="s">
        <v>4823</v>
      </c>
      <c r="C880" s="248" t="s">
        <v>4012</v>
      </c>
      <c r="D880" s="248"/>
      <c r="E880" s="248"/>
      <c r="F880" s="248"/>
      <c r="G880" s="248" t="s">
        <v>1253</v>
      </c>
      <c r="H880" s="248"/>
      <c r="I880" s="248"/>
      <c r="J880" s="248"/>
      <c r="K880" s="248"/>
      <c r="L880" s="248"/>
      <c r="M880" s="248" t="s">
        <v>1254</v>
      </c>
    </row>
    <row r="881" spans="1:13" ht="20.100000000000001" customHeight="1">
      <c r="A881" s="248"/>
      <c r="B881" s="248" t="s">
        <v>4824</v>
      </c>
      <c r="C881" s="248" t="s">
        <v>4271</v>
      </c>
      <c r="D881" s="248"/>
      <c r="E881" s="248"/>
      <c r="F881" s="248"/>
      <c r="G881" s="248" t="s">
        <v>1255</v>
      </c>
      <c r="H881" s="248"/>
      <c r="I881" s="248"/>
      <c r="J881" s="248"/>
      <c r="K881" s="248"/>
      <c r="L881" s="248"/>
      <c r="M881" s="248" t="s">
        <v>1256</v>
      </c>
    </row>
    <row r="882" spans="1:13" ht="20.100000000000001" customHeight="1">
      <c r="A882" s="248"/>
      <c r="B882" s="248" t="s">
        <v>4825</v>
      </c>
      <c r="C882" s="248" t="s">
        <v>4008</v>
      </c>
      <c r="D882" s="248"/>
      <c r="E882" s="248"/>
      <c r="F882" s="248"/>
      <c r="G882" s="248" t="s">
        <v>1257</v>
      </c>
      <c r="H882" s="248"/>
      <c r="I882" s="248"/>
      <c r="J882" s="248"/>
      <c r="K882" s="248"/>
      <c r="L882" s="248"/>
      <c r="M882" s="248" t="s">
        <v>1258</v>
      </c>
    </row>
    <row r="883" spans="1:13" ht="20.100000000000001" customHeight="1">
      <c r="A883" s="248"/>
      <c r="B883" s="248" t="s">
        <v>4826</v>
      </c>
      <c r="C883" s="248" t="s">
        <v>4271</v>
      </c>
      <c r="D883" s="248"/>
      <c r="E883" s="248"/>
      <c r="F883" s="248"/>
      <c r="G883" s="248" t="s">
        <v>1259</v>
      </c>
      <c r="H883" s="248"/>
      <c r="I883" s="248"/>
      <c r="J883" s="248"/>
      <c r="K883" s="248"/>
      <c r="L883" s="248"/>
      <c r="M883" s="248" t="s">
        <v>1260</v>
      </c>
    </row>
    <row r="884" spans="1:13" ht="20.100000000000001" customHeight="1">
      <c r="A884" s="248"/>
      <c r="B884" s="248" t="s">
        <v>4827</v>
      </c>
      <c r="C884" s="248" t="s">
        <v>4008</v>
      </c>
      <c r="D884" s="248"/>
      <c r="E884" s="248"/>
      <c r="F884" s="248"/>
      <c r="G884" s="248" t="s">
        <v>1261</v>
      </c>
      <c r="H884" s="248"/>
      <c r="I884" s="248"/>
      <c r="J884" s="248"/>
      <c r="K884" s="248"/>
      <c r="L884" s="248"/>
      <c r="M884" s="248" t="s">
        <v>1262</v>
      </c>
    </row>
    <row r="885" spans="1:13" ht="20.100000000000001" customHeight="1">
      <c r="A885" s="248"/>
      <c r="B885" s="248" t="s">
        <v>4828</v>
      </c>
      <c r="C885" s="248" t="s">
        <v>4036</v>
      </c>
      <c r="D885" s="248"/>
      <c r="E885" s="248"/>
      <c r="F885" s="248"/>
      <c r="G885" s="248" t="s">
        <v>3230</v>
      </c>
      <c r="H885" s="248"/>
      <c r="I885" s="248"/>
      <c r="J885" s="248"/>
      <c r="K885" s="248"/>
      <c r="L885" s="248"/>
      <c r="M885" s="248" t="s">
        <v>3231</v>
      </c>
    </row>
    <row r="886" spans="1:13" ht="20.100000000000001" customHeight="1">
      <c r="A886" s="248"/>
      <c r="B886" s="248" t="s">
        <v>4829</v>
      </c>
      <c r="C886" s="248" t="s">
        <v>4003</v>
      </c>
      <c r="D886" s="248"/>
      <c r="E886" s="248"/>
      <c r="F886" s="248"/>
      <c r="G886" s="248" t="s">
        <v>1263</v>
      </c>
      <c r="H886" s="248"/>
      <c r="I886" s="248"/>
      <c r="J886" s="248"/>
      <c r="K886" s="248"/>
      <c r="L886" s="248"/>
      <c r="M886" s="248" t="s">
        <v>3550</v>
      </c>
    </row>
    <row r="887" spans="1:13" ht="20.100000000000001" customHeight="1">
      <c r="A887" s="248"/>
      <c r="B887" s="248" t="s">
        <v>4830</v>
      </c>
      <c r="C887" s="248" t="s">
        <v>4036</v>
      </c>
      <c r="D887" s="248"/>
      <c r="E887" s="248"/>
      <c r="F887" s="248"/>
      <c r="G887" s="248" t="s">
        <v>1264</v>
      </c>
      <c r="H887" s="248"/>
      <c r="I887" s="248"/>
      <c r="J887" s="248"/>
      <c r="K887" s="248"/>
      <c r="L887" s="248"/>
      <c r="M887" s="248" t="s">
        <v>1265</v>
      </c>
    </row>
    <row r="888" spans="1:13" ht="20.100000000000001" customHeight="1">
      <c r="A888" s="248"/>
      <c r="B888" s="248" t="s">
        <v>4831</v>
      </c>
      <c r="C888" s="248" t="s">
        <v>4016</v>
      </c>
      <c r="D888" s="248"/>
      <c r="E888" s="248"/>
      <c r="F888" s="248"/>
      <c r="G888" s="248" t="s">
        <v>1266</v>
      </c>
      <c r="H888" s="248"/>
      <c r="I888" s="248"/>
      <c r="J888" s="248"/>
      <c r="K888" s="248"/>
      <c r="L888" s="248"/>
      <c r="M888" s="248" t="s">
        <v>1267</v>
      </c>
    </row>
    <row r="889" spans="1:13" ht="20.100000000000001" customHeight="1">
      <c r="A889" s="248"/>
      <c r="B889" s="248" t="s">
        <v>4832</v>
      </c>
      <c r="C889" s="248" t="s">
        <v>4036</v>
      </c>
      <c r="D889" s="248"/>
      <c r="E889" s="248"/>
      <c r="F889" s="248"/>
      <c r="G889" s="248" t="s">
        <v>3872</v>
      </c>
      <c r="H889" s="248"/>
      <c r="I889" s="248"/>
      <c r="J889" s="248"/>
      <c r="K889" s="248"/>
      <c r="L889" s="248"/>
      <c r="M889" s="248" t="s">
        <v>3873</v>
      </c>
    </row>
    <row r="890" spans="1:13" ht="20.100000000000001" customHeight="1">
      <c r="A890" s="248"/>
      <c r="B890" s="248" t="s">
        <v>4833</v>
      </c>
      <c r="C890" s="248" t="s">
        <v>4025</v>
      </c>
      <c r="D890" s="248"/>
      <c r="E890" s="248"/>
      <c r="F890" s="248"/>
      <c r="G890" s="248" t="s">
        <v>1268</v>
      </c>
      <c r="H890" s="248"/>
      <c r="I890" s="248"/>
      <c r="J890" s="248"/>
      <c r="K890" s="248"/>
      <c r="L890" s="248"/>
      <c r="M890" s="248" t="s">
        <v>1269</v>
      </c>
    </row>
    <row r="891" spans="1:13" ht="20.100000000000001" customHeight="1">
      <c r="A891" s="248"/>
      <c r="B891" s="248" t="s">
        <v>4834</v>
      </c>
      <c r="C891" s="248" t="s">
        <v>4016</v>
      </c>
      <c r="D891" s="248"/>
      <c r="E891" s="248"/>
      <c r="F891" s="248"/>
      <c r="G891" s="248" t="s">
        <v>1270</v>
      </c>
      <c r="H891" s="248"/>
      <c r="I891" s="248"/>
      <c r="J891" s="248"/>
      <c r="K891" s="248"/>
      <c r="L891" s="248"/>
      <c r="M891" s="248" t="s">
        <v>3550</v>
      </c>
    </row>
    <row r="892" spans="1:13" ht="20.100000000000001" customHeight="1">
      <c r="A892" s="248"/>
      <c r="B892" s="248" t="s">
        <v>4835</v>
      </c>
      <c r="C892" s="248" t="s">
        <v>4016</v>
      </c>
      <c r="D892" s="248"/>
      <c r="E892" s="248"/>
      <c r="F892" s="248"/>
      <c r="G892" s="248" t="s">
        <v>1271</v>
      </c>
      <c r="H892" s="248"/>
      <c r="I892" s="248"/>
      <c r="J892" s="248"/>
      <c r="K892" s="248"/>
      <c r="L892" s="248"/>
      <c r="M892" s="248" t="s">
        <v>3550</v>
      </c>
    </row>
    <row r="893" spans="1:13" ht="20.100000000000001" customHeight="1">
      <c r="A893" s="248"/>
      <c r="B893" s="248" t="s">
        <v>4836</v>
      </c>
      <c r="C893" s="248" t="s">
        <v>4030</v>
      </c>
      <c r="D893" s="248"/>
      <c r="E893" s="248"/>
      <c r="F893" s="248"/>
      <c r="G893" s="248" t="s">
        <v>1272</v>
      </c>
      <c r="H893" s="248"/>
      <c r="I893" s="248"/>
      <c r="J893" s="248"/>
      <c r="K893" s="248"/>
      <c r="L893" s="248"/>
      <c r="M893" s="248" t="s">
        <v>1273</v>
      </c>
    </row>
    <row r="894" spans="1:13" ht="20.100000000000001" customHeight="1">
      <c r="A894" s="248"/>
      <c r="B894" s="248" t="s">
        <v>4837</v>
      </c>
      <c r="C894" s="248" t="s">
        <v>4036</v>
      </c>
      <c r="D894" s="248"/>
      <c r="E894" s="248"/>
      <c r="F894" s="248"/>
      <c r="G894" s="248" t="s">
        <v>1274</v>
      </c>
      <c r="H894" s="248"/>
      <c r="I894" s="248"/>
      <c r="J894" s="248"/>
      <c r="K894" s="248"/>
      <c r="L894" s="248"/>
      <c r="M894" s="248" t="s">
        <v>1275</v>
      </c>
    </row>
    <row r="895" spans="1:13" ht="20.100000000000001" customHeight="1">
      <c r="A895" s="248"/>
      <c r="B895" s="248" t="s">
        <v>4838</v>
      </c>
      <c r="C895" s="248" t="s">
        <v>4271</v>
      </c>
      <c r="D895" s="248"/>
      <c r="E895" s="248"/>
      <c r="F895" s="248"/>
      <c r="G895" s="248" t="s">
        <v>1276</v>
      </c>
      <c r="H895" s="248"/>
      <c r="I895" s="248"/>
      <c r="J895" s="248"/>
      <c r="K895" s="248"/>
      <c r="L895" s="248"/>
      <c r="M895" s="248" t="s">
        <v>1277</v>
      </c>
    </row>
    <row r="896" spans="1:13" ht="20.100000000000001" customHeight="1">
      <c r="A896" s="248"/>
      <c r="B896" s="248" t="s">
        <v>4839</v>
      </c>
      <c r="C896" s="248" t="s">
        <v>4030</v>
      </c>
      <c r="D896" s="248"/>
      <c r="E896" s="248"/>
      <c r="F896" s="248"/>
      <c r="G896" s="248" t="s">
        <v>1278</v>
      </c>
      <c r="H896" s="248"/>
      <c r="I896" s="248"/>
      <c r="J896" s="248"/>
      <c r="K896" s="248"/>
      <c r="L896" s="248"/>
      <c r="M896" s="248" t="s">
        <v>1279</v>
      </c>
    </row>
    <row r="897" spans="1:13" ht="20.100000000000001" customHeight="1">
      <c r="A897" s="248"/>
      <c r="B897" s="248" t="s">
        <v>4840</v>
      </c>
      <c r="C897" s="248" t="s">
        <v>4012</v>
      </c>
      <c r="D897" s="248"/>
      <c r="E897" s="248"/>
      <c r="F897" s="248"/>
      <c r="G897" s="248" t="s">
        <v>1280</v>
      </c>
      <c r="H897" s="248"/>
      <c r="I897" s="248"/>
      <c r="J897" s="248"/>
      <c r="K897" s="248"/>
      <c r="L897" s="248"/>
      <c r="M897" s="248" t="s">
        <v>1281</v>
      </c>
    </row>
    <row r="898" spans="1:13" ht="20.100000000000001" customHeight="1">
      <c r="A898" s="248"/>
      <c r="B898" s="248" t="s">
        <v>4841</v>
      </c>
      <c r="C898" s="248" t="s">
        <v>4008</v>
      </c>
      <c r="D898" s="248"/>
      <c r="E898" s="248"/>
      <c r="F898" s="248"/>
      <c r="G898" s="248" t="s">
        <v>1282</v>
      </c>
      <c r="H898" s="248"/>
      <c r="I898" s="248"/>
      <c r="J898" s="248"/>
      <c r="K898" s="248"/>
      <c r="L898" s="248"/>
      <c r="M898" s="248" t="s">
        <v>1283</v>
      </c>
    </row>
    <row r="899" spans="1:13" ht="20.100000000000001" customHeight="1">
      <c r="A899" s="248"/>
      <c r="B899" s="248" t="s">
        <v>4842</v>
      </c>
      <c r="C899" s="248" t="s">
        <v>4008</v>
      </c>
      <c r="D899" s="248"/>
      <c r="E899" s="248"/>
      <c r="F899" s="248"/>
      <c r="G899" s="248" t="s">
        <v>3138</v>
      </c>
      <c r="H899" s="248"/>
      <c r="I899" s="248"/>
      <c r="J899" s="248"/>
      <c r="K899" s="248"/>
      <c r="L899" s="248"/>
      <c r="M899" s="248" t="s">
        <v>3139</v>
      </c>
    </row>
    <row r="900" spans="1:13" ht="20.100000000000001" customHeight="1">
      <c r="A900" s="248"/>
      <c r="B900" s="248" t="s">
        <v>6496</v>
      </c>
      <c r="C900" s="248" t="s">
        <v>4012</v>
      </c>
      <c r="D900" s="248"/>
      <c r="E900" s="248"/>
      <c r="F900" s="248"/>
      <c r="G900" s="248" t="s">
        <v>6497</v>
      </c>
      <c r="H900" s="248"/>
      <c r="I900" s="248"/>
      <c r="J900" s="248"/>
      <c r="K900" s="248"/>
      <c r="L900" s="248"/>
      <c r="M900" s="248" t="s">
        <v>6498</v>
      </c>
    </row>
    <row r="901" spans="1:13" ht="20.100000000000001" customHeight="1">
      <c r="A901" s="248"/>
      <c r="B901" s="248" t="s">
        <v>4843</v>
      </c>
      <c r="C901" s="248" t="s">
        <v>4008</v>
      </c>
      <c r="D901" s="248"/>
      <c r="E901" s="248"/>
      <c r="F901" s="248"/>
      <c r="G901" s="248" t="s">
        <v>1284</v>
      </c>
      <c r="H901" s="248"/>
      <c r="I901" s="248"/>
      <c r="J901" s="248"/>
      <c r="K901" s="248"/>
      <c r="L901" s="248"/>
      <c r="M901" s="248" t="s">
        <v>1285</v>
      </c>
    </row>
    <row r="902" spans="1:13" ht="20.100000000000001" customHeight="1">
      <c r="A902" s="248"/>
      <c r="B902" s="248" t="s">
        <v>4844</v>
      </c>
      <c r="C902" s="248" t="s">
        <v>4030</v>
      </c>
      <c r="D902" s="248"/>
      <c r="E902" s="248"/>
      <c r="F902" s="248"/>
      <c r="G902" s="248" t="s">
        <v>1286</v>
      </c>
      <c r="H902" s="248"/>
      <c r="I902" s="248"/>
      <c r="J902" s="248"/>
      <c r="K902" s="248"/>
      <c r="L902" s="248"/>
      <c r="M902" s="248" t="s">
        <v>1287</v>
      </c>
    </row>
    <row r="903" spans="1:13" ht="20.100000000000001" customHeight="1">
      <c r="A903" s="248"/>
      <c r="B903" s="248" t="s">
        <v>4845</v>
      </c>
      <c r="C903" s="248" t="s">
        <v>4025</v>
      </c>
      <c r="D903" s="248"/>
      <c r="E903" s="248"/>
      <c r="F903" s="248"/>
      <c r="G903" s="248" t="s">
        <v>1288</v>
      </c>
      <c r="H903" s="248"/>
      <c r="I903" s="248"/>
      <c r="J903" s="248"/>
      <c r="K903" s="248"/>
      <c r="L903" s="248"/>
      <c r="M903" s="248" t="s">
        <v>1289</v>
      </c>
    </row>
    <row r="904" spans="1:13" ht="20.100000000000001" customHeight="1">
      <c r="A904" s="248"/>
      <c r="B904" s="248" t="s">
        <v>4846</v>
      </c>
      <c r="C904" s="248" t="s">
        <v>4030</v>
      </c>
      <c r="D904" s="248"/>
      <c r="E904" s="248"/>
      <c r="F904" s="248"/>
      <c r="G904" s="248" t="s">
        <v>1290</v>
      </c>
      <c r="H904" s="248"/>
      <c r="I904" s="248"/>
      <c r="J904" s="248"/>
      <c r="K904" s="248"/>
      <c r="L904" s="248"/>
      <c r="M904" s="248" t="s">
        <v>1291</v>
      </c>
    </row>
    <row r="905" spans="1:13" ht="20.100000000000001" customHeight="1">
      <c r="A905" s="248"/>
      <c r="B905" s="248" t="s">
        <v>4847</v>
      </c>
      <c r="C905" s="248" t="s">
        <v>4003</v>
      </c>
      <c r="D905" s="248"/>
      <c r="E905" s="248"/>
      <c r="F905" s="248"/>
      <c r="G905" s="248" t="s">
        <v>3417</v>
      </c>
      <c r="H905" s="248"/>
      <c r="I905" s="248"/>
      <c r="J905" s="248"/>
      <c r="K905" s="248"/>
      <c r="L905" s="248"/>
      <c r="M905" s="248" t="s">
        <v>3418</v>
      </c>
    </row>
    <row r="906" spans="1:13" ht="20.100000000000001" customHeight="1">
      <c r="A906" s="248"/>
      <c r="B906" s="248" t="s">
        <v>4848</v>
      </c>
      <c r="C906" s="248" t="s">
        <v>4174</v>
      </c>
      <c r="D906" s="248"/>
      <c r="E906" s="248"/>
      <c r="F906" s="248"/>
      <c r="G906" s="248" t="s">
        <v>1292</v>
      </c>
      <c r="H906" s="248"/>
      <c r="I906" s="248"/>
      <c r="J906" s="248"/>
      <c r="K906" s="248"/>
      <c r="L906" s="248"/>
      <c r="M906" s="248" t="s">
        <v>1293</v>
      </c>
    </row>
    <row r="907" spans="1:13" ht="20.100000000000001" customHeight="1">
      <c r="A907" s="248"/>
      <c r="B907" s="248" t="s">
        <v>4849</v>
      </c>
      <c r="C907" s="248" t="s">
        <v>4014</v>
      </c>
      <c r="D907" s="248"/>
      <c r="E907" s="248"/>
      <c r="F907" s="248"/>
      <c r="G907" s="248" t="s">
        <v>1294</v>
      </c>
      <c r="H907" s="248"/>
      <c r="I907" s="248"/>
      <c r="J907" s="248"/>
      <c r="K907" s="248"/>
      <c r="L907" s="248"/>
      <c r="M907" s="248" t="s">
        <v>1295</v>
      </c>
    </row>
    <row r="908" spans="1:13" ht="20.100000000000001" customHeight="1">
      <c r="A908" s="248"/>
      <c r="B908" s="248" t="s">
        <v>4850</v>
      </c>
      <c r="C908" s="248" t="s">
        <v>4005</v>
      </c>
      <c r="D908" s="248"/>
      <c r="E908" s="248"/>
      <c r="F908" s="248"/>
      <c r="G908" s="248" t="s">
        <v>1296</v>
      </c>
      <c r="H908" s="248"/>
      <c r="I908" s="248"/>
      <c r="J908" s="248"/>
      <c r="K908" s="248"/>
      <c r="L908" s="248"/>
      <c r="M908" s="248" t="s">
        <v>1297</v>
      </c>
    </row>
    <row r="909" spans="1:13" ht="20.100000000000001" customHeight="1">
      <c r="A909" s="248"/>
      <c r="B909" s="248" t="s">
        <v>4851</v>
      </c>
      <c r="C909" s="248" t="s">
        <v>4025</v>
      </c>
      <c r="D909" s="248"/>
      <c r="E909" s="248"/>
      <c r="F909" s="248"/>
      <c r="G909" s="248" t="s">
        <v>1298</v>
      </c>
      <c r="H909" s="248"/>
      <c r="I909" s="248"/>
      <c r="J909" s="248"/>
      <c r="K909" s="248"/>
      <c r="L909" s="248"/>
      <c r="M909" s="248" t="s">
        <v>1299</v>
      </c>
    </row>
    <row r="910" spans="1:13" ht="20.100000000000001" customHeight="1">
      <c r="A910" s="248"/>
      <c r="B910" s="248" t="s">
        <v>4852</v>
      </c>
      <c r="C910" s="248" t="s">
        <v>4853</v>
      </c>
      <c r="D910" s="248"/>
      <c r="E910" s="248"/>
      <c r="F910" s="248"/>
      <c r="G910" s="248" t="s">
        <v>3345</v>
      </c>
      <c r="H910" s="248"/>
      <c r="I910" s="248"/>
      <c r="J910" s="248"/>
      <c r="K910" s="248"/>
      <c r="L910" s="248"/>
      <c r="M910" s="248" t="s">
        <v>1300</v>
      </c>
    </row>
    <row r="911" spans="1:13" ht="20.100000000000001" customHeight="1">
      <c r="A911" s="248"/>
      <c r="B911" s="248" t="s">
        <v>4854</v>
      </c>
      <c r="C911" s="248" t="s">
        <v>4003</v>
      </c>
      <c r="D911" s="248"/>
      <c r="E911" s="248"/>
      <c r="F911" s="248"/>
      <c r="G911" s="248" t="s">
        <v>1301</v>
      </c>
      <c r="H911" s="248"/>
      <c r="I911" s="248"/>
      <c r="J911" s="248"/>
      <c r="K911" s="248"/>
      <c r="L911" s="248"/>
      <c r="M911" s="248" t="s">
        <v>3550</v>
      </c>
    </row>
    <row r="912" spans="1:13" ht="20.100000000000001" customHeight="1">
      <c r="A912" s="248"/>
      <c r="B912" s="248" t="s">
        <v>4855</v>
      </c>
      <c r="C912" s="248" t="s">
        <v>4003</v>
      </c>
      <c r="D912" s="248"/>
      <c r="E912" s="248"/>
      <c r="F912" s="248"/>
      <c r="G912" s="248" t="s">
        <v>1302</v>
      </c>
      <c r="H912" s="248"/>
      <c r="I912" s="248"/>
      <c r="J912" s="248"/>
      <c r="K912" s="248"/>
      <c r="L912" s="248"/>
      <c r="M912" s="248" t="s">
        <v>1303</v>
      </c>
    </row>
    <row r="913" spans="1:13" ht="20.100000000000001" customHeight="1">
      <c r="A913" s="248"/>
      <c r="B913" s="248" t="s">
        <v>4856</v>
      </c>
      <c r="C913" s="248" t="s">
        <v>4016</v>
      </c>
      <c r="D913" s="248"/>
      <c r="E913" s="248"/>
      <c r="F913" s="248"/>
      <c r="G913" s="248" t="s">
        <v>1304</v>
      </c>
      <c r="H913" s="248"/>
      <c r="I913" s="248"/>
      <c r="J913" s="248"/>
      <c r="K913" s="248"/>
      <c r="L913" s="248"/>
      <c r="M913" s="248" t="s">
        <v>1305</v>
      </c>
    </row>
    <row r="914" spans="1:13" ht="20.100000000000001" customHeight="1">
      <c r="A914" s="248"/>
      <c r="B914" s="248" t="s">
        <v>4857</v>
      </c>
      <c r="C914" s="248" t="s">
        <v>4014</v>
      </c>
      <c r="D914" s="248"/>
      <c r="E914" s="248"/>
      <c r="F914" s="248"/>
      <c r="G914" s="248" t="s">
        <v>1306</v>
      </c>
      <c r="H914" s="248"/>
      <c r="I914" s="248"/>
      <c r="J914" s="248"/>
      <c r="K914" s="248"/>
      <c r="L914" s="248"/>
      <c r="M914" s="248" t="s">
        <v>1307</v>
      </c>
    </row>
    <row r="915" spans="1:13" ht="20.100000000000001" customHeight="1">
      <c r="A915" s="248"/>
      <c r="B915" s="248" t="s">
        <v>6499</v>
      </c>
      <c r="C915" s="248" t="s">
        <v>4271</v>
      </c>
      <c r="D915" s="248"/>
      <c r="E915" s="248"/>
      <c r="F915" s="248"/>
      <c r="G915" s="248" t="s">
        <v>6500</v>
      </c>
      <c r="H915" s="248"/>
      <c r="I915" s="248"/>
      <c r="J915" s="248"/>
      <c r="K915" s="248"/>
      <c r="L915" s="248"/>
      <c r="M915" s="248" t="s">
        <v>6501</v>
      </c>
    </row>
    <row r="916" spans="1:13" ht="20.100000000000001" customHeight="1">
      <c r="A916" s="248"/>
      <c r="B916" s="248" t="s">
        <v>4858</v>
      </c>
      <c r="C916" s="248" t="s">
        <v>4016</v>
      </c>
      <c r="D916" s="248"/>
      <c r="E916" s="248"/>
      <c r="F916" s="248"/>
      <c r="G916" s="248" t="s">
        <v>1308</v>
      </c>
      <c r="H916" s="248"/>
      <c r="I916" s="248"/>
      <c r="J916" s="248"/>
      <c r="K916" s="248"/>
      <c r="L916" s="248"/>
      <c r="M916" s="248" t="s">
        <v>1309</v>
      </c>
    </row>
    <row r="917" spans="1:13" ht="20.100000000000001" customHeight="1">
      <c r="A917" s="248"/>
      <c r="B917" s="248" t="s">
        <v>4859</v>
      </c>
      <c r="C917" s="248" t="s">
        <v>4008</v>
      </c>
      <c r="D917" s="248"/>
      <c r="E917" s="248"/>
      <c r="F917" s="248"/>
      <c r="G917" s="248" t="s">
        <v>1310</v>
      </c>
      <c r="H917" s="248"/>
      <c r="I917" s="248"/>
      <c r="J917" s="248"/>
      <c r="K917" s="248"/>
      <c r="L917" s="248"/>
      <c r="M917" s="248" t="s">
        <v>3550</v>
      </c>
    </row>
    <row r="918" spans="1:13" ht="20.100000000000001" customHeight="1">
      <c r="A918" s="248"/>
      <c r="B918" s="248" t="s">
        <v>4860</v>
      </c>
      <c r="C918" s="248" t="s">
        <v>4030</v>
      </c>
      <c r="D918" s="248"/>
      <c r="E918" s="248"/>
      <c r="F918" s="248"/>
      <c r="G918" s="248" t="s">
        <v>1311</v>
      </c>
      <c r="H918" s="248"/>
      <c r="I918" s="248"/>
      <c r="J918" s="248"/>
      <c r="K918" s="248"/>
      <c r="L918" s="248"/>
      <c r="M918" s="248" t="s">
        <v>1312</v>
      </c>
    </row>
    <row r="919" spans="1:13" ht="20.100000000000001" customHeight="1">
      <c r="A919" s="248"/>
      <c r="B919" s="248" t="s">
        <v>4861</v>
      </c>
      <c r="C919" s="248" t="s">
        <v>4036</v>
      </c>
      <c r="D919" s="248"/>
      <c r="E919" s="248"/>
      <c r="F919" s="248"/>
      <c r="G919" s="248" t="s">
        <v>3756</v>
      </c>
      <c r="H919" s="248"/>
      <c r="I919" s="248"/>
      <c r="J919" s="248"/>
      <c r="K919" s="248"/>
      <c r="L919" s="248"/>
      <c r="M919" s="248" t="s">
        <v>1313</v>
      </c>
    </row>
    <row r="920" spans="1:13" ht="20.100000000000001" customHeight="1">
      <c r="A920" s="248"/>
      <c r="B920" s="248" t="s">
        <v>4862</v>
      </c>
      <c r="C920" s="248" t="s">
        <v>4036</v>
      </c>
      <c r="D920" s="248"/>
      <c r="E920" s="248"/>
      <c r="F920" s="248"/>
      <c r="G920" s="248" t="s">
        <v>1314</v>
      </c>
      <c r="H920" s="248"/>
      <c r="I920" s="248"/>
      <c r="J920" s="248"/>
      <c r="K920" s="248"/>
      <c r="L920" s="248"/>
      <c r="M920" s="248" t="s">
        <v>1315</v>
      </c>
    </row>
    <row r="921" spans="1:13" ht="20.100000000000001" customHeight="1">
      <c r="A921" s="248"/>
      <c r="B921" s="248" t="s">
        <v>4863</v>
      </c>
      <c r="C921" s="248" t="s">
        <v>4016</v>
      </c>
      <c r="D921" s="248"/>
      <c r="E921" s="248"/>
      <c r="F921" s="248"/>
      <c r="G921" s="248" t="s">
        <v>3952</v>
      </c>
      <c r="H921" s="248"/>
      <c r="I921" s="248"/>
      <c r="J921" s="248"/>
      <c r="K921" s="248"/>
      <c r="L921" s="248"/>
      <c r="M921" s="248" t="s">
        <v>3953</v>
      </c>
    </row>
    <row r="922" spans="1:13" ht="20.100000000000001" customHeight="1">
      <c r="A922" s="248"/>
      <c r="B922" s="248" t="s">
        <v>4864</v>
      </c>
      <c r="C922" s="248" t="s">
        <v>4012</v>
      </c>
      <c r="D922" s="248"/>
      <c r="E922" s="248"/>
      <c r="F922" s="248"/>
      <c r="G922" s="248" t="s">
        <v>1316</v>
      </c>
      <c r="H922" s="248"/>
      <c r="I922" s="248"/>
      <c r="J922" s="248"/>
      <c r="K922" s="248"/>
      <c r="L922" s="248"/>
      <c r="M922" s="248" t="s">
        <v>3550</v>
      </c>
    </row>
    <row r="923" spans="1:13" ht="20.100000000000001" customHeight="1">
      <c r="A923" s="248"/>
      <c r="B923" s="248" t="s">
        <v>4865</v>
      </c>
      <c r="C923" s="248" t="s">
        <v>4008</v>
      </c>
      <c r="D923" s="248"/>
      <c r="E923" s="248"/>
      <c r="F923" s="248"/>
      <c r="G923" s="248" t="s">
        <v>1317</v>
      </c>
      <c r="H923" s="248"/>
      <c r="I923" s="248"/>
      <c r="J923" s="248"/>
      <c r="K923" s="248"/>
      <c r="L923" s="248"/>
      <c r="M923" s="248" t="s">
        <v>1318</v>
      </c>
    </row>
    <row r="924" spans="1:13" ht="20.100000000000001" customHeight="1">
      <c r="A924" s="248"/>
      <c r="B924" s="248" t="s">
        <v>4866</v>
      </c>
      <c r="C924" s="248" t="s">
        <v>4867</v>
      </c>
      <c r="D924" s="248"/>
      <c r="E924" s="248"/>
      <c r="F924" s="248"/>
      <c r="G924" s="248" t="s">
        <v>1319</v>
      </c>
      <c r="H924" s="248"/>
      <c r="I924" s="248"/>
      <c r="J924" s="248"/>
      <c r="K924" s="248"/>
      <c r="L924" s="248"/>
      <c r="M924" s="248" t="s">
        <v>1320</v>
      </c>
    </row>
    <row r="925" spans="1:13" ht="20.100000000000001" customHeight="1">
      <c r="A925" s="248"/>
      <c r="B925" s="248" t="s">
        <v>4868</v>
      </c>
      <c r="C925" s="248" t="s">
        <v>4025</v>
      </c>
      <c r="D925" s="248"/>
      <c r="E925" s="248"/>
      <c r="F925" s="248"/>
      <c r="G925" s="248" t="s">
        <v>1321</v>
      </c>
      <c r="H925" s="248"/>
      <c r="I925" s="248"/>
      <c r="J925" s="248"/>
      <c r="K925" s="248"/>
      <c r="L925" s="248"/>
      <c r="M925" s="248" t="s">
        <v>1322</v>
      </c>
    </row>
    <row r="926" spans="1:13" ht="20.100000000000001" customHeight="1">
      <c r="A926" s="248"/>
      <c r="B926" s="248" t="s">
        <v>4869</v>
      </c>
      <c r="C926" s="248" t="s">
        <v>4025</v>
      </c>
      <c r="D926" s="248"/>
      <c r="E926" s="248"/>
      <c r="F926" s="248"/>
      <c r="G926" s="248" t="s">
        <v>1323</v>
      </c>
      <c r="H926" s="248"/>
      <c r="I926" s="248"/>
      <c r="J926" s="248"/>
      <c r="K926" s="248"/>
      <c r="L926" s="248"/>
      <c r="M926" s="248" t="s">
        <v>1324</v>
      </c>
    </row>
    <row r="927" spans="1:13" ht="20.100000000000001" customHeight="1">
      <c r="A927" s="248"/>
      <c r="B927" s="248" t="s">
        <v>4870</v>
      </c>
      <c r="C927" s="248" t="s">
        <v>4025</v>
      </c>
      <c r="D927" s="248"/>
      <c r="E927" s="248"/>
      <c r="F927" s="248"/>
      <c r="G927" s="248" t="s">
        <v>1325</v>
      </c>
      <c r="H927" s="248"/>
      <c r="I927" s="248"/>
      <c r="J927" s="248"/>
      <c r="K927" s="248"/>
      <c r="L927" s="248"/>
      <c r="M927" s="248" t="s">
        <v>1326</v>
      </c>
    </row>
    <row r="928" spans="1:13" ht="20.100000000000001" customHeight="1">
      <c r="A928" s="248"/>
      <c r="B928" s="248" t="s">
        <v>4871</v>
      </c>
      <c r="C928" s="248" t="s">
        <v>4008</v>
      </c>
      <c r="D928" s="248"/>
      <c r="E928" s="248"/>
      <c r="F928" s="248"/>
      <c r="G928" s="248" t="s">
        <v>1327</v>
      </c>
      <c r="H928" s="248"/>
      <c r="I928" s="248"/>
      <c r="J928" s="248"/>
      <c r="K928" s="248"/>
      <c r="L928" s="248"/>
      <c r="M928" s="248" t="s">
        <v>3550</v>
      </c>
    </row>
    <row r="929" spans="1:13" ht="20.100000000000001" customHeight="1">
      <c r="A929" s="248"/>
      <c r="B929" s="248" t="s">
        <v>4872</v>
      </c>
      <c r="C929" s="248" t="s">
        <v>4016</v>
      </c>
      <c r="D929" s="248"/>
      <c r="E929" s="248"/>
      <c r="F929" s="248"/>
      <c r="G929" s="248" t="s">
        <v>1328</v>
      </c>
      <c r="H929" s="248"/>
      <c r="I929" s="248"/>
      <c r="J929" s="248"/>
      <c r="K929" s="248"/>
      <c r="L929" s="248"/>
      <c r="M929" s="248" t="s">
        <v>1329</v>
      </c>
    </row>
    <row r="930" spans="1:13" ht="20.100000000000001" customHeight="1">
      <c r="A930" s="248"/>
      <c r="B930" s="248" t="s">
        <v>4873</v>
      </c>
      <c r="C930" s="248" t="s">
        <v>4030</v>
      </c>
      <c r="D930" s="248"/>
      <c r="E930" s="248"/>
      <c r="F930" s="248"/>
      <c r="G930" s="248" t="s">
        <v>3107</v>
      </c>
      <c r="H930" s="248"/>
      <c r="I930" s="248"/>
      <c r="J930" s="248"/>
      <c r="K930" s="248"/>
      <c r="L930" s="248"/>
      <c r="M930" s="248" t="s">
        <v>3108</v>
      </c>
    </row>
    <row r="931" spans="1:13" ht="20.100000000000001" customHeight="1">
      <c r="A931" s="248"/>
      <c r="B931" s="248" t="s">
        <v>4874</v>
      </c>
      <c r="C931" s="248" t="s">
        <v>4008</v>
      </c>
      <c r="D931" s="248"/>
      <c r="E931" s="248"/>
      <c r="F931" s="248"/>
      <c r="G931" s="248" t="s">
        <v>1330</v>
      </c>
      <c r="H931" s="248"/>
      <c r="I931" s="248"/>
      <c r="J931" s="248"/>
      <c r="K931" s="248"/>
      <c r="L931" s="248"/>
      <c r="M931" s="248" t="s">
        <v>1331</v>
      </c>
    </row>
    <row r="932" spans="1:13" ht="20.100000000000001" customHeight="1">
      <c r="A932" s="249"/>
      <c r="B932" s="249" t="s">
        <v>4875</v>
      </c>
      <c r="C932" s="250" t="s">
        <v>4036</v>
      </c>
      <c r="D932" s="249"/>
      <c r="E932" s="249"/>
      <c r="F932" s="249"/>
      <c r="G932" s="249" t="s">
        <v>1332</v>
      </c>
      <c r="H932" s="249"/>
      <c r="I932" s="249"/>
      <c r="J932" s="249"/>
      <c r="K932" s="249"/>
      <c r="L932" s="249"/>
      <c r="M932" s="249" t="s">
        <v>539</v>
      </c>
    </row>
    <row r="933" spans="1:13" ht="20.100000000000001" customHeight="1">
      <c r="A933" s="248"/>
      <c r="B933" s="248" t="s">
        <v>4876</v>
      </c>
      <c r="C933" s="248" t="s">
        <v>4036</v>
      </c>
      <c r="D933" s="248"/>
      <c r="E933" s="248"/>
      <c r="F933" s="248"/>
      <c r="G933" s="248" t="s">
        <v>3909</v>
      </c>
      <c r="H933" s="248"/>
      <c r="I933" s="248"/>
      <c r="J933" s="248"/>
      <c r="K933" s="248"/>
      <c r="L933" s="248"/>
      <c r="M933" s="248" t="s">
        <v>3523</v>
      </c>
    </row>
    <row r="934" spans="1:13" ht="20.100000000000001" customHeight="1">
      <c r="A934" s="248"/>
      <c r="B934" s="248" t="s">
        <v>4877</v>
      </c>
      <c r="C934" s="248" t="s">
        <v>4012</v>
      </c>
      <c r="D934" s="248"/>
      <c r="E934" s="248"/>
      <c r="F934" s="248"/>
      <c r="G934" s="248" t="s">
        <v>1333</v>
      </c>
      <c r="H934" s="248"/>
      <c r="I934" s="248"/>
      <c r="J934" s="248"/>
      <c r="K934" s="248"/>
      <c r="L934" s="248"/>
      <c r="M934" s="248" t="s">
        <v>1334</v>
      </c>
    </row>
    <row r="935" spans="1:13" ht="20.100000000000001" customHeight="1">
      <c r="A935" s="248"/>
      <c r="B935" s="248" t="s">
        <v>4878</v>
      </c>
      <c r="C935" s="248" t="s">
        <v>4036</v>
      </c>
      <c r="D935" s="248"/>
      <c r="E935" s="248"/>
      <c r="F935" s="248"/>
      <c r="G935" s="248" t="s">
        <v>1335</v>
      </c>
      <c r="H935" s="248"/>
      <c r="I935" s="248"/>
      <c r="J935" s="248"/>
      <c r="K935" s="248"/>
      <c r="L935" s="248"/>
      <c r="M935" s="248" t="s">
        <v>1336</v>
      </c>
    </row>
    <row r="936" spans="1:13" ht="20.100000000000001" customHeight="1">
      <c r="A936" s="248"/>
      <c r="B936" s="248" t="s">
        <v>4879</v>
      </c>
      <c r="C936" s="248" t="s">
        <v>4012</v>
      </c>
      <c r="D936" s="248"/>
      <c r="E936" s="248"/>
      <c r="F936" s="248"/>
      <c r="G936" s="248" t="s">
        <v>1337</v>
      </c>
      <c r="H936" s="248"/>
      <c r="I936" s="248"/>
      <c r="J936" s="248"/>
      <c r="K936" s="248"/>
      <c r="L936" s="248"/>
      <c r="M936" s="248" t="s">
        <v>1338</v>
      </c>
    </row>
    <row r="937" spans="1:13" ht="20.100000000000001" customHeight="1">
      <c r="A937" s="248"/>
      <c r="B937" s="248" t="s">
        <v>4880</v>
      </c>
      <c r="C937" s="248" t="s">
        <v>4014</v>
      </c>
      <c r="D937" s="248"/>
      <c r="E937" s="248"/>
      <c r="F937" s="248"/>
      <c r="G937" s="248" t="s">
        <v>3419</v>
      </c>
      <c r="H937" s="248"/>
      <c r="I937" s="248"/>
      <c r="J937" s="248"/>
      <c r="K937" s="248"/>
      <c r="L937" s="248"/>
      <c r="M937" s="248" t="s">
        <v>3420</v>
      </c>
    </row>
    <row r="938" spans="1:13" ht="20.100000000000001" customHeight="1">
      <c r="A938" s="248"/>
      <c r="B938" s="248" t="s">
        <v>4881</v>
      </c>
      <c r="C938" s="248" t="s">
        <v>4012</v>
      </c>
      <c r="D938" s="248"/>
      <c r="E938" s="248"/>
      <c r="F938" s="248"/>
      <c r="G938" s="248" t="s">
        <v>3690</v>
      </c>
      <c r="H938" s="248"/>
      <c r="I938" s="248"/>
      <c r="J938" s="248"/>
      <c r="K938" s="248"/>
      <c r="L938" s="248"/>
      <c r="M938" s="248" t="s">
        <v>1339</v>
      </c>
    </row>
    <row r="939" spans="1:13" ht="20.100000000000001" customHeight="1">
      <c r="A939" s="248"/>
      <c r="B939" s="248" t="s">
        <v>4882</v>
      </c>
      <c r="C939" s="248" t="s">
        <v>4016</v>
      </c>
      <c r="D939" s="248"/>
      <c r="E939" s="248"/>
      <c r="F939" s="248"/>
      <c r="G939" s="248" t="s">
        <v>1340</v>
      </c>
      <c r="H939" s="248"/>
      <c r="I939" s="248"/>
      <c r="J939" s="248"/>
      <c r="K939" s="248"/>
      <c r="L939" s="248"/>
      <c r="M939" s="248" t="s">
        <v>1341</v>
      </c>
    </row>
    <row r="940" spans="1:13" ht="20.100000000000001" customHeight="1">
      <c r="A940" s="248"/>
      <c r="B940" s="248" t="s">
        <v>4883</v>
      </c>
      <c r="C940" s="248" t="s">
        <v>4016</v>
      </c>
      <c r="D940" s="248"/>
      <c r="E940" s="248"/>
      <c r="F940" s="248"/>
      <c r="G940" s="248" t="s">
        <v>1342</v>
      </c>
      <c r="H940" s="248"/>
      <c r="I940" s="248"/>
      <c r="J940" s="248"/>
      <c r="K940" s="248"/>
      <c r="L940" s="248"/>
      <c r="M940" s="248" t="s">
        <v>1343</v>
      </c>
    </row>
    <row r="941" spans="1:13" ht="20.100000000000001" customHeight="1">
      <c r="A941" s="248"/>
      <c r="B941" s="248" t="s">
        <v>4884</v>
      </c>
      <c r="C941" s="248" t="s">
        <v>4146</v>
      </c>
      <c r="D941" s="248"/>
      <c r="E941" s="248"/>
      <c r="F941" s="248"/>
      <c r="G941" s="248" t="s">
        <v>1344</v>
      </c>
      <c r="H941" s="248"/>
      <c r="I941" s="248"/>
      <c r="J941" s="248"/>
      <c r="K941" s="248"/>
      <c r="L941" s="248"/>
      <c r="M941" s="248" t="s">
        <v>1345</v>
      </c>
    </row>
    <row r="942" spans="1:13" ht="20.100000000000001" customHeight="1">
      <c r="A942" s="249"/>
      <c r="B942" s="249" t="s">
        <v>4885</v>
      </c>
      <c r="C942" s="250" t="s">
        <v>4003</v>
      </c>
      <c r="D942" s="249"/>
      <c r="E942" s="249"/>
      <c r="F942" s="249"/>
      <c r="G942" s="249" t="s">
        <v>1346</v>
      </c>
      <c r="H942" s="249"/>
      <c r="I942" s="249"/>
      <c r="J942" s="249"/>
      <c r="K942" s="249"/>
      <c r="L942" s="249"/>
      <c r="M942" s="249" t="s">
        <v>3550</v>
      </c>
    </row>
    <row r="943" spans="1:13" ht="20.100000000000001" customHeight="1">
      <c r="A943" s="248"/>
      <c r="B943" s="248" t="s">
        <v>4886</v>
      </c>
      <c r="C943" s="248" t="s">
        <v>4016</v>
      </c>
      <c r="D943" s="248"/>
      <c r="E943" s="248"/>
      <c r="F943" s="248"/>
      <c r="G943" s="248" t="s">
        <v>1347</v>
      </c>
      <c r="H943" s="248"/>
      <c r="I943" s="248"/>
      <c r="J943" s="248"/>
      <c r="K943" s="248"/>
      <c r="L943" s="248"/>
      <c r="M943" s="248" t="s">
        <v>3550</v>
      </c>
    </row>
    <row r="944" spans="1:13" ht="20.100000000000001" customHeight="1">
      <c r="A944" s="248"/>
      <c r="B944" s="248" t="s">
        <v>4887</v>
      </c>
      <c r="C944" s="248" t="s">
        <v>4008</v>
      </c>
      <c r="D944" s="248"/>
      <c r="E944" s="248"/>
      <c r="F944" s="248"/>
      <c r="G944" s="248" t="s">
        <v>1348</v>
      </c>
      <c r="H944" s="248"/>
      <c r="I944" s="248"/>
      <c r="J944" s="248"/>
      <c r="K944" s="248"/>
      <c r="L944" s="248"/>
      <c r="M944" s="248" t="s">
        <v>1349</v>
      </c>
    </row>
    <row r="945" spans="1:13" ht="20.100000000000001" customHeight="1">
      <c r="A945" s="248"/>
      <c r="B945" s="248" t="s">
        <v>4888</v>
      </c>
      <c r="C945" s="248" t="s">
        <v>4025</v>
      </c>
      <c r="D945" s="248"/>
      <c r="E945" s="248"/>
      <c r="F945" s="248"/>
      <c r="G945" s="248" t="s">
        <v>1350</v>
      </c>
      <c r="H945" s="248"/>
      <c r="I945" s="248"/>
      <c r="J945" s="248"/>
      <c r="K945" s="248"/>
      <c r="L945" s="248"/>
      <c r="M945" s="248" t="s">
        <v>1351</v>
      </c>
    </row>
    <row r="946" spans="1:13" ht="20.100000000000001" customHeight="1">
      <c r="A946" s="248"/>
      <c r="B946" s="248" t="s">
        <v>4889</v>
      </c>
      <c r="C946" s="248" t="s">
        <v>4003</v>
      </c>
      <c r="D946" s="248"/>
      <c r="E946" s="248"/>
      <c r="F946" s="248"/>
      <c r="G946" s="248" t="s">
        <v>510</v>
      </c>
      <c r="H946" s="248"/>
      <c r="I946" s="248"/>
      <c r="J946" s="248"/>
      <c r="K946" s="248"/>
      <c r="L946" s="248"/>
      <c r="M946" s="248" t="s">
        <v>3550</v>
      </c>
    </row>
    <row r="947" spans="1:13" ht="20.100000000000001" customHeight="1">
      <c r="A947" s="248"/>
      <c r="B947" s="248" t="s">
        <v>4890</v>
      </c>
      <c r="C947" s="248" t="s">
        <v>4891</v>
      </c>
      <c r="D947" s="248"/>
      <c r="E947" s="248"/>
      <c r="F947" s="248"/>
      <c r="G947" s="248" t="s">
        <v>3910</v>
      </c>
      <c r="H947" s="248"/>
      <c r="I947" s="248"/>
      <c r="J947" s="248"/>
      <c r="K947" s="248"/>
      <c r="L947" s="248"/>
      <c r="M947" s="248" t="s">
        <v>3911</v>
      </c>
    </row>
    <row r="948" spans="1:13" ht="20.100000000000001" customHeight="1">
      <c r="A948" s="248"/>
      <c r="B948" s="248" t="s">
        <v>4892</v>
      </c>
      <c r="C948" s="248" t="s">
        <v>4025</v>
      </c>
      <c r="D948" s="248"/>
      <c r="E948" s="248"/>
      <c r="F948" s="248"/>
      <c r="G948" s="248" t="s">
        <v>1352</v>
      </c>
      <c r="H948" s="248"/>
      <c r="I948" s="248"/>
      <c r="J948" s="248"/>
      <c r="K948" s="248"/>
      <c r="L948" s="248"/>
      <c r="M948" s="248" t="s">
        <v>1353</v>
      </c>
    </row>
    <row r="949" spans="1:13" ht="20.100000000000001" customHeight="1">
      <c r="A949" s="248"/>
      <c r="B949" s="248" t="s">
        <v>4893</v>
      </c>
      <c r="C949" s="248" t="s">
        <v>4036</v>
      </c>
      <c r="D949" s="248"/>
      <c r="E949" s="248"/>
      <c r="F949" s="248"/>
      <c r="G949" s="248" t="s">
        <v>1354</v>
      </c>
      <c r="H949" s="248"/>
      <c r="I949" s="248"/>
      <c r="J949" s="248"/>
      <c r="K949" s="248"/>
      <c r="L949" s="248"/>
      <c r="M949" s="248" t="s">
        <v>1355</v>
      </c>
    </row>
    <row r="950" spans="1:13" ht="20.100000000000001" customHeight="1">
      <c r="A950" s="248"/>
      <c r="B950" s="248" t="s">
        <v>4894</v>
      </c>
      <c r="C950" s="248" t="s">
        <v>4030</v>
      </c>
      <c r="D950" s="248"/>
      <c r="E950" s="248"/>
      <c r="F950" s="248"/>
      <c r="G950" s="248" t="s">
        <v>1356</v>
      </c>
      <c r="H950" s="248"/>
      <c r="I950" s="248"/>
      <c r="J950" s="248"/>
      <c r="K950" s="248"/>
      <c r="L950" s="248"/>
      <c r="M950" s="248" t="s">
        <v>1357</v>
      </c>
    </row>
    <row r="951" spans="1:13" ht="20.100000000000001" customHeight="1">
      <c r="A951" s="248"/>
      <c r="B951" s="248" t="s">
        <v>4895</v>
      </c>
      <c r="C951" s="248" t="s">
        <v>4030</v>
      </c>
      <c r="D951" s="248"/>
      <c r="E951" s="248"/>
      <c r="F951" s="248"/>
      <c r="G951" s="248" t="s">
        <v>1358</v>
      </c>
      <c r="H951" s="248"/>
      <c r="I951" s="248"/>
      <c r="J951" s="248"/>
      <c r="K951" s="248"/>
      <c r="L951" s="248"/>
      <c r="M951" s="248" t="s">
        <v>3550</v>
      </c>
    </row>
    <row r="952" spans="1:13" ht="20.100000000000001" customHeight="1">
      <c r="A952" s="248"/>
      <c r="B952" s="248" t="s">
        <v>4896</v>
      </c>
      <c r="C952" s="248" t="s">
        <v>4003</v>
      </c>
      <c r="D952" s="248"/>
      <c r="E952" s="248"/>
      <c r="F952" s="248"/>
      <c r="G952" s="248" t="s">
        <v>1359</v>
      </c>
      <c r="H952" s="248"/>
      <c r="I952" s="248"/>
      <c r="J952" s="248"/>
      <c r="K952" s="248"/>
      <c r="L952" s="248"/>
      <c r="M952" s="248" t="s">
        <v>1360</v>
      </c>
    </row>
    <row r="953" spans="1:13" ht="20.100000000000001" customHeight="1">
      <c r="A953" s="248"/>
      <c r="B953" s="248" t="s">
        <v>4897</v>
      </c>
      <c r="C953" s="248" t="s">
        <v>4008</v>
      </c>
      <c r="D953" s="248"/>
      <c r="E953" s="248"/>
      <c r="F953" s="248"/>
      <c r="G953" s="248" t="s">
        <v>3111</v>
      </c>
      <c r="H953" s="248"/>
      <c r="I953" s="248"/>
      <c r="J953" s="248"/>
      <c r="K953" s="248"/>
      <c r="L953" s="248"/>
      <c r="M953" s="248" t="s">
        <v>3112</v>
      </c>
    </row>
    <row r="954" spans="1:13" ht="20.100000000000001" customHeight="1">
      <c r="A954" s="248"/>
      <c r="B954" s="248" t="s">
        <v>4898</v>
      </c>
      <c r="C954" s="248" t="s">
        <v>4036</v>
      </c>
      <c r="D954" s="248"/>
      <c r="E954" s="248"/>
      <c r="F954" s="248"/>
      <c r="G954" s="248" t="s">
        <v>1361</v>
      </c>
      <c r="H954" s="248"/>
      <c r="I954" s="248"/>
      <c r="J954" s="248"/>
      <c r="K954" s="248"/>
      <c r="L954" s="248"/>
      <c r="M954" s="248" t="s">
        <v>1362</v>
      </c>
    </row>
    <row r="955" spans="1:13" ht="20.100000000000001" customHeight="1">
      <c r="A955" s="248"/>
      <c r="B955" s="248" t="s">
        <v>4899</v>
      </c>
      <c r="C955" s="248" t="s">
        <v>4014</v>
      </c>
      <c r="D955" s="248"/>
      <c r="E955" s="248"/>
      <c r="F955" s="248"/>
      <c r="G955" s="248" t="s">
        <v>1363</v>
      </c>
      <c r="H955" s="248"/>
      <c r="I955" s="248"/>
      <c r="J955" s="248"/>
      <c r="K955" s="248"/>
      <c r="L955" s="248"/>
      <c r="M955" s="248" t="s">
        <v>1364</v>
      </c>
    </row>
    <row r="956" spans="1:13" ht="20.100000000000001" customHeight="1">
      <c r="A956" s="248"/>
      <c r="B956" s="248" t="s">
        <v>4900</v>
      </c>
      <c r="C956" s="248" t="s">
        <v>4014</v>
      </c>
      <c r="D956" s="248"/>
      <c r="E956" s="248"/>
      <c r="F956" s="248"/>
      <c r="G956" s="248" t="s">
        <v>1365</v>
      </c>
      <c r="H956" s="248"/>
      <c r="I956" s="248"/>
      <c r="J956" s="248"/>
      <c r="K956" s="248"/>
      <c r="L956" s="248"/>
      <c r="M956" s="248" t="s">
        <v>1366</v>
      </c>
    </row>
    <row r="957" spans="1:13" ht="20.100000000000001" customHeight="1">
      <c r="A957" s="249"/>
      <c r="B957" s="249" t="s">
        <v>4901</v>
      </c>
      <c r="C957" s="250" t="s">
        <v>4016</v>
      </c>
      <c r="D957" s="249"/>
      <c r="E957" s="249"/>
      <c r="F957" s="249"/>
      <c r="G957" s="249" t="s">
        <v>1367</v>
      </c>
      <c r="H957" s="249"/>
      <c r="I957" s="249"/>
      <c r="J957" s="249"/>
      <c r="K957" s="249"/>
      <c r="L957" s="249"/>
      <c r="M957" s="249" t="s">
        <v>1368</v>
      </c>
    </row>
    <row r="958" spans="1:13" ht="20.100000000000001" customHeight="1">
      <c r="A958" s="248"/>
      <c r="B958" s="248" t="s">
        <v>4902</v>
      </c>
      <c r="C958" s="248" t="s">
        <v>4012</v>
      </c>
      <c r="D958" s="248"/>
      <c r="E958" s="248"/>
      <c r="F958" s="248"/>
      <c r="G958" s="248" t="s">
        <v>1369</v>
      </c>
      <c r="H958" s="248"/>
      <c r="I958" s="248"/>
      <c r="J958" s="248"/>
      <c r="K958" s="248"/>
      <c r="L958" s="248"/>
      <c r="M958" s="248" t="s">
        <v>1370</v>
      </c>
    </row>
    <row r="959" spans="1:13" ht="20.100000000000001" customHeight="1">
      <c r="A959" s="248"/>
      <c r="B959" s="248" t="s">
        <v>4903</v>
      </c>
      <c r="C959" s="248" t="s">
        <v>4008</v>
      </c>
      <c r="D959" s="248"/>
      <c r="E959" s="248"/>
      <c r="F959" s="248"/>
      <c r="G959" s="248" t="s">
        <v>1371</v>
      </c>
      <c r="H959" s="248"/>
      <c r="I959" s="248"/>
      <c r="J959" s="248"/>
      <c r="K959" s="248"/>
      <c r="L959" s="248"/>
      <c r="M959" s="248" t="s">
        <v>1372</v>
      </c>
    </row>
    <row r="960" spans="1:13" ht="20.100000000000001" customHeight="1">
      <c r="A960" s="248"/>
      <c r="B960" s="248" t="s">
        <v>4904</v>
      </c>
      <c r="C960" s="248" t="s">
        <v>4014</v>
      </c>
      <c r="D960" s="248"/>
      <c r="E960" s="248"/>
      <c r="F960" s="248"/>
      <c r="G960" s="248" t="s">
        <v>1373</v>
      </c>
      <c r="H960" s="248"/>
      <c r="I960" s="248"/>
      <c r="J960" s="248"/>
      <c r="K960" s="248"/>
      <c r="L960" s="248"/>
      <c r="M960" s="248" t="s">
        <v>3550</v>
      </c>
    </row>
    <row r="961" spans="1:13" ht="20.100000000000001" customHeight="1">
      <c r="A961" s="248"/>
      <c r="B961" s="248" t="s">
        <v>4905</v>
      </c>
      <c r="C961" s="248" t="s">
        <v>4030</v>
      </c>
      <c r="D961" s="248"/>
      <c r="E961" s="248"/>
      <c r="F961" s="248"/>
      <c r="G961" s="248" t="s">
        <v>3757</v>
      </c>
      <c r="H961" s="248"/>
      <c r="I961" s="248"/>
      <c r="J961" s="248"/>
      <c r="K961" s="248"/>
      <c r="L961" s="248"/>
      <c r="M961" s="248" t="s">
        <v>3790</v>
      </c>
    </row>
    <row r="962" spans="1:13" ht="20.100000000000001" customHeight="1">
      <c r="A962" s="248"/>
      <c r="B962" s="248" t="s">
        <v>4906</v>
      </c>
      <c r="C962" s="248" t="s">
        <v>4016</v>
      </c>
      <c r="D962" s="248"/>
      <c r="E962" s="248"/>
      <c r="F962" s="248"/>
      <c r="G962" s="248" t="s">
        <v>1374</v>
      </c>
      <c r="H962" s="248"/>
      <c r="I962" s="248"/>
      <c r="J962" s="248"/>
      <c r="K962" s="248"/>
      <c r="L962" s="248"/>
      <c r="M962" s="248" t="s">
        <v>3550</v>
      </c>
    </row>
    <row r="963" spans="1:13" ht="20.100000000000001" customHeight="1">
      <c r="A963" s="248"/>
      <c r="B963" s="248" t="s">
        <v>4907</v>
      </c>
      <c r="C963" s="248" t="s">
        <v>4016</v>
      </c>
      <c r="D963" s="248"/>
      <c r="E963" s="248"/>
      <c r="F963" s="248"/>
      <c r="G963" s="248" t="s">
        <v>1375</v>
      </c>
      <c r="H963" s="248"/>
      <c r="I963" s="248"/>
      <c r="J963" s="248"/>
      <c r="K963" s="248"/>
      <c r="L963" s="248"/>
      <c r="M963" s="248" t="s">
        <v>1376</v>
      </c>
    </row>
    <row r="964" spans="1:13" ht="20.100000000000001" customHeight="1">
      <c r="A964" s="248"/>
      <c r="B964" s="248" t="s">
        <v>4908</v>
      </c>
      <c r="C964" s="248" t="s">
        <v>4025</v>
      </c>
      <c r="D964" s="248"/>
      <c r="E964" s="248"/>
      <c r="F964" s="248"/>
      <c r="G964" s="248" t="s">
        <v>1377</v>
      </c>
      <c r="H964" s="248"/>
      <c r="I964" s="248"/>
      <c r="J964" s="248"/>
      <c r="K964" s="248"/>
      <c r="L964" s="248"/>
      <c r="M964" s="248" t="s">
        <v>1378</v>
      </c>
    </row>
    <row r="965" spans="1:13" ht="20.100000000000001" customHeight="1">
      <c r="A965" s="248"/>
      <c r="B965" s="248" t="s">
        <v>4909</v>
      </c>
      <c r="C965" s="248" t="s">
        <v>4146</v>
      </c>
      <c r="D965" s="248"/>
      <c r="E965" s="248"/>
      <c r="F965" s="248"/>
      <c r="G965" s="248" t="s">
        <v>1379</v>
      </c>
      <c r="H965" s="248"/>
      <c r="I965" s="248"/>
      <c r="J965" s="248"/>
      <c r="K965" s="248"/>
      <c r="L965" s="248"/>
      <c r="M965" s="248" t="s">
        <v>1380</v>
      </c>
    </row>
    <row r="966" spans="1:13" ht="20.100000000000001" customHeight="1">
      <c r="A966" s="248"/>
      <c r="B966" s="248" t="s">
        <v>4910</v>
      </c>
      <c r="C966" s="248" t="s">
        <v>4124</v>
      </c>
      <c r="D966" s="248"/>
      <c r="E966" s="248"/>
      <c r="F966" s="248"/>
      <c r="G966" s="248" t="s">
        <v>1381</v>
      </c>
      <c r="H966" s="248"/>
      <c r="I966" s="248"/>
      <c r="J966" s="248"/>
      <c r="K966" s="248"/>
      <c r="L966" s="248"/>
      <c r="M966" s="248" t="s">
        <v>1382</v>
      </c>
    </row>
    <row r="967" spans="1:13" ht="20.100000000000001" customHeight="1">
      <c r="A967" s="248"/>
      <c r="B967" s="248" t="s">
        <v>4911</v>
      </c>
      <c r="C967" s="248" t="s">
        <v>4012</v>
      </c>
      <c r="D967" s="248"/>
      <c r="E967" s="248"/>
      <c r="F967" s="248"/>
      <c r="G967" s="248" t="s">
        <v>1383</v>
      </c>
      <c r="H967" s="248"/>
      <c r="I967" s="248"/>
      <c r="J967" s="248"/>
      <c r="K967" s="248"/>
      <c r="L967" s="248"/>
      <c r="M967" s="248" t="s">
        <v>1384</v>
      </c>
    </row>
    <row r="968" spans="1:13" ht="20.100000000000001" customHeight="1">
      <c r="A968" s="248"/>
      <c r="B968" s="248" t="s">
        <v>4912</v>
      </c>
      <c r="C968" s="248" t="s">
        <v>4005</v>
      </c>
      <c r="D968" s="248"/>
      <c r="E968" s="248"/>
      <c r="F968" s="248"/>
      <c r="G968" s="248" t="s">
        <v>1385</v>
      </c>
      <c r="H968" s="248"/>
      <c r="I968" s="248"/>
      <c r="J968" s="248"/>
      <c r="K968" s="248"/>
      <c r="L968" s="248"/>
      <c r="M968" s="248" t="s">
        <v>1386</v>
      </c>
    </row>
    <row r="969" spans="1:13" ht="20.100000000000001" customHeight="1">
      <c r="A969" s="248"/>
      <c r="B969" s="248" t="s">
        <v>4913</v>
      </c>
      <c r="C969" s="248" t="s">
        <v>4025</v>
      </c>
      <c r="D969" s="248"/>
      <c r="E969" s="248"/>
      <c r="F969" s="248"/>
      <c r="G969" s="248" t="s">
        <v>1387</v>
      </c>
      <c r="H969" s="248"/>
      <c r="I969" s="248"/>
      <c r="J969" s="248"/>
      <c r="K969" s="248"/>
      <c r="L969" s="248"/>
      <c r="M969" s="248" t="s">
        <v>1388</v>
      </c>
    </row>
    <row r="970" spans="1:13" ht="20.100000000000001" customHeight="1">
      <c r="A970" s="248"/>
      <c r="B970" s="248" t="s">
        <v>4914</v>
      </c>
      <c r="C970" s="248" t="s">
        <v>4030</v>
      </c>
      <c r="D970" s="248"/>
      <c r="E970" s="248"/>
      <c r="F970" s="248"/>
      <c r="G970" s="248" t="s">
        <v>1389</v>
      </c>
      <c r="H970" s="248"/>
      <c r="I970" s="248"/>
      <c r="J970" s="248"/>
      <c r="K970" s="248"/>
      <c r="L970" s="248"/>
      <c r="M970" s="248" t="s">
        <v>1390</v>
      </c>
    </row>
    <row r="971" spans="1:13" ht="20.100000000000001" customHeight="1">
      <c r="A971" s="248"/>
      <c r="B971" s="248" t="s">
        <v>4915</v>
      </c>
      <c r="C971" s="248" t="s">
        <v>4016</v>
      </c>
      <c r="D971" s="248"/>
      <c r="E971" s="248"/>
      <c r="F971" s="248"/>
      <c r="G971" s="248" t="s">
        <v>3840</v>
      </c>
      <c r="H971" s="248"/>
      <c r="I971" s="248"/>
      <c r="J971" s="248"/>
      <c r="K971" s="248"/>
      <c r="L971" s="248"/>
      <c r="M971" s="248" t="s">
        <v>196</v>
      </c>
    </row>
    <row r="972" spans="1:13" ht="20.100000000000001" customHeight="1">
      <c r="A972" s="248"/>
      <c r="B972" s="248" t="s">
        <v>4916</v>
      </c>
      <c r="C972" s="248" t="s">
        <v>4016</v>
      </c>
      <c r="D972" s="248"/>
      <c r="E972" s="248"/>
      <c r="F972" s="248"/>
      <c r="G972" s="248" t="s">
        <v>3125</v>
      </c>
      <c r="H972" s="248"/>
      <c r="I972" s="248"/>
      <c r="J972" s="248"/>
      <c r="K972" s="248"/>
      <c r="L972" s="248"/>
      <c r="M972" s="248" t="s">
        <v>3126</v>
      </c>
    </row>
    <row r="973" spans="1:13" ht="20.100000000000001" customHeight="1">
      <c r="A973" s="248"/>
      <c r="B973" s="248" t="s">
        <v>4917</v>
      </c>
      <c r="C973" s="248" t="s">
        <v>4740</v>
      </c>
      <c r="D973" s="248"/>
      <c r="E973" s="248"/>
      <c r="F973" s="248"/>
      <c r="G973" s="248" t="s">
        <v>3500</v>
      </c>
      <c r="H973" s="248"/>
      <c r="I973" s="248"/>
      <c r="J973" s="248"/>
      <c r="K973" s="248"/>
      <c r="L973" s="248"/>
      <c r="M973" s="248" t="s">
        <v>1392</v>
      </c>
    </row>
    <row r="974" spans="1:13" ht="20.100000000000001" customHeight="1">
      <c r="A974" s="248"/>
      <c r="B974" s="248" t="s">
        <v>4918</v>
      </c>
      <c r="C974" s="248" t="s">
        <v>4740</v>
      </c>
      <c r="D974" s="248"/>
      <c r="E974" s="248"/>
      <c r="F974" s="248"/>
      <c r="G974" s="248" t="s">
        <v>1391</v>
      </c>
      <c r="H974" s="248"/>
      <c r="I974" s="248"/>
      <c r="J974" s="248"/>
      <c r="K974" s="248"/>
      <c r="L974" s="248"/>
      <c r="M974" s="248" t="s">
        <v>1392</v>
      </c>
    </row>
    <row r="975" spans="1:13" ht="20.100000000000001" customHeight="1">
      <c r="A975" s="248"/>
      <c r="B975" s="248" t="s">
        <v>4919</v>
      </c>
      <c r="C975" s="248" t="s">
        <v>4025</v>
      </c>
      <c r="D975" s="248"/>
      <c r="E975" s="248"/>
      <c r="F975" s="248"/>
      <c r="G975" s="248" t="s">
        <v>1393</v>
      </c>
      <c r="H975" s="248"/>
      <c r="I975" s="248"/>
      <c r="J975" s="248"/>
      <c r="K975" s="248"/>
      <c r="L975" s="248"/>
      <c r="M975" s="248" t="s">
        <v>1394</v>
      </c>
    </row>
    <row r="976" spans="1:13" ht="20.100000000000001" customHeight="1">
      <c r="A976" s="248"/>
      <c r="B976" s="248" t="s">
        <v>4920</v>
      </c>
      <c r="C976" s="248" t="s">
        <v>4003</v>
      </c>
      <c r="D976" s="248"/>
      <c r="E976" s="248"/>
      <c r="F976" s="248"/>
      <c r="G976" s="248" t="s">
        <v>3841</v>
      </c>
      <c r="H976" s="248"/>
      <c r="I976" s="248"/>
      <c r="J976" s="248"/>
      <c r="K976" s="248"/>
      <c r="L976" s="248"/>
      <c r="M976" s="248" t="s">
        <v>3842</v>
      </c>
    </row>
    <row r="977" spans="1:13" ht="20.100000000000001" customHeight="1">
      <c r="A977" s="248"/>
      <c r="B977" s="248" t="s">
        <v>4921</v>
      </c>
      <c r="C977" s="248" t="s">
        <v>4174</v>
      </c>
      <c r="D977" s="248"/>
      <c r="E977" s="248"/>
      <c r="F977" s="248"/>
      <c r="G977" s="248" t="s">
        <v>1395</v>
      </c>
      <c r="H977" s="248"/>
      <c r="I977" s="248"/>
      <c r="J977" s="248"/>
      <c r="K977" s="248"/>
      <c r="L977" s="248"/>
      <c r="M977" s="248" t="s">
        <v>1396</v>
      </c>
    </row>
    <row r="978" spans="1:13" ht="20.100000000000001" customHeight="1">
      <c r="A978" s="248"/>
      <c r="B978" s="248" t="s">
        <v>4922</v>
      </c>
      <c r="C978" s="248" t="s">
        <v>4012</v>
      </c>
      <c r="D978" s="248"/>
      <c r="E978" s="248"/>
      <c r="F978" s="248"/>
      <c r="G978" s="248" t="s">
        <v>1397</v>
      </c>
      <c r="H978" s="248"/>
      <c r="I978" s="248"/>
      <c r="J978" s="248"/>
      <c r="K978" s="248"/>
      <c r="L978" s="248"/>
      <c r="M978" s="248" t="s">
        <v>3550</v>
      </c>
    </row>
    <row r="979" spans="1:13" ht="20.100000000000001" customHeight="1">
      <c r="A979" s="248"/>
      <c r="B979" s="248" t="s">
        <v>4923</v>
      </c>
      <c r="C979" s="248" t="s">
        <v>4016</v>
      </c>
      <c r="D979" s="248"/>
      <c r="E979" s="248"/>
      <c r="F979" s="248"/>
      <c r="G979" s="248" t="s">
        <v>3954</v>
      </c>
      <c r="H979" s="248"/>
      <c r="I979" s="248"/>
      <c r="J979" s="248"/>
      <c r="K979" s="248"/>
      <c r="L979" s="248"/>
      <c r="M979" s="248" t="s">
        <v>3550</v>
      </c>
    </row>
    <row r="980" spans="1:13" ht="20.100000000000001" customHeight="1">
      <c r="A980" s="248"/>
      <c r="B980" s="248" t="s">
        <v>4924</v>
      </c>
      <c r="C980" s="248" t="s">
        <v>4008</v>
      </c>
      <c r="D980" s="248"/>
      <c r="E980" s="248"/>
      <c r="F980" s="248"/>
      <c r="G980" s="248" t="s">
        <v>1398</v>
      </c>
      <c r="H980" s="248"/>
      <c r="I980" s="248"/>
      <c r="J980" s="248"/>
      <c r="K980" s="248"/>
      <c r="L980" s="248"/>
      <c r="M980" s="248" t="s">
        <v>1399</v>
      </c>
    </row>
    <row r="981" spans="1:13" ht="20.100000000000001" customHeight="1">
      <c r="A981" s="248"/>
      <c r="B981" s="248" t="s">
        <v>4925</v>
      </c>
      <c r="C981" s="248" t="s">
        <v>4030</v>
      </c>
      <c r="D981" s="248"/>
      <c r="E981" s="248"/>
      <c r="F981" s="248"/>
      <c r="G981" s="248" t="s">
        <v>3187</v>
      </c>
      <c r="H981" s="248"/>
      <c r="I981" s="248"/>
      <c r="J981" s="248"/>
      <c r="K981" s="248"/>
      <c r="L981" s="248"/>
      <c r="M981" s="248" t="s">
        <v>3188</v>
      </c>
    </row>
    <row r="982" spans="1:13" ht="20.100000000000001" customHeight="1">
      <c r="A982" s="248"/>
      <c r="B982" s="248" t="s">
        <v>4926</v>
      </c>
      <c r="C982" s="248" t="s">
        <v>4025</v>
      </c>
      <c r="D982" s="248"/>
      <c r="E982" s="248"/>
      <c r="F982" s="248"/>
      <c r="G982" s="248" t="s">
        <v>1400</v>
      </c>
      <c r="H982" s="248"/>
      <c r="I982" s="248"/>
      <c r="J982" s="248"/>
      <c r="K982" s="248"/>
      <c r="L982" s="248"/>
      <c r="M982" s="248" t="s">
        <v>1401</v>
      </c>
    </row>
    <row r="983" spans="1:13" ht="20.100000000000001" customHeight="1">
      <c r="A983" s="248"/>
      <c r="B983" s="248" t="s">
        <v>4927</v>
      </c>
      <c r="C983" s="248" t="s">
        <v>4003</v>
      </c>
      <c r="D983" s="248"/>
      <c r="E983" s="248"/>
      <c r="F983" s="248"/>
      <c r="G983" s="248" t="s">
        <v>1402</v>
      </c>
      <c r="H983" s="248"/>
      <c r="I983" s="248"/>
      <c r="J983" s="248"/>
      <c r="K983" s="248"/>
      <c r="L983" s="248"/>
      <c r="M983" s="248" t="s">
        <v>1403</v>
      </c>
    </row>
    <row r="984" spans="1:13" ht="20.100000000000001" customHeight="1">
      <c r="A984" s="248"/>
      <c r="B984" s="248" t="s">
        <v>4928</v>
      </c>
      <c r="C984" s="248" t="s">
        <v>4036</v>
      </c>
      <c r="D984" s="248"/>
      <c r="E984" s="248"/>
      <c r="F984" s="248"/>
      <c r="G984" s="248" t="s">
        <v>1404</v>
      </c>
      <c r="H984" s="248"/>
      <c r="I984" s="248"/>
      <c r="J984" s="248"/>
      <c r="K984" s="248"/>
      <c r="L984" s="248"/>
      <c r="M984" s="248" t="s">
        <v>1405</v>
      </c>
    </row>
    <row r="985" spans="1:13" ht="20.100000000000001" customHeight="1">
      <c r="A985" s="248"/>
      <c r="B985" s="248" t="s">
        <v>4929</v>
      </c>
      <c r="C985" s="248" t="s">
        <v>4003</v>
      </c>
      <c r="D985" s="248"/>
      <c r="E985" s="248"/>
      <c r="F985" s="248"/>
      <c r="G985" s="248" t="s">
        <v>3501</v>
      </c>
      <c r="H985" s="248"/>
      <c r="I985" s="248"/>
      <c r="J985" s="248"/>
      <c r="K985" s="248"/>
      <c r="L985" s="248"/>
      <c r="M985" s="248" t="s">
        <v>3418</v>
      </c>
    </row>
    <row r="986" spans="1:13" ht="20.100000000000001" customHeight="1">
      <c r="A986" s="248"/>
      <c r="B986" s="248" t="s">
        <v>4930</v>
      </c>
      <c r="C986" s="248" t="s">
        <v>4016</v>
      </c>
      <c r="D986" s="248"/>
      <c r="E986" s="248"/>
      <c r="F986" s="248"/>
      <c r="G986" s="248" t="s">
        <v>1406</v>
      </c>
      <c r="H986" s="248"/>
      <c r="I986" s="248"/>
      <c r="J986" s="248"/>
      <c r="K986" s="248"/>
      <c r="L986" s="248"/>
      <c r="M986" s="248" t="s">
        <v>3550</v>
      </c>
    </row>
    <row r="987" spans="1:13" ht="20.100000000000001" customHeight="1">
      <c r="A987" s="248"/>
      <c r="B987" s="248" t="s">
        <v>4931</v>
      </c>
      <c r="C987" s="248" t="s">
        <v>4014</v>
      </c>
      <c r="D987" s="248"/>
      <c r="E987" s="248"/>
      <c r="F987" s="248"/>
      <c r="G987" s="248" t="s">
        <v>1407</v>
      </c>
      <c r="H987" s="248"/>
      <c r="I987" s="248"/>
      <c r="J987" s="248"/>
      <c r="K987" s="248"/>
      <c r="L987" s="248"/>
      <c r="M987" s="248" t="s">
        <v>1408</v>
      </c>
    </row>
    <row r="988" spans="1:13" ht="20.100000000000001" customHeight="1">
      <c r="A988" s="248"/>
      <c r="B988" s="248" t="s">
        <v>4932</v>
      </c>
      <c r="C988" s="248" t="s">
        <v>4003</v>
      </c>
      <c r="D988" s="248"/>
      <c r="E988" s="248"/>
      <c r="F988" s="248"/>
      <c r="G988" s="248" t="s">
        <v>3099</v>
      </c>
      <c r="H988" s="248"/>
      <c r="I988" s="248"/>
      <c r="J988" s="248"/>
      <c r="K988" s="248"/>
      <c r="L988" s="248"/>
      <c r="M988" s="248" t="s">
        <v>3100</v>
      </c>
    </row>
    <row r="989" spans="1:13" ht="20.100000000000001" customHeight="1">
      <c r="A989" s="248"/>
      <c r="B989" s="248" t="s">
        <v>4933</v>
      </c>
      <c r="C989" s="248" t="s">
        <v>4036</v>
      </c>
      <c r="D989" s="248"/>
      <c r="E989" s="248"/>
      <c r="F989" s="248"/>
      <c r="G989" s="248" t="s">
        <v>1237</v>
      </c>
      <c r="H989" s="248"/>
      <c r="I989" s="248"/>
      <c r="J989" s="248"/>
      <c r="K989" s="248"/>
      <c r="L989" s="248"/>
      <c r="M989" s="248" t="s">
        <v>1409</v>
      </c>
    </row>
    <row r="990" spans="1:13" ht="20.100000000000001" customHeight="1">
      <c r="A990" s="248"/>
      <c r="B990" s="248" t="s">
        <v>4934</v>
      </c>
      <c r="C990" s="248" t="s">
        <v>4016</v>
      </c>
      <c r="D990" s="248"/>
      <c r="E990" s="248"/>
      <c r="F990" s="248"/>
      <c r="G990" s="248" t="s">
        <v>3726</v>
      </c>
      <c r="H990" s="248"/>
      <c r="I990" s="248"/>
      <c r="J990" s="248"/>
      <c r="K990" s="248"/>
      <c r="L990" s="248"/>
      <c r="M990" s="248" t="s">
        <v>3383</v>
      </c>
    </row>
    <row r="991" spans="1:13" ht="20.100000000000001" customHeight="1">
      <c r="A991" s="248"/>
      <c r="B991" s="248" t="s">
        <v>4935</v>
      </c>
      <c r="C991" s="248" t="s">
        <v>4016</v>
      </c>
      <c r="D991" s="248"/>
      <c r="E991" s="248"/>
      <c r="F991" s="248"/>
      <c r="G991" s="248" t="s">
        <v>1410</v>
      </c>
      <c r="H991" s="248"/>
      <c r="I991" s="248"/>
      <c r="J991" s="248"/>
      <c r="K991" s="248"/>
      <c r="L991" s="248"/>
      <c r="M991" s="248" t="s">
        <v>1411</v>
      </c>
    </row>
    <row r="992" spans="1:13" ht="20.100000000000001" customHeight="1">
      <c r="A992" s="248"/>
      <c r="B992" s="248" t="s">
        <v>6306</v>
      </c>
      <c r="C992" s="248" t="s">
        <v>4012</v>
      </c>
      <c r="D992" s="248"/>
      <c r="E992" s="248"/>
      <c r="F992" s="248"/>
      <c r="G992" s="248" t="s">
        <v>6307</v>
      </c>
      <c r="H992" s="248"/>
      <c r="I992" s="248"/>
      <c r="J992" s="248"/>
      <c r="K992" s="248"/>
      <c r="L992" s="248"/>
      <c r="M992" s="248" t="s">
        <v>6308</v>
      </c>
    </row>
    <row r="993" spans="1:13" ht="20.100000000000001" customHeight="1">
      <c r="A993" s="248"/>
      <c r="B993" s="248" t="s">
        <v>4936</v>
      </c>
      <c r="C993" s="248" t="s">
        <v>4016</v>
      </c>
      <c r="D993" s="248"/>
      <c r="E993" s="248"/>
      <c r="F993" s="248"/>
      <c r="G993" s="248" t="s">
        <v>1412</v>
      </c>
      <c r="H993" s="248"/>
      <c r="I993" s="248"/>
      <c r="J993" s="248"/>
      <c r="K993" s="248"/>
      <c r="L993" s="248"/>
      <c r="M993" s="248" t="s">
        <v>1413</v>
      </c>
    </row>
    <row r="994" spans="1:13" ht="20.100000000000001" customHeight="1">
      <c r="A994" s="248"/>
      <c r="B994" s="248" t="s">
        <v>4937</v>
      </c>
      <c r="C994" s="248" t="s">
        <v>4036</v>
      </c>
      <c r="D994" s="248"/>
      <c r="E994" s="248"/>
      <c r="F994" s="248"/>
      <c r="G994" s="248" t="s">
        <v>3046</v>
      </c>
      <c r="H994" s="248"/>
      <c r="I994" s="248"/>
      <c r="J994" s="248"/>
      <c r="K994" s="248"/>
      <c r="L994" s="248"/>
      <c r="M994" s="248" t="s">
        <v>3047</v>
      </c>
    </row>
    <row r="995" spans="1:13" ht="20.100000000000001" customHeight="1">
      <c r="A995" s="248"/>
      <c r="B995" s="248" t="s">
        <v>4938</v>
      </c>
      <c r="C995" s="248" t="s">
        <v>4014</v>
      </c>
      <c r="D995" s="248"/>
      <c r="E995" s="248"/>
      <c r="F995" s="248"/>
      <c r="G995" s="248" t="s">
        <v>3609</v>
      </c>
      <c r="H995" s="248"/>
      <c r="I995" s="248"/>
      <c r="J995" s="248"/>
      <c r="K995" s="248"/>
      <c r="L995" s="248"/>
      <c r="M995" s="248" t="s">
        <v>3610</v>
      </c>
    </row>
    <row r="996" spans="1:13" ht="20.100000000000001" customHeight="1">
      <c r="A996" s="248"/>
      <c r="B996" s="248" t="s">
        <v>4939</v>
      </c>
      <c r="C996" s="248" t="s">
        <v>4036</v>
      </c>
      <c r="D996" s="248"/>
      <c r="E996" s="248"/>
      <c r="F996" s="248"/>
      <c r="G996" s="248" t="s">
        <v>1414</v>
      </c>
      <c r="H996" s="248"/>
      <c r="I996" s="248"/>
      <c r="J996" s="248"/>
      <c r="K996" s="248"/>
      <c r="L996" s="248"/>
      <c r="M996" s="248" t="s">
        <v>1415</v>
      </c>
    </row>
    <row r="997" spans="1:13" ht="20.100000000000001" customHeight="1">
      <c r="A997" s="248"/>
      <c r="B997" s="248" t="s">
        <v>4940</v>
      </c>
      <c r="C997" s="248" t="s">
        <v>4016</v>
      </c>
      <c r="D997" s="248"/>
      <c r="E997" s="248"/>
      <c r="F997" s="248"/>
      <c r="G997" s="248" t="s">
        <v>1416</v>
      </c>
      <c r="H997" s="248"/>
      <c r="I997" s="248"/>
      <c r="J997" s="248"/>
      <c r="K997" s="248"/>
      <c r="L997" s="248"/>
      <c r="M997" s="248" t="s">
        <v>1417</v>
      </c>
    </row>
    <row r="998" spans="1:13" ht="20.100000000000001" customHeight="1">
      <c r="A998" s="248"/>
      <c r="B998" s="248" t="s">
        <v>4941</v>
      </c>
      <c r="C998" s="248" t="s">
        <v>4008</v>
      </c>
      <c r="D998" s="248"/>
      <c r="E998" s="248"/>
      <c r="F998" s="248"/>
      <c r="G998" s="248" t="s">
        <v>1418</v>
      </c>
      <c r="H998" s="248"/>
      <c r="I998" s="248"/>
      <c r="J998" s="248"/>
      <c r="K998" s="248"/>
      <c r="L998" s="248"/>
      <c r="M998" s="248" t="s">
        <v>1419</v>
      </c>
    </row>
    <row r="999" spans="1:13" ht="20.100000000000001" customHeight="1">
      <c r="A999" s="248"/>
      <c r="B999" s="248" t="s">
        <v>4942</v>
      </c>
      <c r="C999" s="248" t="s">
        <v>4008</v>
      </c>
      <c r="D999" s="248"/>
      <c r="E999" s="248"/>
      <c r="F999" s="248"/>
      <c r="G999" s="248" t="s">
        <v>1420</v>
      </c>
      <c r="H999" s="248"/>
      <c r="I999" s="248"/>
      <c r="J999" s="248"/>
      <c r="K999" s="248"/>
      <c r="L999" s="248"/>
      <c r="M999" s="248" t="s">
        <v>1421</v>
      </c>
    </row>
    <row r="1000" spans="1:13" ht="20.100000000000001" customHeight="1">
      <c r="A1000" s="248"/>
      <c r="B1000" s="248" t="s">
        <v>4943</v>
      </c>
      <c r="C1000" s="248" t="s">
        <v>4050</v>
      </c>
      <c r="D1000" s="248"/>
      <c r="E1000" s="248"/>
      <c r="F1000" s="248"/>
      <c r="G1000" s="248" t="s">
        <v>1422</v>
      </c>
      <c r="H1000" s="248"/>
      <c r="I1000" s="248"/>
      <c r="J1000" s="248"/>
      <c r="K1000" s="248"/>
      <c r="L1000" s="248"/>
      <c r="M1000" s="248" t="s">
        <v>1423</v>
      </c>
    </row>
    <row r="1001" spans="1:13" ht="20.100000000000001" customHeight="1">
      <c r="A1001" s="248"/>
      <c r="B1001" s="248" t="s">
        <v>4944</v>
      </c>
      <c r="C1001" s="248" t="s">
        <v>4016</v>
      </c>
      <c r="D1001" s="248"/>
      <c r="E1001" s="248"/>
      <c r="F1001" s="248"/>
      <c r="G1001" s="248" t="s">
        <v>1424</v>
      </c>
      <c r="H1001" s="248"/>
      <c r="I1001" s="248"/>
      <c r="J1001" s="248"/>
      <c r="K1001" s="248"/>
      <c r="L1001" s="248"/>
      <c r="M1001" s="248" t="s">
        <v>1425</v>
      </c>
    </row>
    <row r="1002" spans="1:13" ht="20.100000000000001" customHeight="1">
      <c r="A1002" s="248"/>
      <c r="B1002" s="248" t="s">
        <v>4945</v>
      </c>
      <c r="C1002" s="248" t="s">
        <v>4016</v>
      </c>
      <c r="D1002" s="248"/>
      <c r="E1002" s="248"/>
      <c r="F1002" s="248"/>
      <c r="G1002" s="248" t="s">
        <v>1426</v>
      </c>
      <c r="H1002" s="248"/>
      <c r="I1002" s="248"/>
      <c r="J1002" s="248"/>
      <c r="K1002" s="248"/>
      <c r="L1002" s="248"/>
      <c r="M1002" s="248" t="s">
        <v>1427</v>
      </c>
    </row>
    <row r="1003" spans="1:13" ht="20.100000000000001" customHeight="1">
      <c r="A1003" s="248"/>
      <c r="B1003" s="248" t="s">
        <v>4946</v>
      </c>
      <c r="C1003" s="248" t="s">
        <v>4016</v>
      </c>
      <c r="D1003" s="248"/>
      <c r="E1003" s="248"/>
      <c r="F1003" s="248"/>
      <c r="G1003" s="248" t="s">
        <v>1428</v>
      </c>
      <c r="H1003" s="248"/>
      <c r="I1003" s="248"/>
      <c r="J1003" s="248"/>
      <c r="K1003" s="248"/>
      <c r="L1003" s="248"/>
      <c r="M1003" s="248" t="s">
        <v>1429</v>
      </c>
    </row>
    <row r="1004" spans="1:13" ht="20.100000000000001" customHeight="1">
      <c r="A1004" s="248"/>
      <c r="B1004" s="248" t="s">
        <v>4947</v>
      </c>
      <c r="C1004" s="248" t="s">
        <v>4057</v>
      </c>
      <c r="D1004" s="248"/>
      <c r="E1004" s="248"/>
      <c r="F1004" s="248"/>
      <c r="G1004" s="248" t="s">
        <v>1430</v>
      </c>
      <c r="H1004" s="248"/>
      <c r="I1004" s="248"/>
      <c r="J1004" s="248"/>
      <c r="K1004" s="248"/>
      <c r="L1004" s="248"/>
      <c r="M1004" s="248" t="s">
        <v>1431</v>
      </c>
    </row>
    <row r="1005" spans="1:13" ht="20.100000000000001" customHeight="1">
      <c r="A1005" s="248"/>
      <c r="B1005" s="248" t="s">
        <v>4948</v>
      </c>
      <c r="C1005" s="248" t="s">
        <v>4014</v>
      </c>
      <c r="D1005" s="248"/>
      <c r="E1005" s="248"/>
      <c r="F1005" s="248"/>
      <c r="G1005" s="248" t="s">
        <v>1432</v>
      </c>
      <c r="H1005" s="248"/>
      <c r="I1005" s="248"/>
      <c r="J1005" s="248"/>
      <c r="K1005" s="248"/>
      <c r="L1005" s="248"/>
      <c r="M1005" s="248" t="s">
        <v>1433</v>
      </c>
    </row>
    <row r="1006" spans="1:13" ht="20.100000000000001" customHeight="1">
      <c r="A1006" s="248"/>
      <c r="B1006" s="248" t="s">
        <v>4949</v>
      </c>
      <c r="C1006" s="248" t="s">
        <v>4025</v>
      </c>
      <c r="D1006" s="248"/>
      <c r="E1006" s="248"/>
      <c r="F1006" s="248"/>
      <c r="G1006" s="248" t="s">
        <v>1434</v>
      </c>
      <c r="H1006" s="248"/>
      <c r="I1006" s="248"/>
      <c r="J1006" s="248"/>
      <c r="K1006" s="248"/>
      <c r="L1006" s="248"/>
      <c r="M1006" s="248" t="s">
        <v>1435</v>
      </c>
    </row>
    <row r="1007" spans="1:13" ht="20.100000000000001" customHeight="1">
      <c r="A1007" s="248"/>
      <c r="B1007" s="248" t="s">
        <v>4950</v>
      </c>
      <c r="C1007" s="248" t="s">
        <v>4030</v>
      </c>
      <c r="D1007" s="248"/>
      <c r="E1007" s="248"/>
      <c r="F1007" s="248"/>
      <c r="G1007" s="248" t="s">
        <v>1436</v>
      </c>
      <c r="H1007" s="248"/>
      <c r="I1007" s="248"/>
      <c r="J1007" s="248"/>
      <c r="K1007" s="248"/>
      <c r="L1007" s="248"/>
      <c r="M1007" s="248" t="s">
        <v>1437</v>
      </c>
    </row>
    <row r="1008" spans="1:13" ht="20.100000000000001" customHeight="1">
      <c r="A1008" s="248"/>
      <c r="B1008" s="248" t="s">
        <v>4951</v>
      </c>
      <c r="C1008" s="248" t="s">
        <v>4030</v>
      </c>
      <c r="D1008" s="248"/>
      <c r="E1008" s="248"/>
      <c r="F1008" s="248"/>
      <c r="G1008" s="248" t="s">
        <v>3055</v>
      </c>
      <c r="H1008" s="248"/>
      <c r="I1008" s="248"/>
      <c r="J1008" s="248"/>
      <c r="K1008" s="248"/>
      <c r="L1008" s="248"/>
      <c r="M1008" s="248" t="s">
        <v>3056</v>
      </c>
    </row>
    <row r="1009" spans="1:13" ht="20.100000000000001" customHeight="1">
      <c r="A1009" s="248"/>
      <c r="B1009" s="248" t="s">
        <v>4952</v>
      </c>
      <c r="C1009" s="248" t="s">
        <v>4036</v>
      </c>
      <c r="D1009" s="248"/>
      <c r="E1009" s="248"/>
      <c r="F1009" s="248"/>
      <c r="G1009" s="248" t="s">
        <v>3384</v>
      </c>
      <c r="H1009" s="248"/>
      <c r="I1009" s="248"/>
      <c r="J1009" s="248"/>
      <c r="K1009" s="248"/>
      <c r="L1009" s="248"/>
      <c r="M1009" s="248" t="s">
        <v>3550</v>
      </c>
    </row>
    <row r="1010" spans="1:13" ht="20.100000000000001" customHeight="1">
      <c r="A1010" s="248"/>
      <c r="B1010" s="248" t="s">
        <v>4953</v>
      </c>
      <c r="C1010" s="248" t="s">
        <v>4014</v>
      </c>
      <c r="D1010" s="248"/>
      <c r="E1010" s="248"/>
      <c r="F1010" s="248"/>
      <c r="G1010" s="248" t="s">
        <v>1438</v>
      </c>
      <c r="H1010" s="248"/>
      <c r="I1010" s="248"/>
      <c r="J1010" s="248"/>
      <c r="K1010" s="248"/>
      <c r="L1010" s="248"/>
      <c r="M1010" s="248" t="s">
        <v>1439</v>
      </c>
    </row>
    <row r="1011" spans="1:13" ht="20.100000000000001" customHeight="1">
      <c r="A1011" s="249"/>
      <c r="B1011" s="249" t="s">
        <v>4954</v>
      </c>
      <c r="C1011" s="250" t="s">
        <v>4014</v>
      </c>
      <c r="D1011" s="249"/>
      <c r="E1011" s="249"/>
      <c r="F1011" s="249"/>
      <c r="G1011" s="249" t="s">
        <v>1440</v>
      </c>
      <c r="H1011" s="249"/>
      <c r="I1011" s="249"/>
      <c r="J1011" s="249"/>
      <c r="K1011" s="249"/>
      <c r="L1011" s="249"/>
      <c r="M1011" s="249" t="s">
        <v>3550</v>
      </c>
    </row>
    <row r="1012" spans="1:13" ht="20.100000000000001" customHeight="1">
      <c r="A1012" s="248"/>
      <c r="B1012" s="248" t="s">
        <v>4955</v>
      </c>
      <c r="C1012" s="248" t="s">
        <v>4003</v>
      </c>
      <c r="D1012" s="248"/>
      <c r="E1012" s="248"/>
      <c r="F1012" s="248"/>
      <c r="G1012" s="248" t="s">
        <v>1441</v>
      </c>
      <c r="H1012" s="248"/>
      <c r="I1012" s="248"/>
      <c r="J1012" s="248"/>
      <c r="K1012" s="248"/>
      <c r="L1012" s="248"/>
      <c r="M1012" s="248" t="s">
        <v>1442</v>
      </c>
    </row>
    <row r="1013" spans="1:13" ht="20.100000000000001" customHeight="1">
      <c r="A1013" s="248"/>
      <c r="B1013" s="248" t="s">
        <v>4956</v>
      </c>
      <c r="C1013" s="248" t="s">
        <v>4146</v>
      </c>
      <c r="D1013" s="248"/>
      <c r="E1013" s="248"/>
      <c r="F1013" s="248"/>
      <c r="G1013" s="248" t="s">
        <v>1443</v>
      </c>
      <c r="H1013" s="248"/>
      <c r="I1013" s="248"/>
      <c r="J1013" s="248"/>
      <c r="K1013" s="248"/>
      <c r="L1013" s="248"/>
      <c r="M1013" s="248" t="s">
        <v>1444</v>
      </c>
    </row>
    <row r="1014" spans="1:13" ht="20.100000000000001" customHeight="1">
      <c r="A1014" s="248"/>
      <c r="B1014" s="248" t="s">
        <v>4957</v>
      </c>
      <c r="C1014" s="248" t="s">
        <v>4008</v>
      </c>
      <c r="D1014" s="248"/>
      <c r="E1014" s="248"/>
      <c r="F1014" s="248"/>
      <c r="G1014" s="248" t="s">
        <v>1445</v>
      </c>
      <c r="H1014" s="248"/>
      <c r="I1014" s="248"/>
      <c r="J1014" s="248"/>
      <c r="K1014" s="248"/>
      <c r="L1014" s="248"/>
      <c r="M1014" s="248" t="s">
        <v>1446</v>
      </c>
    </row>
    <row r="1015" spans="1:13" ht="20.100000000000001" customHeight="1">
      <c r="A1015" s="248"/>
      <c r="B1015" s="248" t="s">
        <v>4958</v>
      </c>
      <c r="C1015" s="248" t="s">
        <v>4853</v>
      </c>
      <c r="D1015" s="248"/>
      <c r="E1015" s="248"/>
      <c r="F1015" s="248"/>
      <c r="G1015" s="248" t="s">
        <v>1447</v>
      </c>
      <c r="H1015" s="248"/>
      <c r="I1015" s="248"/>
      <c r="J1015" s="248"/>
      <c r="K1015" s="248"/>
      <c r="L1015" s="248"/>
      <c r="M1015" s="248" t="s">
        <v>1448</v>
      </c>
    </row>
    <row r="1016" spans="1:13" ht="20.100000000000001" customHeight="1">
      <c r="A1016" s="248"/>
      <c r="B1016" s="248" t="s">
        <v>4959</v>
      </c>
      <c r="C1016" s="248" t="s">
        <v>4030</v>
      </c>
      <c r="D1016" s="248"/>
      <c r="E1016" s="248"/>
      <c r="F1016" s="248"/>
      <c r="G1016" s="248" t="s">
        <v>3990</v>
      </c>
      <c r="H1016" s="248"/>
      <c r="I1016" s="248"/>
      <c r="J1016" s="248"/>
      <c r="K1016" s="248"/>
      <c r="L1016" s="248"/>
      <c r="M1016" s="248" t="s">
        <v>815</v>
      </c>
    </row>
    <row r="1017" spans="1:13" ht="20.100000000000001" customHeight="1">
      <c r="A1017" s="248"/>
      <c r="B1017" s="248" t="s">
        <v>4960</v>
      </c>
      <c r="C1017" s="248" t="s">
        <v>4121</v>
      </c>
      <c r="D1017" s="248"/>
      <c r="E1017" s="248"/>
      <c r="F1017" s="248"/>
      <c r="G1017" s="248" t="s">
        <v>1449</v>
      </c>
      <c r="H1017" s="248"/>
      <c r="I1017" s="248"/>
      <c r="J1017" s="248"/>
      <c r="K1017" s="248"/>
      <c r="L1017" s="248"/>
      <c r="M1017" s="248" t="s">
        <v>1450</v>
      </c>
    </row>
    <row r="1018" spans="1:13" ht="20.100000000000001" customHeight="1">
      <c r="A1018" s="248"/>
      <c r="B1018" s="248" t="s">
        <v>4961</v>
      </c>
      <c r="C1018" s="248" t="s">
        <v>4016</v>
      </c>
      <c r="D1018" s="248"/>
      <c r="E1018" s="248"/>
      <c r="F1018" s="248"/>
      <c r="G1018" s="248" t="s">
        <v>1451</v>
      </c>
      <c r="H1018" s="248"/>
      <c r="I1018" s="248"/>
      <c r="J1018" s="248"/>
      <c r="K1018" s="248"/>
      <c r="L1018" s="248"/>
      <c r="M1018" s="248" t="s">
        <v>3550</v>
      </c>
    </row>
    <row r="1019" spans="1:13" ht="20.100000000000001" customHeight="1">
      <c r="A1019" s="248"/>
      <c r="B1019" s="248" t="s">
        <v>4962</v>
      </c>
      <c r="C1019" s="248" t="s">
        <v>4036</v>
      </c>
      <c r="D1019" s="248"/>
      <c r="E1019" s="248"/>
      <c r="F1019" s="248"/>
      <c r="G1019" s="248" t="s">
        <v>2986</v>
      </c>
      <c r="H1019" s="248"/>
      <c r="I1019" s="248"/>
      <c r="J1019" s="248"/>
      <c r="K1019" s="248"/>
      <c r="L1019" s="248"/>
      <c r="M1019" s="248" t="s">
        <v>3550</v>
      </c>
    </row>
    <row r="1020" spans="1:13" ht="20.100000000000001" customHeight="1">
      <c r="A1020" s="248"/>
      <c r="B1020" s="248" t="s">
        <v>6367</v>
      </c>
      <c r="C1020" s="248" t="s">
        <v>4036</v>
      </c>
      <c r="D1020" s="248"/>
      <c r="E1020" s="248"/>
      <c r="F1020" s="248"/>
      <c r="G1020" s="248" t="s">
        <v>6368</v>
      </c>
      <c r="H1020" s="248"/>
      <c r="I1020" s="248"/>
      <c r="J1020" s="248"/>
      <c r="K1020" s="248"/>
      <c r="L1020" s="248"/>
      <c r="M1020" s="248" t="s">
        <v>6369</v>
      </c>
    </row>
    <row r="1021" spans="1:13" ht="20.100000000000001" customHeight="1">
      <c r="A1021" s="248"/>
      <c r="B1021" s="248" t="s">
        <v>4963</v>
      </c>
      <c r="C1021" s="248" t="s">
        <v>4003</v>
      </c>
      <c r="D1021" s="248"/>
      <c r="E1021" s="248"/>
      <c r="F1021" s="248"/>
      <c r="G1021" s="248" t="s">
        <v>1452</v>
      </c>
      <c r="H1021" s="248"/>
      <c r="I1021" s="248"/>
      <c r="J1021" s="248"/>
      <c r="K1021" s="248"/>
      <c r="L1021" s="248"/>
      <c r="M1021" s="248" t="s">
        <v>1453</v>
      </c>
    </row>
    <row r="1022" spans="1:13" ht="20.100000000000001" customHeight="1">
      <c r="A1022" s="248"/>
      <c r="B1022" s="248" t="s">
        <v>4964</v>
      </c>
      <c r="C1022" s="248" t="s">
        <v>4003</v>
      </c>
      <c r="D1022" s="248"/>
      <c r="E1022" s="248"/>
      <c r="F1022" s="248"/>
      <c r="G1022" s="248" t="s">
        <v>1454</v>
      </c>
      <c r="H1022" s="248"/>
      <c r="I1022" s="248"/>
      <c r="J1022" s="248"/>
      <c r="K1022" s="248"/>
      <c r="L1022" s="248"/>
      <c r="M1022" s="248" t="s">
        <v>1455</v>
      </c>
    </row>
    <row r="1023" spans="1:13" ht="20.100000000000001" customHeight="1">
      <c r="A1023" s="248"/>
      <c r="B1023" s="248" t="s">
        <v>4965</v>
      </c>
      <c r="C1023" s="248" t="s">
        <v>4014</v>
      </c>
      <c r="D1023" s="248"/>
      <c r="E1023" s="248"/>
      <c r="F1023" s="248"/>
      <c r="G1023" s="248" t="s">
        <v>3565</v>
      </c>
      <c r="H1023" s="248"/>
      <c r="I1023" s="248"/>
      <c r="J1023" s="248"/>
      <c r="K1023" s="248"/>
      <c r="L1023" s="248"/>
      <c r="M1023" s="248" t="s">
        <v>1456</v>
      </c>
    </row>
    <row r="1024" spans="1:13" ht="20.100000000000001" customHeight="1">
      <c r="A1024" s="248"/>
      <c r="B1024" s="248" t="s">
        <v>4966</v>
      </c>
      <c r="C1024" s="248" t="s">
        <v>4012</v>
      </c>
      <c r="D1024" s="248"/>
      <c r="E1024" s="248"/>
      <c r="F1024" s="248"/>
      <c r="G1024" s="248" t="s">
        <v>1457</v>
      </c>
      <c r="H1024" s="248"/>
      <c r="I1024" s="248"/>
      <c r="J1024" s="248"/>
      <c r="K1024" s="248"/>
      <c r="L1024" s="248"/>
      <c r="M1024" s="248" t="s">
        <v>1458</v>
      </c>
    </row>
    <row r="1025" spans="1:13" ht="20.100000000000001" customHeight="1">
      <c r="A1025" s="248"/>
      <c r="B1025" s="248" t="s">
        <v>4967</v>
      </c>
      <c r="C1025" s="248" t="s">
        <v>4008</v>
      </c>
      <c r="D1025" s="248"/>
      <c r="E1025" s="248"/>
      <c r="F1025" s="248"/>
      <c r="G1025" s="248" t="s">
        <v>1459</v>
      </c>
      <c r="H1025" s="248"/>
      <c r="I1025" s="248"/>
      <c r="J1025" s="248"/>
      <c r="K1025" s="248"/>
      <c r="L1025" s="248"/>
      <c r="M1025" s="248" t="s">
        <v>1460</v>
      </c>
    </row>
    <row r="1026" spans="1:13" ht="20.100000000000001" customHeight="1">
      <c r="A1026" s="248"/>
      <c r="B1026" s="248" t="s">
        <v>4968</v>
      </c>
      <c r="C1026" s="248" t="s">
        <v>4008</v>
      </c>
      <c r="D1026" s="248"/>
      <c r="E1026" s="248"/>
      <c r="F1026" s="248"/>
      <c r="G1026" s="248" t="s">
        <v>3955</v>
      </c>
      <c r="H1026" s="248"/>
      <c r="I1026" s="248"/>
      <c r="J1026" s="248"/>
      <c r="K1026" s="248"/>
      <c r="L1026" s="248"/>
      <c r="M1026" s="248" t="s">
        <v>3956</v>
      </c>
    </row>
    <row r="1027" spans="1:13" ht="20.100000000000001" customHeight="1">
      <c r="A1027" s="248"/>
      <c r="B1027" s="248" t="s">
        <v>4969</v>
      </c>
      <c r="C1027" s="248" t="s">
        <v>4036</v>
      </c>
      <c r="D1027" s="248"/>
      <c r="E1027" s="248"/>
      <c r="F1027" s="248"/>
      <c r="G1027" s="248" t="s">
        <v>1461</v>
      </c>
      <c r="H1027" s="248"/>
      <c r="I1027" s="248"/>
      <c r="J1027" s="248"/>
      <c r="K1027" s="248"/>
      <c r="L1027" s="248"/>
      <c r="M1027" s="248" t="s">
        <v>1462</v>
      </c>
    </row>
    <row r="1028" spans="1:13" ht="20.100000000000001" customHeight="1">
      <c r="A1028" s="248"/>
      <c r="B1028" s="248" t="s">
        <v>4970</v>
      </c>
      <c r="C1028" s="248" t="s">
        <v>4036</v>
      </c>
      <c r="D1028" s="248"/>
      <c r="E1028" s="248"/>
      <c r="F1028" s="248"/>
      <c r="G1028" s="248" t="s">
        <v>1463</v>
      </c>
      <c r="H1028" s="248"/>
      <c r="I1028" s="248"/>
      <c r="J1028" s="248"/>
      <c r="K1028" s="248"/>
      <c r="L1028" s="248"/>
      <c r="M1028" s="248" t="s">
        <v>1464</v>
      </c>
    </row>
    <row r="1029" spans="1:13" ht="20.100000000000001" customHeight="1">
      <c r="A1029" s="248"/>
      <c r="B1029" s="248" t="s">
        <v>4971</v>
      </c>
      <c r="C1029" s="248" t="s">
        <v>4036</v>
      </c>
      <c r="D1029" s="248"/>
      <c r="E1029" s="248"/>
      <c r="F1029" s="248"/>
      <c r="G1029" s="248" t="s">
        <v>1465</v>
      </c>
      <c r="H1029" s="248"/>
      <c r="I1029" s="248"/>
      <c r="J1029" s="248"/>
      <c r="K1029" s="248"/>
      <c r="L1029" s="248"/>
      <c r="M1029" s="248" t="s">
        <v>1466</v>
      </c>
    </row>
    <row r="1030" spans="1:13" ht="20.100000000000001" customHeight="1">
      <c r="A1030" s="248"/>
      <c r="B1030" s="248" t="s">
        <v>6179</v>
      </c>
      <c r="C1030" s="248" t="s">
        <v>4008</v>
      </c>
      <c r="D1030" s="248"/>
      <c r="E1030" s="248"/>
      <c r="F1030" s="248"/>
      <c r="G1030" s="248" t="s">
        <v>1469</v>
      </c>
      <c r="H1030" s="248"/>
      <c r="I1030" s="248"/>
      <c r="J1030" s="248"/>
      <c r="K1030" s="248"/>
      <c r="L1030" s="248"/>
      <c r="M1030" s="248" t="s">
        <v>1470</v>
      </c>
    </row>
    <row r="1031" spans="1:13" ht="20.100000000000001" customHeight="1">
      <c r="A1031" s="248"/>
      <c r="B1031" s="248" t="s">
        <v>6180</v>
      </c>
      <c r="C1031" s="248" t="s">
        <v>4008</v>
      </c>
      <c r="D1031" s="248"/>
      <c r="E1031" s="248"/>
      <c r="F1031" s="248"/>
      <c r="G1031" s="248" t="s">
        <v>6181</v>
      </c>
      <c r="H1031" s="248"/>
      <c r="I1031" s="248"/>
      <c r="J1031" s="248"/>
      <c r="K1031" s="248"/>
      <c r="L1031" s="248"/>
      <c r="M1031" s="248" t="s">
        <v>6182</v>
      </c>
    </row>
    <row r="1032" spans="1:13" ht="20.100000000000001" customHeight="1">
      <c r="A1032" s="248"/>
      <c r="B1032" s="248" t="s">
        <v>4972</v>
      </c>
      <c r="C1032" s="248" t="s">
        <v>4036</v>
      </c>
      <c r="D1032" s="248"/>
      <c r="E1032" s="248"/>
      <c r="F1032" s="248"/>
      <c r="G1032" s="248" t="s">
        <v>1467</v>
      </c>
      <c r="H1032" s="248"/>
      <c r="I1032" s="248"/>
      <c r="J1032" s="248"/>
      <c r="K1032" s="248"/>
      <c r="L1032" s="248"/>
      <c r="M1032" s="248" t="s">
        <v>1468</v>
      </c>
    </row>
    <row r="1033" spans="1:13" ht="20.100000000000001" customHeight="1">
      <c r="A1033" s="248"/>
      <c r="B1033" s="248" t="s">
        <v>4973</v>
      </c>
      <c r="C1033" s="248" t="s">
        <v>4025</v>
      </c>
      <c r="D1033" s="248"/>
      <c r="E1033" s="248"/>
      <c r="F1033" s="248"/>
      <c r="G1033" s="248" t="s">
        <v>1471</v>
      </c>
      <c r="H1033" s="248"/>
      <c r="I1033" s="248"/>
      <c r="J1033" s="248"/>
      <c r="K1033" s="248"/>
      <c r="L1033" s="248"/>
      <c r="M1033" s="248" t="s">
        <v>1472</v>
      </c>
    </row>
    <row r="1034" spans="1:13" ht="20.100000000000001" customHeight="1">
      <c r="A1034" s="248"/>
      <c r="B1034" s="248" t="s">
        <v>4974</v>
      </c>
      <c r="C1034" s="248" t="s">
        <v>4003</v>
      </c>
      <c r="D1034" s="248"/>
      <c r="E1034" s="248"/>
      <c r="F1034" s="248"/>
      <c r="G1034" s="248" t="s">
        <v>1473</v>
      </c>
      <c r="H1034" s="248"/>
      <c r="I1034" s="248"/>
      <c r="J1034" s="248"/>
      <c r="K1034" s="248"/>
      <c r="L1034" s="248"/>
      <c r="M1034" s="248" t="s">
        <v>1474</v>
      </c>
    </row>
    <row r="1035" spans="1:13" ht="20.100000000000001" customHeight="1">
      <c r="A1035" s="248"/>
      <c r="B1035" s="248" t="s">
        <v>4975</v>
      </c>
      <c r="C1035" s="248" t="s">
        <v>4853</v>
      </c>
      <c r="D1035" s="248"/>
      <c r="E1035" s="248"/>
      <c r="F1035" s="248"/>
      <c r="G1035" s="248" t="s">
        <v>1475</v>
      </c>
      <c r="H1035" s="248"/>
      <c r="I1035" s="248"/>
      <c r="J1035" s="248"/>
      <c r="K1035" s="248"/>
      <c r="L1035" s="248"/>
      <c r="M1035" s="248" t="s">
        <v>1476</v>
      </c>
    </row>
    <row r="1036" spans="1:13" ht="20.100000000000001" customHeight="1">
      <c r="A1036" s="248"/>
      <c r="B1036" s="248" t="s">
        <v>4976</v>
      </c>
      <c r="C1036" s="248" t="s">
        <v>4016</v>
      </c>
      <c r="D1036" s="248"/>
      <c r="E1036" s="248"/>
      <c r="F1036" s="248"/>
      <c r="G1036" s="248" t="s">
        <v>3601</v>
      </c>
      <c r="H1036" s="248"/>
      <c r="I1036" s="248"/>
      <c r="J1036" s="248"/>
      <c r="K1036" s="248"/>
      <c r="L1036" s="248"/>
      <c r="M1036" s="248" t="s">
        <v>3602</v>
      </c>
    </row>
    <row r="1037" spans="1:13" ht="20.100000000000001" customHeight="1">
      <c r="A1037" s="248"/>
      <c r="B1037" s="248" t="s">
        <v>4977</v>
      </c>
      <c r="C1037" s="248" t="s">
        <v>4030</v>
      </c>
      <c r="D1037" s="248"/>
      <c r="E1037" s="248"/>
      <c r="F1037" s="248"/>
      <c r="G1037" s="248" t="s">
        <v>1477</v>
      </c>
      <c r="H1037" s="248"/>
      <c r="I1037" s="248"/>
      <c r="J1037" s="248"/>
      <c r="K1037" s="248"/>
      <c r="L1037" s="248"/>
      <c r="M1037" s="248" t="s">
        <v>1478</v>
      </c>
    </row>
    <row r="1038" spans="1:13" ht="20.100000000000001" customHeight="1">
      <c r="A1038" s="248"/>
      <c r="B1038" s="248" t="s">
        <v>4978</v>
      </c>
      <c r="C1038" s="248" t="s">
        <v>4036</v>
      </c>
      <c r="D1038" s="248"/>
      <c r="E1038" s="248"/>
      <c r="F1038" s="248"/>
      <c r="G1038" s="248" t="s">
        <v>3302</v>
      </c>
      <c r="H1038" s="248"/>
      <c r="I1038" s="248"/>
      <c r="J1038" s="248"/>
      <c r="K1038" s="248"/>
      <c r="L1038" s="248"/>
      <c r="M1038" s="248" t="s">
        <v>3550</v>
      </c>
    </row>
    <row r="1039" spans="1:13" ht="20.100000000000001" customHeight="1">
      <c r="A1039" s="248"/>
      <c r="B1039" s="248" t="s">
        <v>4979</v>
      </c>
      <c r="C1039" s="248" t="s">
        <v>4016</v>
      </c>
      <c r="D1039" s="248"/>
      <c r="E1039" s="248"/>
      <c r="F1039" s="248"/>
      <c r="G1039" s="248" t="s">
        <v>1479</v>
      </c>
      <c r="H1039" s="248"/>
      <c r="I1039" s="248"/>
      <c r="J1039" s="248"/>
      <c r="K1039" s="248"/>
      <c r="L1039" s="248"/>
      <c r="M1039" s="248" t="s">
        <v>1480</v>
      </c>
    </row>
    <row r="1040" spans="1:13" ht="20.100000000000001" customHeight="1">
      <c r="A1040" s="248"/>
      <c r="B1040" s="248" t="s">
        <v>4980</v>
      </c>
      <c r="C1040" s="248" t="s">
        <v>4012</v>
      </c>
      <c r="D1040" s="248"/>
      <c r="E1040" s="248"/>
      <c r="F1040" s="248"/>
      <c r="G1040" s="248" t="s">
        <v>1481</v>
      </c>
      <c r="H1040" s="248"/>
      <c r="I1040" s="248"/>
      <c r="J1040" s="248"/>
      <c r="K1040" s="248"/>
      <c r="L1040" s="248"/>
      <c r="M1040" s="248" t="s">
        <v>1482</v>
      </c>
    </row>
    <row r="1041" spans="1:13" ht="20.100000000000001" customHeight="1">
      <c r="A1041" s="248"/>
      <c r="B1041" s="248" t="s">
        <v>4981</v>
      </c>
      <c r="C1041" s="248" t="s">
        <v>4030</v>
      </c>
      <c r="D1041" s="248"/>
      <c r="E1041" s="248"/>
      <c r="F1041" s="248"/>
      <c r="G1041" s="248" t="s">
        <v>1483</v>
      </c>
      <c r="H1041" s="248"/>
      <c r="I1041" s="248"/>
      <c r="J1041" s="248"/>
      <c r="K1041" s="248"/>
      <c r="L1041" s="248"/>
      <c r="M1041" s="248" t="s">
        <v>3212</v>
      </c>
    </row>
    <row r="1042" spans="1:13" ht="20.100000000000001" customHeight="1">
      <c r="A1042" s="248"/>
      <c r="B1042" s="248" t="s">
        <v>4982</v>
      </c>
      <c r="C1042" s="248" t="s">
        <v>4016</v>
      </c>
      <c r="D1042" s="248"/>
      <c r="E1042" s="248"/>
      <c r="F1042" s="248"/>
      <c r="G1042" s="248" t="s">
        <v>1484</v>
      </c>
      <c r="H1042" s="248"/>
      <c r="I1042" s="248"/>
      <c r="J1042" s="248"/>
      <c r="K1042" s="248"/>
      <c r="L1042" s="248"/>
      <c r="M1042" s="248" t="s">
        <v>1485</v>
      </c>
    </row>
    <row r="1043" spans="1:13" ht="20.100000000000001" customHeight="1">
      <c r="A1043" s="248"/>
      <c r="B1043" s="248" t="s">
        <v>4983</v>
      </c>
      <c r="C1043" s="248" t="s">
        <v>4057</v>
      </c>
      <c r="D1043" s="248"/>
      <c r="E1043" s="248"/>
      <c r="F1043" s="248"/>
      <c r="G1043" s="248" t="s">
        <v>1486</v>
      </c>
      <c r="H1043" s="248"/>
      <c r="I1043" s="248"/>
      <c r="J1043" s="248"/>
      <c r="K1043" s="248"/>
      <c r="L1043" s="248"/>
      <c r="M1043" s="248" t="s">
        <v>1487</v>
      </c>
    </row>
    <row r="1044" spans="1:13" ht="20.100000000000001" customHeight="1">
      <c r="A1044" s="248"/>
      <c r="B1044" s="248" t="s">
        <v>4984</v>
      </c>
      <c r="C1044" s="248" t="s">
        <v>4124</v>
      </c>
      <c r="D1044" s="248"/>
      <c r="E1044" s="248"/>
      <c r="F1044" s="248"/>
      <c r="G1044" s="248" t="s">
        <v>1488</v>
      </c>
      <c r="H1044" s="248"/>
      <c r="I1044" s="248"/>
      <c r="J1044" s="248"/>
      <c r="K1044" s="248"/>
      <c r="L1044" s="248"/>
      <c r="M1044" s="248" t="s">
        <v>1489</v>
      </c>
    </row>
    <row r="1045" spans="1:13" ht="20.100000000000001" customHeight="1">
      <c r="A1045" s="248"/>
      <c r="B1045" s="248" t="s">
        <v>4985</v>
      </c>
      <c r="C1045" s="248" t="s">
        <v>4008</v>
      </c>
      <c r="D1045" s="248"/>
      <c r="E1045" s="248"/>
      <c r="F1045" s="248"/>
      <c r="G1045" s="248" t="s">
        <v>1490</v>
      </c>
      <c r="H1045" s="248"/>
      <c r="I1045" s="248"/>
      <c r="J1045" s="248"/>
      <c r="K1045" s="248"/>
      <c r="L1045" s="248"/>
      <c r="M1045" s="248" t="s">
        <v>3550</v>
      </c>
    </row>
    <row r="1046" spans="1:13" ht="20.100000000000001" customHeight="1">
      <c r="A1046" s="248"/>
      <c r="B1046" s="248" t="s">
        <v>4986</v>
      </c>
      <c r="C1046" s="248" t="s">
        <v>4014</v>
      </c>
      <c r="D1046" s="248"/>
      <c r="E1046" s="248"/>
      <c r="F1046" s="248"/>
      <c r="G1046" s="248" t="s">
        <v>1491</v>
      </c>
      <c r="H1046" s="248"/>
      <c r="I1046" s="248"/>
      <c r="J1046" s="248"/>
      <c r="K1046" s="248"/>
      <c r="L1046" s="248"/>
      <c r="M1046" s="248" t="s">
        <v>1492</v>
      </c>
    </row>
    <row r="1047" spans="1:13" ht="20.100000000000001" customHeight="1">
      <c r="A1047" s="248"/>
      <c r="B1047" s="248" t="s">
        <v>4987</v>
      </c>
      <c r="C1047" s="248" t="s">
        <v>4005</v>
      </c>
      <c r="D1047" s="248"/>
      <c r="E1047" s="248"/>
      <c r="F1047" s="248"/>
      <c r="G1047" s="248" t="s">
        <v>1493</v>
      </c>
      <c r="H1047" s="248"/>
      <c r="I1047" s="248"/>
      <c r="J1047" s="248"/>
      <c r="K1047" s="248"/>
      <c r="L1047" s="248"/>
      <c r="M1047" s="248" t="s">
        <v>1494</v>
      </c>
    </row>
    <row r="1048" spans="1:13" ht="20.100000000000001" customHeight="1">
      <c r="A1048" s="249"/>
      <c r="B1048" s="249" t="s">
        <v>4988</v>
      </c>
      <c r="C1048" s="250" t="s">
        <v>4014</v>
      </c>
      <c r="D1048" s="249"/>
      <c r="E1048" s="249"/>
      <c r="F1048" s="249"/>
      <c r="G1048" s="249" t="s">
        <v>3101</v>
      </c>
      <c r="H1048" s="249"/>
      <c r="I1048" s="249"/>
      <c r="J1048" s="249"/>
      <c r="K1048" s="249"/>
      <c r="L1048" s="249"/>
      <c r="M1048" s="249" t="s">
        <v>3102</v>
      </c>
    </row>
    <row r="1049" spans="1:13" ht="20.100000000000001" customHeight="1">
      <c r="A1049" s="248"/>
      <c r="B1049" s="248" t="s">
        <v>4989</v>
      </c>
      <c r="C1049" s="248" t="s">
        <v>4016</v>
      </c>
      <c r="D1049" s="248"/>
      <c r="E1049" s="248"/>
      <c r="F1049" s="248"/>
      <c r="G1049" s="248" t="s">
        <v>1495</v>
      </c>
      <c r="H1049" s="248"/>
      <c r="I1049" s="248"/>
      <c r="J1049" s="248"/>
      <c r="K1049" s="248"/>
      <c r="L1049" s="248"/>
      <c r="M1049" s="248" t="s">
        <v>1496</v>
      </c>
    </row>
    <row r="1050" spans="1:13" ht="20.100000000000001" customHeight="1">
      <c r="A1050" s="248"/>
      <c r="B1050" s="248" t="s">
        <v>4990</v>
      </c>
      <c r="C1050" s="248" t="s">
        <v>4025</v>
      </c>
      <c r="D1050" s="248"/>
      <c r="E1050" s="248"/>
      <c r="F1050" s="248"/>
      <c r="G1050" s="248" t="s">
        <v>1497</v>
      </c>
      <c r="H1050" s="248"/>
      <c r="I1050" s="248"/>
      <c r="J1050" s="248"/>
      <c r="K1050" s="248"/>
      <c r="L1050" s="248"/>
      <c r="M1050" s="248" t="s">
        <v>1498</v>
      </c>
    </row>
    <row r="1051" spans="1:13" ht="20.100000000000001" customHeight="1">
      <c r="A1051" s="248"/>
      <c r="B1051" s="248" t="s">
        <v>4991</v>
      </c>
      <c r="C1051" s="248" t="s">
        <v>4014</v>
      </c>
      <c r="D1051" s="248"/>
      <c r="E1051" s="248"/>
      <c r="F1051" s="248"/>
      <c r="G1051" s="248" t="s">
        <v>1499</v>
      </c>
      <c r="H1051" s="248"/>
      <c r="I1051" s="248"/>
      <c r="J1051" s="248"/>
      <c r="K1051" s="248"/>
      <c r="L1051" s="248"/>
      <c r="M1051" s="248" t="s">
        <v>3758</v>
      </c>
    </row>
    <row r="1052" spans="1:13" ht="20.100000000000001" customHeight="1">
      <c r="A1052" s="248"/>
      <c r="B1052" s="248" t="s">
        <v>4992</v>
      </c>
      <c r="C1052" s="248" t="s">
        <v>4036</v>
      </c>
      <c r="D1052" s="248"/>
      <c r="E1052" s="248"/>
      <c r="F1052" s="248"/>
      <c r="G1052" s="248" t="s">
        <v>1500</v>
      </c>
      <c r="H1052" s="248"/>
      <c r="I1052" s="248"/>
      <c r="J1052" s="248"/>
      <c r="K1052" s="248"/>
      <c r="L1052" s="248"/>
      <c r="M1052" s="248" t="s">
        <v>3791</v>
      </c>
    </row>
    <row r="1053" spans="1:13" ht="20.100000000000001" customHeight="1">
      <c r="A1053" s="248"/>
      <c r="B1053" s="248" t="s">
        <v>4993</v>
      </c>
      <c r="C1053" s="248" t="s">
        <v>4121</v>
      </c>
      <c r="D1053" s="248"/>
      <c r="E1053" s="248"/>
      <c r="F1053" s="248"/>
      <c r="G1053" s="248" t="s">
        <v>3322</v>
      </c>
      <c r="H1053" s="248"/>
      <c r="I1053" s="248"/>
      <c r="J1053" s="248"/>
      <c r="K1053" s="248"/>
      <c r="L1053" s="248"/>
      <c r="M1053" s="248" t="s">
        <v>3550</v>
      </c>
    </row>
    <row r="1054" spans="1:13" ht="20.100000000000001" customHeight="1">
      <c r="A1054" s="249"/>
      <c r="B1054" s="249" t="s">
        <v>4994</v>
      </c>
      <c r="C1054" s="250" t="s">
        <v>4030</v>
      </c>
      <c r="D1054" s="249"/>
      <c r="E1054" s="249"/>
      <c r="F1054" s="249"/>
      <c r="G1054" s="249" t="s">
        <v>1501</v>
      </c>
      <c r="H1054" s="249"/>
      <c r="I1054" s="249"/>
      <c r="J1054" s="249"/>
      <c r="K1054" s="249"/>
      <c r="L1054" s="249"/>
      <c r="M1054" s="249" t="s">
        <v>1502</v>
      </c>
    </row>
    <row r="1055" spans="1:13" ht="20.100000000000001" customHeight="1">
      <c r="A1055" s="248"/>
      <c r="B1055" s="248" t="s">
        <v>4995</v>
      </c>
      <c r="C1055" s="248" t="s">
        <v>4121</v>
      </c>
      <c r="D1055" s="248"/>
      <c r="E1055" s="248"/>
      <c r="F1055" s="248"/>
      <c r="G1055" s="248" t="s">
        <v>1503</v>
      </c>
      <c r="H1055" s="248"/>
      <c r="I1055" s="248"/>
      <c r="J1055" s="248"/>
      <c r="K1055" s="248"/>
      <c r="L1055" s="248"/>
      <c r="M1055" s="248" t="s">
        <v>1504</v>
      </c>
    </row>
    <row r="1056" spans="1:13" ht="20.100000000000001" customHeight="1">
      <c r="A1056" s="248"/>
      <c r="B1056" s="248" t="s">
        <v>4996</v>
      </c>
      <c r="C1056" s="248" t="s">
        <v>4146</v>
      </c>
      <c r="D1056" s="248"/>
      <c r="E1056" s="248"/>
      <c r="F1056" s="248"/>
      <c r="G1056" s="248" t="s">
        <v>1505</v>
      </c>
      <c r="H1056" s="248"/>
      <c r="I1056" s="248"/>
      <c r="J1056" s="248"/>
      <c r="K1056" s="248"/>
      <c r="L1056" s="248"/>
      <c r="M1056" s="248" t="s">
        <v>1506</v>
      </c>
    </row>
    <row r="1057" spans="1:13" ht="20.100000000000001" customHeight="1">
      <c r="A1057" s="248"/>
      <c r="B1057" s="248" t="s">
        <v>4997</v>
      </c>
      <c r="C1057" s="248" t="s">
        <v>4036</v>
      </c>
      <c r="D1057" s="248"/>
      <c r="E1057" s="248"/>
      <c r="F1057" s="248"/>
      <c r="G1057" s="248" t="s">
        <v>3727</v>
      </c>
      <c r="H1057" s="248"/>
      <c r="I1057" s="248"/>
      <c r="J1057" s="248"/>
      <c r="K1057" s="248"/>
      <c r="L1057" s="248"/>
      <c r="M1057" s="248" t="s">
        <v>3728</v>
      </c>
    </row>
    <row r="1058" spans="1:13" ht="20.100000000000001" customHeight="1">
      <c r="A1058" s="248"/>
      <c r="B1058" s="248" t="s">
        <v>4998</v>
      </c>
      <c r="C1058" s="248" t="s">
        <v>4012</v>
      </c>
      <c r="D1058" s="248"/>
      <c r="E1058" s="248"/>
      <c r="F1058" s="248"/>
      <c r="G1058" s="248" t="s">
        <v>1507</v>
      </c>
      <c r="H1058" s="248"/>
      <c r="I1058" s="248"/>
      <c r="J1058" s="248"/>
      <c r="K1058" s="248"/>
      <c r="L1058" s="248"/>
      <c r="M1058" s="248" t="s">
        <v>1508</v>
      </c>
    </row>
    <row r="1059" spans="1:13" ht="20.100000000000001" customHeight="1">
      <c r="A1059" s="248"/>
      <c r="B1059" s="248" t="s">
        <v>4999</v>
      </c>
      <c r="C1059" s="248" t="s">
        <v>4036</v>
      </c>
      <c r="D1059" s="248"/>
      <c r="E1059" s="248"/>
      <c r="F1059" s="248"/>
      <c r="G1059" s="248" t="s">
        <v>3421</v>
      </c>
      <c r="H1059" s="248"/>
      <c r="I1059" s="248"/>
      <c r="J1059" s="248"/>
      <c r="K1059" s="248"/>
      <c r="L1059" s="248"/>
      <c r="M1059" s="248" t="s">
        <v>196</v>
      </c>
    </row>
    <row r="1060" spans="1:13" ht="20.100000000000001" customHeight="1">
      <c r="A1060" s="248"/>
      <c r="B1060" s="248" t="s">
        <v>6442</v>
      </c>
      <c r="C1060" s="248" t="s">
        <v>4008</v>
      </c>
      <c r="D1060" s="248"/>
      <c r="E1060" s="248"/>
      <c r="F1060" s="248"/>
      <c r="G1060" s="248" t="s">
        <v>6443</v>
      </c>
      <c r="H1060" s="248"/>
      <c r="I1060" s="248"/>
      <c r="J1060" s="248"/>
      <c r="K1060" s="248"/>
      <c r="L1060" s="248"/>
      <c r="M1060" s="248" t="s">
        <v>1654</v>
      </c>
    </row>
    <row r="1061" spans="1:13" ht="20.100000000000001" customHeight="1">
      <c r="A1061" s="248"/>
      <c r="B1061" s="248" t="s">
        <v>5000</v>
      </c>
      <c r="C1061" s="248" t="s">
        <v>4003</v>
      </c>
      <c r="D1061" s="248"/>
      <c r="E1061" s="248"/>
      <c r="F1061" s="248"/>
      <c r="G1061" s="248" t="s">
        <v>3288</v>
      </c>
      <c r="H1061" s="248"/>
      <c r="I1061" s="248"/>
      <c r="J1061" s="248"/>
      <c r="K1061" s="248"/>
      <c r="L1061" s="248"/>
      <c r="M1061" s="248" t="s">
        <v>3289</v>
      </c>
    </row>
    <row r="1062" spans="1:13" ht="20.100000000000001" customHeight="1">
      <c r="A1062" s="248"/>
      <c r="B1062" s="248" t="s">
        <v>5001</v>
      </c>
      <c r="C1062" s="248" t="s">
        <v>4014</v>
      </c>
      <c r="D1062" s="248"/>
      <c r="E1062" s="248"/>
      <c r="F1062" s="248"/>
      <c r="G1062" s="248" t="s">
        <v>3843</v>
      </c>
      <c r="H1062" s="248"/>
      <c r="I1062" s="248"/>
      <c r="J1062" s="248"/>
      <c r="K1062" s="248"/>
      <c r="L1062" s="248"/>
      <c r="M1062" s="248" t="s">
        <v>3844</v>
      </c>
    </row>
    <row r="1063" spans="1:13" ht="20.100000000000001" customHeight="1">
      <c r="A1063" s="248"/>
      <c r="B1063" s="248" t="s">
        <v>5002</v>
      </c>
      <c r="C1063" s="248" t="s">
        <v>4008</v>
      </c>
      <c r="D1063" s="248"/>
      <c r="E1063" s="248"/>
      <c r="F1063" s="248"/>
      <c r="G1063" s="248" t="s">
        <v>3991</v>
      </c>
      <c r="H1063" s="248"/>
      <c r="I1063" s="248"/>
      <c r="J1063" s="248"/>
      <c r="K1063" s="248"/>
      <c r="L1063" s="248"/>
      <c r="M1063" s="248" t="s">
        <v>3992</v>
      </c>
    </row>
    <row r="1064" spans="1:13" ht="20.100000000000001" customHeight="1">
      <c r="A1064" s="248"/>
      <c r="B1064" s="248" t="s">
        <v>5003</v>
      </c>
      <c r="C1064" s="248" t="s">
        <v>4014</v>
      </c>
      <c r="D1064" s="248"/>
      <c r="E1064" s="248"/>
      <c r="F1064" s="248"/>
      <c r="G1064" s="248" t="s">
        <v>1509</v>
      </c>
      <c r="H1064" s="248"/>
      <c r="I1064" s="248"/>
      <c r="J1064" s="248"/>
      <c r="K1064" s="248"/>
      <c r="L1064" s="248"/>
      <c r="M1064" s="248" t="s">
        <v>1510</v>
      </c>
    </row>
    <row r="1065" spans="1:13" ht="20.100000000000001" customHeight="1">
      <c r="A1065" s="248"/>
      <c r="B1065" s="248" t="s">
        <v>5004</v>
      </c>
      <c r="C1065" s="248" t="s">
        <v>4121</v>
      </c>
      <c r="D1065" s="248"/>
      <c r="E1065" s="248"/>
      <c r="F1065" s="248"/>
      <c r="G1065" s="248" t="s">
        <v>1511</v>
      </c>
      <c r="H1065" s="248"/>
      <c r="I1065" s="248"/>
      <c r="J1065" s="248"/>
      <c r="K1065" s="248"/>
      <c r="L1065" s="248"/>
      <c r="M1065" s="248" t="s">
        <v>1512</v>
      </c>
    </row>
    <row r="1066" spans="1:13" ht="20.100000000000001" customHeight="1">
      <c r="A1066" s="249"/>
      <c r="B1066" s="249" t="s">
        <v>5005</v>
      </c>
      <c r="C1066" s="250" t="s">
        <v>4036</v>
      </c>
      <c r="D1066" s="249"/>
      <c r="E1066" s="249"/>
      <c r="F1066" s="249"/>
      <c r="G1066" s="249" t="s">
        <v>3845</v>
      </c>
      <c r="H1066" s="249"/>
      <c r="I1066" s="249"/>
      <c r="J1066" s="249"/>
      <c r="K1066" s="249"/>
      <c r="L1066" s="249"/>
      <c r="M1066" s="249" t="s">
        <v>3846</v>
      </c>
    </row>
    <row r="1067" spans="1:13" ht="20.100000000000001" customHeight="1">
      <c r="A1067" s="248"/>
      <c r="B1067" s="248" t="s">
        <v>6370</v>
      </c>
      <c r="C1067" s="248" t="s">
        <v>4036</v>
      </c>
      <c r="D1067" s="248"/>
      <c r="E1067" s="248"/>
      <c r="F1067" s="248"/>
      <c r="G1067" s="248" t="s">
        <v>6371</v>
      </c>
      <c r="H1067" s="248"/>
      <c r="I1067" s="248"/>
      <c r="J1067" s="248"/>
      <c r="K1067" s="248"/>
      <c r="L1067" s="248"/>
      <c r="M1067" s="248" t="s">
        <v>3550</v>
      </c>
    </row>
    <row r="1068" spans="1:13" ht="20.100000000000001" customHeight="1">
      <c r="A1068" s="248"/>
      <c r="B1068" s="248" t="s">
        <v>5006</v>
      </c>
      <c r="C1068" s="248" t="s">
        <v>4036</v>
      </c>
      <c r="D1068" s="248"/>
      <c r="E1068" s="248"/>
      <c r="F1068" s="248"/>
      <c r="G1068" s="248" t="s">
        <v>1513</v>
      </c>
      <c r="H1068" s="248"/>
      <c r="I1068" s="248"/>
      <c r="J1068" s="248"/>
      <c r="K1068" s="248"/>
      <c r="L1068" s="248"/>
      <c r="M1068" s="248" t="s">
        <v>1514</v>
      </c>
    </row>
    <row r="1069" spans="1:13" ht="20.100000000000001" customHeight="1">
      <c r="A1069" s="248"/>
      <c r="B1069" s="248" t="s">
        <v>5007</v>
      </c>
      <c r="C1069" s="248" t="s">
        <v>4014</v>
      </c>
      <c r="D1069" s="248"/>
      <c r="E1069" s="248"/>
      <c r="F1069" s="248"/>
      <c r="G1069" s="248" t="s">
        <v>1515</v>
      </c>
      <c r="H1069" s="248"/>
      <c r="I1069" s="248"/>
      <c r="J1069" s="248"/>
      <c r="K1069" s="248"/>
      <c r="L1069" s="248"/>
      <c r="M1069" s="248" t="s">
        <v>1516</v>
      </c>
    </row>
    <row r="1070" spans="1:13" ht="20.100000000000001" customHeight="1">
      <c r="A1070" s="248"/>
      <c r="B1070" s="248" t="s">
        <v>6250</v>
      </c>
      <c r="C1070" s="248" t="s">
        <v>4036</v>
      </c>
      <c r="D1070" s="248"/>
      <c r="E1070" s="248"/>
      <c r="F1070" s="248"/>
      <c r="G1070" s="248" t="s">
        <v>3333</v>
      </c>
      <c r="H1070" s="248"/>
      <c r="I1070" s="248"/>
      <c r="J1070" s="248"/>
      <c r="K1070" s="248"/>
      <c r="L1070" s="248"/>
      <c r="M1070" s="248" t="s">
        <v>6251</v>
      </c>
    </row>
    <row r="1071" spans="1:13" ht="20.100000000000001" customHeight="1">
      <c r="A1071" s="248"/>
      <c r="B1071" s="248" t="s">
        <v>5008</v>
      </c>
      <c r="C1071" s="248" t="s">
        <v>4016</v>
      </c>
      <c r="D1071" s="248"/>
      <c r="E1071" s="248"/>
      <c r="F1071" s="248"/>
      <c r="G1071" s="248" t="s">
        <v>1517</v>
      </c>
      <c r="H1071" s="248"/>
      <c r="I1071" s="248"/>
      <c r="J1071" s="248"/>
      <c r="K1071" s="248"/>
      <c r="L1071" s="248"/>
      <c r="M1071" s="248" t="s">
        <v>1518</v>
      </c>
    </row>
    <row r="1072" spans="1:13" ht="20.100000000000001" customHeight="1">
      <c r="A1072" s="248"/>
      <c r="B1072" s="248" t="s">
        <v>5009</v>
      </c>
      <c r="C1072" s="248" t="s">
        <v>4025</v>
      </c>
      <c r="D1072" s="248"/>
      <c r="E1072" s="248"/>
      <c r="F1072" s="248"/>
      <c r="G1072" s="248" t="s">
        <v>1519</v>
      </c>
      <c r="H1072" s="248"/>
      <c r="I1072" s="248"/>
      <c r="J1072" s="248"/>
      <c r="K1072" s="248"/>
      <c r="L1072" s="248"/>
      <c r="M1072" s="248" t="s">
        <v>1520</v>
      </c>
    </row>
    <row r="1073" spans="1:13" ht="20.100000000000001" customHeight="1">
      <c r="A1073" s="248"/>
      <c r="B1073" s="248" t="s">
        <v>5010</v>
      </c>
      <c r="C1073" s="248" t="s">
        <v>4003</v>
      </c>
      <c r="D1073" s="248"/>
      <c r="E1073" s="248"/>
      <c r="F1073" s="248"/>
      <c r="G1073" s="248" t="s">
        <v>1521</v>
      </c>
      <c r="H1073" s="248"/>
      <c r="I1073" s="248"/>
      <c r="J1073" s="248"/>
      <c r="K1073" s="248"/>
      <c r="L1073" s="248"/>
      <c r="M1073" s="248" t="s">
        <v>1522</v>
      </c>
    </row>
    <row r="1074" spans="1:13" ht="20.100000000000001" customHeight="1">
      <c r="A1074" s="248"/>
      <c r="B1074" s="248" t="s">
        <v>5011</v>
      </c>
      <c r="C1074" s="248" t="s">
        <v>4008</v>
      </c>
      <c r="D1074" s="248"/>
      <c r="E1074" s="248"/>
      <c r="F1074" s="248"/>
      <c r="G1074" s="248" t="s">
        <v>1523</v>
      </c>
      <c r="H1074" s="248"/>
      <c r="I1074" s="248"/>
      <c r="J1074" s="248"/>
      <c r="K1074" s="248"/>
      <c r="L1074" s="248"/>
      <c r="M1074" s="248" t="s">
        <v>1524</v>
      </c>
    </row>
    <row r="1075" spans="1:13" ht="20.100000000000001" customHeight="1">
      <c r="A1075" s="248"/>
      <c r="B1075" s="248" t="s">
        <v>5012</v>
      </c>
      <c r="C1075" s="248" t="s">
        <v>4016</v>
      </c>
      <c r="D1075" s="248"/>
      <c r="E1075" s="248"/>
      <c r="F1075" s="248"/>
      <c r="G1075" s="248" t="s">
        <v>3912</v>
      </c>
      <c r="H1075" s="248"/>
      <c r="I1075" s="248"/>
      <c r="J1075" s="248"/>
      <c r="K1075" s="248"/>
      <c r="L1075" s="248"/>
      <c r="M1075" s="248" t="s">
        <v>3913</v>
      </c>
    </row>
    <row r="1076" spans="1:13" ht="20.100000000000001" customHeight="1">
      <c r="A1076" s="248"/>
      <c r="B1076" s="248" t="s">
        <v>5013</v>
      </c>
      <c r="C1076" s="248" t="s">
        <v>4036</v>
      </c>
      <c r="D1076" s="248"/>
      <c r="E1076" s="248"/>
      <c r="F1076" s="248"/>
      <c r="G1076" s="248" t="s">
        <v>1525</v>
      </c>
      <c r="H1076" s="248"/>
      <c r="I1076" s="248"/>
      <c r="J1076" s="248"/>
      <c r="K1076" s="248"/>
      <c r="L1076" s="248"/>
      <c r="M1076" s="248" t="s">
        <v>1526</v>
      </c>
    </row>
    <row r="1077" spans="1:13" ht="20.100000000000001" customHeight="1">
      <c r="A1077" s="248"/>
      <c r="B1077" s="248" t="s">
        <v>5014</v>
      </c>
      <c r="C1077" s="248" t="s">
        <v>4008</v>
      </c>
      <c r="D1077" s="248"/>
      <c r="E1077" s="248"/>
      <c r="F1077" s="248"/>
      <c r="G1077" s="248" t="s">
        <v>1527</v>
      </c>
      <c r="H1077" s="248"/>
      <c r="I1077" s="248"/>
      <c r="J1077" s="248"/>
      <c r="K1077" s="248"/>
      <c r="L1077" s="248"/>
      <c r="M1077" s="248" t="s">
        <v>1528</v>
      </c>
    </row>
    <row r="1078" spans="1:13" ht="20.100000000000001" customHeight="1">
      <c r="A1078" s="248"/>
      <c r="B1078" s="248" t="s">
        <v>5015</v>
      </c>
      <c r="C1078" s="248" t="s">
        <v>4025</v>
      </c>
      <c r="D1078" s="248"/>
      <c r="E1078" s="248"/>
      <c r="F1078" s="248"/>
      <c r="G1078" s="248" t="s">
        <v>1529</v>
      </c>
      <c r="H1078" s="248"/>
      <c r="I1078" s="248"/>
      <c r="J1078" s="248"/>
      <c r="K1078" s="248"/>
      <c r="L1078" s="248"/>
      <c r="M1078" s="248" t="s">
        <v>1530</v>
      </c>
    </row>
    <row r="1079" spans="1:13" ht="20.100000000000001" customHeight="1">
      <c r="A1079" s="248"/>
      <c r="B1079" s="248" t="s">
        <v>5016</v>
      </c>
      <c r="C1079" s="248" t="s">
        <v>4003</v>
      </c>
      <c r="D1079" s="248"/>
      <c r="E1079" s="248"/>
      <c r="F1079" s="248"/>
      <c r="G1079" s="248" t="s">
        <v>1531</v>
      </c>
      <c r="H1079" s="248"/>
      <c r="I1079" s="248"/>
      <c r="J1079" s="248"/>
      <c r="K1079" s="248"/>
      <c r="L1079" s="248"/>
      <c r="M1079" s="248" t="s">
        <v>3550</v>
      </c>
    </row>
    <row r="1080" spans="1:13" ht="20.100000000000001" customHeight="1">
      <c r="A1080" s="248"/>
      <c r="B1080" s="248" t="s">
        <v>5017</v>
      </c>
      <c r="C1080" s="248" t="s">
        <v>4271</v>
      </c>
      <c r="D1080" s="248"/>
      <c r="E1080" s="248"/>
      <c r="F1080" s="248"/>
      <c r="G1080" s="248" t="s">
        <v>1532</v>
      </c>
      <c r="H1080" s="248"/>
      <c r="I1080" s="248"/>
      <c r="J1080" s="248"/>
      <c r="K1080" s="248"/>
      <c r="L1080" s="248"/>
      <c r="M1080" s="248" t="s">
        <v>1533</v>
      </c>
    </row>
    <row r="1081" spans="1:13" ht="20.100000000000001" customHeight="1">
      <c r="A1081" s="248"/>
      <c r="B1081" s="248" t="s">
        <v>5018</v>
      </c>
      <c r="C1081" s="248" t="s">
        <v>4057</v>
      </c>
      <c r="D1081" s="248"/>
      <c r="E1081" s="248"/>
      <c r="F1081" s="248"/>
      <c r="G1081" s="248" t="s">
        <v>3268</v>
      </c>
      <c r="H1081" s="248"/>
      <c r="I1081" s="248"/>
      <c r="J1081" s="248"/>
      <c r="K1081" s="248"/>
      <c r="L1081" s="248"/>
      <c r="M1081" s="248" t="s">
        <v>1534</v>
      </c>
    </row>
    <row r="1082" spans="1:13" ht="20.100000000000001" customHeight="1">
      <c r="A1082" s="248"/>
      <c r="B1082" s="248" t="s">
        <v>6444</v>
      </c>
      <c r="C1082" s="248" t="s">
        <v>4008</v>
      </c>
      <c r="D1082" s="248"/>
      <c r="E1082" s="248"/>
      <c r="F1082" s="248"/>
      <c r="G1082" s="248" t="s">
        <v>6445</v>
      </c>
      <c r="H1082" s="248"/>
      <c r="I1082" s="248"/>
      <c r="J1082" s="248"/>
      <c r="K1082" s="248"/>
      <c r="L1082" s="248"/>
      <c r="M1082" s="248" t="s">
        <v>6446</v>
      </c>
    </row>
    <row r="1083" spans="1:13" ht="20.100000000000001" customHeight="1">
      <c r="A1083" s="248"/>
      <c r="B1083" s="248" t="s">
        <v>5019</v>
      </c>
      <c r="C1083" s="248" t="s">
        <v>4030</v>
      </c>
      <c r="D1083" s="248"/>
      <c r="E1083" s="248"/>
      <c r="F1083" s="248"/>
      <c r="G1083" s="248" t="s">
        <v>1535</v>
      </c>
      <c r="H1083" s="248"/>
      <c r="I1083" s="248"/>
      <c r="J1083" s="248"/>
      <c r="K1083" s="248"/>
      <c r="L1083" s="248"/>
      <c r="M1083" s="248" t="s">
        <v>1536</v>
      </c>
    </row>
    <row r="1084" spans="1:13" ht="20.100000000000001" customHeight="1">
      <c r="A1084" s="248"/>
      <c r="B1084" s="248" t="s">
        <v>5020</v>
      </c>
      <c r="C1084" s="248" t="s">
        <v>4146</v>
      </c>
      <c r="D1084" s="248"/>
      <c r="E1084" s="248"/>
      <c r="F1084" s="248"/>
      <c r="G1084" s="248" t="s">
        <v>1537</v>
      </c>
      <c r="H1084" s="248"/>
      <c r="I1084" s="248"/>
      <c r="J1084" s="248"/>
      <c r="K1084" s="248"/>
      <c r="L1084" s="248"/>
      <c r="M1084" s="248" t="s">
        <v>1538</v>
      </c>
    </row>
    <row r="1085" spans="1:13" ht="20.100000000000001" customHeight="1">
      <c r="A1085" s="248"/>
      <c r="B1085" s="248" t="s">
        <v>5021</v>
      </c>
      <c r="C1085" s="248" t="s">
        <v>4030</v>
      </c>
      <c r="D1085" s="248"/>
      <c r="E1085" s="248"/>
      <c r="F1085" s="248"/>
      <c r="G1085" s="248" t="s">
        <v>1539</v>
      </c>
      <c r="H1085" s="248"/>
      <c r="I1085" s="248"/>
      <c r="J1085" s="248"/>
      <c r="K1085" s="248"/>
      <c r="L1085" s="248"/>
      <c r="M1085" s="248" t="s">
        <v>1540</v>
      </c>
    </row>
    <row r="1086" spans="1:13" ht="20.100000000000001" customHeight="1">
      <c r="A1086" s="248"/>
      <c r="B1086" s="248" t="s">
        <v>5022</v>
      </c>
      <c r="C1086" s="248" t="s">
        <v>4036</v>
      </c>
      <c r="D1086" s="248"/>
      <c r="E1086" s="248"/>
      <c r="F1086" s="248"/>
      <c r="G1086" s="248" t="s">
        <v>3691</v>
      </c>
      <c r="H1086" s="248"/>
      <c r="I1086" s="248"/>
      <c r="J1086" s="248"/>
      <c r="K1086" s="248"/>
      <c r="L1086" s="248"/>
      <c r="M1086" s="248" t="s">
        <v>3692</v>
      </c>
    </row>
    <row r="1087" spans="1:13" ht="20.100000000000001" customHeight="1">
      <c r="A1087" s="248"/>
      <c r="B1087" s="248" t="s">
        <v>5023</v>
      </c>
      <c r="C1087" s="248" t="s">
        <v>4003</v>
      </c>
      <c r="D1087" s="248"/>
      <c r="E1087" s="248"/>
      <c r="F1087" s="248"/>
      <c r="G1087" s="248" t="s">
        <v>1541</v>
      </c>
      <c r="H1087" s="248"/>
      <c r="I1087" s="248"/>
      <c r="J1087" s="248"/>
      <c r="K1087" s="248"/>
      <c r="L1087" s="248"/>
      <c r="M1087" s="248" t="s">
        <v>1542</v>
      </c>
    </row>
    <row r="1088" spans="1:13" ht="20.100000000000001" customHeight="1">
      <c r="A1088" s="248"/>
      <c r="B1088" s="248" t="s">
        <v>5024</v>
      </c>
      <c r="C1088" s="248" t="s">
        <v>4003</v>
      </c>
      <c r="D1088" s="248"/>
      <c r="E1088" s="248"/>
      <c r="F1088" s="248"/>
      <c r="G1088" s="248" t="s">
        <v>1543</v>
      </c>
      <c r="H1088" s="248"/>
      <c r="I1088" s="248"/>
      <c r="J1088" s="248"/>
      <c r="K1088" s="248"/>
      <c r="L1088" s="248"/>
      <c r="M1088" s="248" t="s">
        <v>1544</v>
      </c>
    </row>
    <row r="1089" spans="1:13" ht="20.100000000000001" customHeight="1">
      <c r="A1089" s="248"/>
      <c r="B1089" s="248" t="s">
        <v>5025</v>
      </c>
      <c r="C1089" s="248" t="s">
        <v>4008</v>
      </c>
      <c r="D1089" s="248"/>
      <c r="E1089" s="248"/>
      <c r="F1089" s="248"/>
      <c r="G1089" s="248" t="s">
        <v>3385</v>
      </c>
      <c r="H1089" s="248"/>
      <c r="I1089" s="248"/>
      <c r="J1089" s="248"/>
      <c r="K1089" s="248"/>
      <c r="L1089" s="248"/>
      <c r="M1089" s="248" t="s">
        <v>3386</v>
      </c>
    </row>
    <row r="1090" spans="1:13" ht="20.100000000000001" customHeight="1">
      <c r="A1090" s="248"/>
      <c r="B1090" s="248" t="s">
        <v>5026</v>
      </c>
      <c r="C1090" s="248" t="s">
        <v>4012</v>
      </c>
      <c r="D1090" s="248"/>
      <c r="E1090" s="248"/>
      <c r="F1090" s="248"/>
      <c r="G1090" s="248" t="s">
        <v>1545</v>
      </c>
      <c r="H1090" s="248"/>
      <c r="I1090" s="248"/>
      <c r="J1090" s="248"/>
      <c r="K1090" s="248"/>
      <c r="L1090" s="248"/>
      <c r="M1090" s="248" t="s">
        <v>3550</v>
      </c>
    </row>
    <row r="1091" spans="1:13" ht="20.100000000000001" customHeight="1">
      <c r="A1091" s="248"/>
      <c r="B1091" s="248" t="s">
        <v>5027</v>
      </c>
      <c r="C1091" s="248" t="s">
        <v>4146</v>
      </c>
      <c r="D1091" s="248"/>
      <c r="E1091" s="248"/>
      <c r="F1091" s="248"/>
      <c r="G1091" s="248" t="s">
        <v>1546</v>
      </c>
      <c r="H1091" s="248"/>
      <c r="I1091" s="248"/>
      <c r="J1091" s="248"/>
      <c r="K1091" s="248"/>
      <c r="L1091" s="248"/>
      <c r="M1091" s="248" t="s">
        <v>1547</v>
      </c>
    </row>
    <row r="1092" spans="1:13" ht="20.100000000000001" customHeight="1">
      <c r="A1092" s="248"/>
      <c r="B1092" s="248" t="s">
        <v>5028</v>
      </c>
      <c r="C1092" s="248" t="s">
        <v>4036</v>
      </c>
      <c r="D1092" s="248"/>
      <c r="E1092" s="248"/>
      <c r="F1092" s="248"/>
      <c r="G1092" s="248" t="s">
        <v>3693</v>
      </c>
      <c r="H1092" s="248"/>
      <c r="I1092" s="248"/>
      <c r="J1092" s="248"/>
      <c r="K1092" s="248"/>
      <c r="L1092" s="248"/>
      <c r="M1092" s="248" t="s">
        <v>3694</v>
      </c>
    </row>
    <row r="1093" spans="1:13" ht="20.100000000000001" customHeight="1">
      <c r="A1093" s="248"/>
      <c r="B1093" s="248" t="s">
        <v>5029</v>
      </c>
      <c r="C1093" s="248" t="s">
        <v>4008</v>
      </c>
      <c r="D1093" s="248"/>
      <c r="E1093" s="248"/>
      <c r="F1093" s="248"/>
      <c r="G1093" s="248" t="s">
        <v>1548</v>
      </c>
      <c r="H1093" s="248"/>
      <c r="I1093" s="248"/>
      <c r="J1093" s="248"/>
      <c r="K1093" s="248"/>
      <c r="L1093" s="248"/>
      <c r="M1093" s="248" t="s">
        <v>1549</v>
      </c>
    </row>
    <row r="1094" spans="1:13" ht="20.100000000000001" customHeight="1">
      <c r="A1094" s="248"/>
      <c r="B1094" s="248" t="s">
        <v>5030</v>
      </c>
      <c r="C1094" s="248" t="s">
        <v>4025</v>
      </c>
      <c r="D1094" s="248"/>
      <c r="E1094" s="248"/>
      <c r="F1094" s="248"/>
      <c r="G1094" s="248" t="s">
        <v>1550</v>
      </c>
      <c r="H1094" s="248"/>
      <c r="I1094" s="248"/>
      <c r="J1094" s="248"/>
      <c r="K1094" s="248"/>
      <c r="L1094" s="248"/>
      <c r="M1094" s="248" t="s">
        <v>1551</v>
      </c>
    </row>
    <row r="1095" spans="1:13" ht="20.100000000000001" customHeight="1">
      <c r="A1095" s="248"/>
      <c r="B1095" s="248" t="s">
        <v>5031</v>
      </c>
      <c r="C1095" s="248" t="s">
        <v>4008</v>
      </c>
      <c r="D1095" s="248"/>
      <c r="E1095" s="248"/>
      <c r="F1095" s="248"/>
      <c r="G1095" s="248" t="s">
        <v>3422</v>
      </c>
      <c r="H1095" s="248"/>
      <c r="I1095" s="248"/>
      <c r="J1095" s="248"/>
      <c r="K1095" s="248"/>
      <c r="L1095" s="248"/>
      <c r="M1095" s="248" t="s">
        <v>3241</v>
      </c>
    </row>
    <row r="1096" spans="1:13" ht="20.100000000000001" customHeight="1">
      <c r="A1096" s="248"/>
      <c r="B1096" s="248" t="s">
        <v>5032</v>
      </c>
      <c r="C1096" s="248" t="s">
        <v>4008</v>
      </c>
      <c r="D1096" s="248"/>
      <c r="E1096" s="248"/>
      <c r="F1096" s="248"/>
      <c r="G1096" s="248" t="s">
        <v>3465</v>
      </c>
      <c r="H1096" s="248"/>
      <c r="I1096" s="248"/>
      <c r="J1096" s="248"/>
      <c r="K1096" s="248"/>
      <c r="L1096" s="248"/>
      <c r="M1096" s="248" t="s">
        <v>3241</v>
      </c>
    </row>
    <row r="1097" spans="1:13" ht="20.100000000000001" customHeight="1">
      <c r="A1097" s="248"/>
      <c r="B1097" s="248" t="s">
        <v>5033</v>
      </c>
      <c r="C1097" s="248" t="s">
        <v>4012</v>
      </c>
      <c r="D1097" s="248"/>
      <c r="E1097" s="248"/>
      <c r="F1097" s="248"/>
      <c r="G1097" s="248" t="s">
        <v>1552</v>
      </c>
      <c r="H1097" s="248"/>
      <c r="I1097" s="248"/>
      <c r="J1097" s="248"/>
      <c r="K1097" s="248"/>
      <c r="L1097" s="248"/>
      <c r="M1097" s="248" t="s">
        <v>3550</v>
      </c>
    </row>
    <row r="1098" spans="1:13" ht="20.100000000000001" customHeight="1">
      <c r="A1098" s="248"/>
      <c r="B1098" s="248" t="s">
        <v>5034</v>
      </c>
      <c r="C1098" s="248" t="s">
        <v>4016</v>
      </c>
      <c r="D1098" s="248"/>
      <c r="E1098" s="248"/>
      <c r="F1098" s="248"/>
      <c r="G1098" s="248" t="s">
        <v>1553</v>
      </c>
      <c r="H1098" s="248"/>
      <c r="I1098" s="248"/>
      <c r="J1098" s="248"/>
      <c r="K1098" s="248"/>
      <c r="L1098" s="248"/>
      <c r="M1098" s="248" t="s">
        <v>3550</v>
      </c>
    </row>
    <row r="1099" spans="1:13" ht="20.100000000000001" customHeight="1">
      <c r="A1099" s="248"/>
      <c r="B1099" s="248" t="s">
        <v>5035</v>
      </c>
      <c r="C1099" s="248" t="s">
        <v>4030</v>
      </c>
      <c r="D1099" s="248"/>
      <c r="E1099" s="248"/>
      <c r="F1099" s="248"/>
      <c r="G1099" s="248" t="s">
        <v>3957</v>
      </c>
      <c r="H1099" s="248"/>
      <c r="I1099" s="248"/>
      <c r="J1099" s="248"/>
      <c r="K1099" s="248"/>
      <c r="L1099" s="248"/>
      <c r="M1099" s="248" t="s">
        <v>3958</v>
      </c>
    </row>
    <row r="1100" spans="1:13" ht="20.100000000000001" customHeight="1">
      <c r="A1100" s="248"/>
      <c r="B1100" s="248" t="s">
        <v>5036</v>
      </c>
      <c r="C1100" s="248" t="s">
        <v>4030</v>
      </c>
      <c r="D1100" s="248"/>
      <c r="E1100" s="248"/>
      <c r="F1100" s="248"/>
      <c r="G1100" s="248" t="s">
        <v>3633</v>
      </c>
      <c r="H1100" s="248"/>
      <c r="I1100" s="248"/>
      <c r="J1100" s="248"/>
      <c r="K1100" s="248"/>
      <c r="L1100" s="248"/>
      <c r="M1100" s="248" t="s">
        <v>3634</v>
      </c>
    </row>
    <row r="1101" spans="1:13" ht="20.100000000000001" customHeight="1">
      <c r="A1101" s="248"/>
      <c r="B1101" s="248" t="s">
        <v>5037</v>
      </c>
      <c r="C1101" s="248" t="s">
        <v>4025</v>
      </c>
      <c r="D1101" s="248"/>
      <c r="E1101" s="248"/>
      <c r="F1101" s="248"/>
      <c r="G1101" s="248" t="s">
        <v>3182</v>
      </c>
      <c r="H1101" s="248"/>
      <c r="I1101" s="248"/>
      <c r="J1101" s="248"/>
      <c r="K1101" s="248"/>
      <c r="L1101" s="248"/>
      <c r="M1101" s="248" t="s">
        <v>3183</v>
      </c>
    </row>
    <row r="1102" spans="1:13" ht="20.100000000000001" customHeight="1">
      <c r="A1102" s="248"/>
      <c r="B1102" s="248" t="s">
        <v>5038</v>
      </c>
      <c r="C1102" s="248" t="s">
        <v>4036</v>
      </c>
      <c r="D1102" s="248"/>
      <c r="E1102" s="248"/>
      <c r="F1102" s="248"/>
      <c r="G1102" s="248" t="s">
        <v>3502</v>
      </c>
      <c r="H1102" s="248"/>
      <c r="I1102" s="248"/>
      <c r="J1102" s="248"/>
      <c r="K1102" s="248"/>
      <c r="L1102" s="248"/>
      <c r="M1102" s="248" t="s">
        <v>3503</v>
      </c>
    </row>
    <row r="1103" spans="1:13" ht="20.100000000000001" customHeight="1">
      <c r="A1103" s="248"/>
      <c r="B1103" s="248" t="s">
        <v>5039</v>
      </c>
      <c r="C1103" s="248" t="s">
        <v>4014</v>
      </c>
      <c r="D1103" s="248"/>
      <c r="E1103" s="248"/>
      <c r="F1103" s="248"/>
      <c r="G1103" s="248" t="s">
        <v>3651</v>
      </c>
      <c r="H1103" s="248"/>
      <c r="I1103" s="248"/>
      <c r="J1103" s="248"/>
      <c r="K1103" s="248"/>
      <c r="L1103" s="248"/>
      <c r="M1103" s="248" t="s">
        <v>196</v>
      </c>
    </row>
    <row r="1104" spans="1:13" ht="20.100000000000001" customHeight="1">
      <c r="A1104" s="248"/>
      <c r="B1104" s="248" t="s">
        <v>5040</v>
      </c>
      <c r="C1104" s="248" t="s">
        <v>4014</v>
      </c>
      <c r="D1104" s="248"/>
      <c r="E1104" s="248"/>
      <c r="F1104" s="248"/>
      <c r="G1104" s="248" t="s">
        <v>1554</v>
      </c>
      <c r="H1104" s="248"/>
      <c r="I1104" s="248"/>
      <c r="J1104" s="248"/>
      <c r="K1104" s="248"/>
      <c r="L1104" s="248"/>
      <c r="M1104" s="248" t="s">
        <v>1555</v>
      </c>
    </row>
    <row r="1105" spans="1:13" ht="20.100000000000001" customHeight="1">
      <c r="A1105" s="248"/>
      <c r="B1105" s="248" t="s">
        <v>5041</v>
      </c>
      <c r="C1105" s="248" t="s">
        <v>4121</v>
      </c>
      <c r="D1105" s="248"/>
      <c r="E1105" s="248"/>
      <c r="F1105" s="248"/>
      <c r="G1105" s="248" t="s">
        <v>1556</v>
      </c>
      <c r="H1105" s="248"/>
      <c r="I1105" s="248"/>
      <c r="J1105" s="248"/>
      <c r="K1105" s="248"/>
      <c r="L1105" s="248"/>
      <c r="M1105" s="248" t="s">
        <v>1557</v>
      </c>
    </row>
    <row r="1106" spans="1:13" ht="20.100000000000001" customHeight="1">
      <c r="A1106" s="248"/>
      <c r="B1106" s="248" t="s">
        <v>5042</v>
      </c>
      <c r="C1106" s="248" t="s">
        <v>4030</v>
      </c>
      <c r="D1106" s="248"/>
      <c r="E1106" s="248"/>
      <c r="F1106" s="248"/>
      <c r="G1106" s="248" t="s">
        <v>1558</v>
      </c>
      <c r="H1106" s="248"/>
      <c r="I1106" s="248"/>
      <c r="J1106" s="248"/>
      <c r="K1106" s="248"/>
      <c r="L1106" s="248"/>
      <c r="M1106" s="248" t="s">
        <v>1559</v>
      </c>
    </row>
    <row r="1107" spans="1:13" ht="20.100000000000001" customHeight="1">
      <c r="A1107" s="248"/>
      <c r="B1107" s="248" t="s">
        <v>5043</v>
      </c>
      <c r="C1107" s="248" t="s">
        <v>4003</v>
      </c>
      <c r="D1107" s="248"/>
      <c r="E1107" s="248"/>
      <c r="F1107" s="248"/>
      <c r="G1107" s="248" t="s">
        <v>1560</v>
      </c>
      <c r="H1107" s="248"/>
      <c r="I1107" s="248"/>
      <c r="J1107" s="248"/>
      <c r="K1107" s="248"/>
      <c r="L1107" s="248"/>
      <c r="M1107" s="248" t="s">
        <v>1561</v>
      </c>
    </row>
    <row r="1108" spans="1:13" ht="20.100000000000001" customHeight="1">
      <c r="A1108" s="248"/>
      <c r="B1108" s="248" t="s">
        <v>5044</v>
      </c>
      <c r="C1108" s="248" t="s">
        <v>4036</v>
      </c>
      <c r="D1108" s="248"/>
      <c r="E1108" s="248"/>
      <c r="F1108" s="248"/>
      <c r="G1108" s="248" t="s">
        <v>1562</v>
      </c>
      <c r="H1108" s="248"/>
      <c r="I1108" s="248"/>
      <c r="J1108" s="248"/>
      <c r="K1108" s="248"/>
      <c r="L1108" s="248"/>
      <c r="M1108" s="248" t="s">
        <v>1563</v>
      </c>
    </row>
    <row r="1109" spans="1:13" ht="20.100000000000001" customHeight="1">
      <c r="A1109" s="248"/>
      <c r="B1109" s="248" t="s">
        <v>6502</v>
      </c>
      <c r="C1109" s="248" t="s">
        <v>4014</v>
      </c>
      <c r="D1109" s="248"/>
      <c r="E1109" s="248"/>
      <c r="F1109" s="248"/>
      <c r="G1109" s="248" t="s">
        <v>6503</v>
      </c>
      <c r="H1109" s="248"/>
      <c r="I1109" s="248"/>
      <c r="J1109" s="248"/>
      <c r="K1109" s="248"/>
      <c r="L1109" s="248"/>
      <c r="M1109" s="248" t="s">
        <v>6504</v>
      </c>
    </row>
    <row r="1110" spans="1:13" ht="20.100000000000001" customHeight="1">
      <c r="A1110" s="248"/>
      <c r="B1110" s="248" t="s">
        <v>6556</v>
      </c>
      <c r="C1110" s="248" t="s">
        <v>4030</v>
      </c>
      <c r="D1110" s="248"/>
      <c r="E1110" s="248"/>
      <c r="F1110" s="248"/>
      <c r="G1110" s="248" t="s">
        <v>6557</v>
      </c>
      <c r="H1110" s="248"/>
      <c r="I1110" s="248"/>
      <c r="J1110" s="248"/>
      <c r="K1110" s="248"/>
      <c r="L1110" s="248"/>
      <c r="M1110" s="248" t="s">
        <v>6558</v>
      </c>
    </row>
    <row r="1111" spans="1:13" ht="20.100000000000001" customHeight="1">
      <c r="A1111" s="248"/>
      <c r="B1111" s="248" t="s">
        <v>5045</v>
      </c>
      <c r="C1111" s="248" t="s">
        <v>4012</v>
      </c>
      <c r="D1111" s="248"/>
      <c r="E1111" s="248"/>
      <c r="F1111" s="248"/>
      <c r="G1111" s="248" t="s">
        <v>1564</v>
      </c>
      <c r="H1111" s="248"/>
      <c r="I1111" s="248"/>
      <c r="J1111" s="248"/>
      <c r="K1111" s="248"/>
      <c r="L1111" s="248"/>
      <c r="M1111" s="248" t="s">
        <v>1565</v>
      </c>
    </row>
    <row r="1112" spans="1:13" ht="20.100000000000001" customHeight="1">
      <c r="A1112" s="248"/>
      <c r="B1112" s="248" t="s">
        <v>5046</v>
      </c>
      <c r="C1112" s="248" t="s">
        <v>4016</v>
      </c>
      <c r="D1112" s="248"/>
      <c r="E1112" s="248"/>
      <c r="F1112" s="248"/>
      <c r="G1112" s="248" t="s">
        <v>3466</v>
      </c>
      <c r="H1112" s="248"/>
      <c r="I1112" s="248"/>
      <c r="J1112" s="248"/>
      <c r="K1112" s="248"/>
      <c r="L1112" s="248"/>
      <c r="M1112" s="248" t="s">
        <v>3467</v>
      </c>
    </row>
    <row r="1113" spans="1:13" ht="20.100000000000001" customHeight="1">
      <c r="A1113" s="248"/>
      <c r="B1113" s="248" t="s">
        <v>6252</v>
      </c>
      <c r="C1113" s="248" t="s">
        <v>4030</v>
      </c>
      <c r="D1113" s="248"/>
      <c r="E1113" s="248"/>
      <c r="F1113" s="248"/>
      <c r="G1113" s="248" t="s">
        <v>6253</v>
      </c>
      <c r="H1113" s="248"/>
      <c r="I1113" s="248"/>
      <c r="J1113" s="248"/>
      <c r="K1113" s="248"/>
      <c r="L1113" s="248"/>
      <c r="M1113" s="248" t="s">
        <v>6254</v>
      </c>
    </row>
    <row r="1114" spans="1:13" ht="20.100000000000001" customHeight="1">
      <c r="A1114" s="248"/>
      <c r="B1114" s="248" t="s">
        <v>5047</v>
      </c>
      <c r="C1114" s="248" t="s">
        <v>4003</v>
      </c>
      <c r="D1114" s="248"/>
      <c r="E1114" s="248"/>
      <c r="F1114" s="248"/>
      <c r="G1114" s="248" t="s">
        <v>1566</v>
      </c>
      <c r="H1114" s="248"/>
      <c r="I1114" s="248"/>
      <c r="J1114" s="248"/>
      <c r="K1114" s="248"/>
      <c r="L1114" s="248"/>
      <c r="M1114" s="248" t="s">
        <v>1567</v>
      </c>
    </row>
    <row r="1115" spans="1:13" ht="20.100000000000001" customHeight="1">
      <c r="A1115" s="248"/>
      <c r="B1115" s="248" t="s">
        <v>5048</v>
      </c>
      <c r="C1115" s="248" t="s">
        <v>4030</v>
      </c>
      <c r="D1115" s="248"/>
      <c r="E1115" s="248"/>
      <c r="F1115" s="248"/>
      <c r="G1115" s="248" t="s">
        <v>1568</v>
      </c>
      <c r="H1115" s="248"/>
      <c r="I1115" s="248"/>
      <c r="J1115" s="248"/>
      <c r="K1115" s="248"/>
      <c r="L1115" s="248"/>
      <c r="M1115" s="248" t="s">
        <v>1569</v>
      </c>
    </row>
    <row r="1116" spans="1:13" ht="20.100000000000001" customHeight="1">
      <c r="A1116" s="248"/>
      <c r="B1116" s="248" t="s">
        <v>6505</v>
      </c>
      <c r="C1116" s="248" t="s">
        <v>4036</v>
      </c>
      <c r="D1116" s="248"/>
      <c r="E1116" s="248"/>
      <c r="F1116" s="248"/>
      <c r="G1116" s="248" t="s">
        <v>6506</v>
      </c>
      <c r="H1116" s="248"/>
      <c r="I1116" s="248"/>
      <c r="J1116" s="248"/>
      <c r="K1116" s="248"/>
      <c r="L1116" s="248"/>
      <c r="M1116" s="248" t="s">
        <v>196</v>
      </c>
    </row>
    <row r="1117" spans="1:13" ht="20.100000000000001" customHeight="1">
      <c r="A1117" s="248"/>
      <c r="B1117" s="248" t="s">
        <v>5049</v>
      </c>
      <c r="C1117" s="248" t="s">
        <v>4016</v>
      </c>
      <c r="D1117" s="248"/>
      <c r="E1117" s="248"/>
      <c r="F1117" s="248"/>
      <c r="G1117" s="248" t="s">
        <v>1570</v>
      </c>
      <c r="H1117" s="248"/>
      <c r="I1117" s="248"/>
      <c r="J1117" s="248"/>
      <c r="K1117" s="248"/>
      <c r="L1117" s="248"/>
      <c r="M1117" s="248" t="s">
        <v>6309</v>
      </c>
    </row>
    <row r="1118" spans="1:13" ht="20.100000000000001" customHeight="1">
      <c r="A1118" s="248"/>
      <c r="B1118" s="248" t="s">
        <v>5050</v>
      </c>
      <c r="C1118" s="248" t="s">
        <v>4025</v>
      </c>
      <c r="D1118" s="248"/>
      <c r="E1118" s="248"/>
      <c r="F1118" s="248"/>
      <c r="G1118" s="248" t="s">
        <v>1571</v>
      </c>
      <c r="H1118" s="248"/>
      <c r="I1118" s="248"/>
      <c r="J1118" s="248"/>
      <c r="K1118" s="248"/>
      <c r="L1118" s="248"/>
      <c r="M1118" s="248" t="s">
        <v>1572</v>
      </c>
    </row>
    <row r="1119" spans="1:13" ht="20.100000000000001" customHeight="1">
      <c r="A1119" s="248"/>
      <c r="B1119" s="248" t="s">
        <v>5051</v>
      </c>
      <c r="C1119" s="248" t="s">
        <v>4417</v>
      </c>
      <c r="D1119" s="248"/>
      <c r="E1119" s="248"/>
      <c r="F1119" s="248"/>
      <c r="G1119" s="248" t="s">
        <v>1573</v>
      </c>
      <c r="H1119" s="248"/>
      <c r="I1119" s="248"/>
      <c r="J1119" s="248"/>
      <c r="K1119" s="248"/>
      <c r="L1119" s="248"/>
      <c r="M1119" s="248" t="s">
        <v>1574</v>
      </c>
    </row>
    <row r="1120" spans="1:13" ht="20.100000000000001" customHeight="1">
      <c r="A1120" s="248"/>
      <c r="B1120" s="248" t="s">
        <v>5052</v>
      </c>
      <c r="C1120" s="248" t="s">
        <v>4036</v>
      </c>
      <c r="D1120" s="248"/>
      <c r="E1120" s="248"/>
      <c r="F1120" s="248"/>
      <c r="G1120" s="248" t="s">
        <v>1575</v>
      </c>
      <c r="H1120" s="248"/>
      <c r="I1120" s="248"/>
      <c r="J1120" s="248"/>
      <c r="K1120" s="248"/>
      <c r="L1120" s="248"/>
      <c r="M1120" s="248" t="s">
        <v>1576</v>
      </c>
    </row>
    <row r="1121" spans="1:13" ht="20.100000000000001" customHeight="1">
      <c r="A1121" s="248"/>
      <c r="B1121" s="248" t="s">
        <v>5053</v>
      </c>
      <c r="C1121" s="248" t="s">
        <v>4036</v>
      </c>
      <c r="D1121" s="248"/>
      <c r="E1121" s="248"/>
      <c r="F1121" s="248"/>
      <c r="G1121" s="248" t="s">
        <v>1577</v>
      </c>
      <c r="H1121" s="248"/>
      <c r="I1121" s="248"/>
      <c r="J1121" s="248"/>
      <c r="K1121" s="248"/>
      <c r="L1121" s="248"/>
      <c r="M1121" s="248" t="s">
        <v>1578</v>
      </c>
    </row>
    <row r="1122" spans="1:13" ht="20.100000000000001" customHeight="1">
      <c r="A1122" s="248"/>
      <c r="B1122" s="248" t="s">
        <v>5054</v>
      </c>
      <c r="C1122" s="248" t="s">
        <v>4030</v>
      </c>
      <c r="D1122" s="248"/>
      <c r="E1122" s="248"/>
      <c r="F1122" s="248"/>
      <c r="G1122" s="248" t="s">
        <v>1579</v>
      </c>
      <c r="H1122" s="248"/>
      <c r="I1122" s="248"/>
      <c r="J1122" s="248"/>
      <c r="K1122" s="248"/>
      <c r="L1122" s="248"/>
      <c r="M1122" s="248" t="s">
        <v>1580</v>
      </c>
    </row>
    <row r="1123" spans="1:13" ht="20.100000000000001" customHeight="1">
      <c r="A1123" s="248"/>
      <c r="B1123" s="248" t="s">
        <v>5055</v>
      </c>
      <c r="C1123" s="248" t="s">
        <v>4271</v>
      </c>
      <c r="D1123" s="248"/>
      <c r="E1123" s="248"/>
      <c r="F1123" s="248"/>
      <c r="G1123" s="248" t="s">
        <v>3269</v>
      </c>
      <c r="H1123" s="248"/>
      <c r="I1123" s="248"/>
      <c r="J1123" s="248"/>
      <c r="K1123" s="248"/>
      <c r="L1123" s="248"/>
      <c r="M1123" s="248" t="s">
        <v>1581</v>
      </c>
    </row>
    <row r="1124" spans="1:13" ht="20.100000000000001" customHeight="1">
      <c r="A1124" s="248"/>
      <c r="B1124" s="248" t="s">
        <v>5056</v>
      </c>
      <c r="C1124" s="248" t="s">
        <v>4030</v>
      </c>
      <c r="D1124" s="248"/>
      <c r="E1124" s="248"/>
      <c r="F1124" s="248"/>
      <c r="G1124" s="248" t="s">
        <v>1582</v>
      </c>
      <c r="H1124" s="248"/>
      <c r="I1124" s="248"/>
      <c r="J1124" s="248"/>
      <c r="K1124" s="248"/>
      <c r="L1124" s="248"/>
      <c r="M1124" s="248" t="s">
        <v>1583</v>
      </c>
    </row>
    <row r="1125" spans="1:13" ht="20.100000000000001" customHeight="1">
      <c r="A1125" s="248"/>
      <c r="B1125" s="248" t="s">
        <v>5057</v>
      </c>
      <c r="C1125" s="248" t="s">
        <v>4008</v>
      </c>
      <c r="D1125" s="248"/>
      <c r="E1125" s="248"/>
      <c r="F1125" s="248"/>
      <c r="G1125" s="248" t="s">
        <v>1584</v>
      </c>
      <c r="H1125" s="248"/>
      <c r="I1125" s="248"/>
      <c r="J1125" s="248"/>
      <c r="K1125" s="248"/>
      <c r="L1125" s="248"/>
      <c r="M1125" s="248" t="s">
        <v>3550</v>
      </c>
    </row>
    <row r="1126" spans="1:13" ht="20.100000000000001" customHeight="1">
      <c r="A1126" s="248"/>
      <c r="B1126" s="248" t="s">
        <v>5058</v>
      </c>
      <c r="C1126" s="248" t="s">
        <v>4008</v>
      </c>
      <c r="D1126" s="248"/>
      <c r="E1126" s="248"/>
      <c r="F1126" s="248"/>
      <c r="G1126" s="248" t="s">
        <v>3524</v>
      </c>
      <c r="H1126" s="248"/>
      <c r="I1126" s="248"/>
      <c r="J1126" s="248"/>
      <c r="K1126" s="248"/>
      <c r="L1126" s="248"/>
      <c r="M1126" s="248" t="s">
        <v>3525</v>
      </c>
    </row>
    <row r="1127" spans="1:13" ht="20.100000000000001" customHeight="1">
      <c r="A1127" s="248"/>
      <c r="B1127" s="248" t="s">
        <v>5059</v>
      </c>
      <c r="C1127" s="248" t="s">
        <v>4036</v>
      </c>
      <c r="D1127" s="248"/>
      <c r="E1127" s="248"/>
      <c r="F1127" s="248"/>
      <c r="G1127" s="248" t="s">
        <v>3468</v>
      </c>
      <c r="H1127" s="248"/>
      <c r="I1127" s="248"/>
      <c r="J1127" s="248"/>
      <c r="K1127" s="248"/>
      <c r="L1127" s="248"/>
      <c r="M1127" s="248" t="s">
        <v>3469</v>
      </c>
    </row>
    <row r="1128" spans="1:13" ht="20.100000000000001" customHeight="1">
      <c r="A1128" s="248"/>
      <c r="B1128" s="248" t="s">
        <v>5060</v>
      </c>
      <c r="C1128" s="248" t="s">
        <v>4012</v>
      </c>
      <c r="D1128" s="248"/>
      <c r="E1128" s="248"/>
      <c r="F1128" s="248"/>
      <c r="G1128" s="248" t="s">
        <v>1585</v>
      </c>
      <c r="H1128" s="248"/>
      <c r="I1128" s="248"/>
      <c r="J1128" s="248"/>
      <c r="K1128" s="248"/>
      <c r="L1128" s="248"/>
      <c r="M1128" s="248" t="s">
        <v>1586</v>
      </c>
    </row>
    <row r="1129" spans="1:13" ht="20.100000000000001" customHeight="1">
      <c r="A1129" s="248"/>
      <c r="B1129" s="248" t="s">
        <v>5061</v>
      </c>
      <c r="C1129" s="248" t="s">
        <v>4016</v>
      </c>
      <c r="D1129" s="248"/>
      <c r="E1129" s="248"/>
      <c r="F1129" s="248"/>
      <c r="G1129" s="248" t="s">
        <v>1587</v>
      </c>
      <c r="H1129" s="248"/>
      <c r="I1129" s="248"/>
      <c r="J1129" s="248"/>
      <c r="K1129" s="248"/>
      <c r="L1129" s="248"/>
      <c r="M1129" s="248" t="s">
        <v>3081</v>
      </c>
    </row>
    <row r="1130" spans="1:13" ht="20.100000000000001" customHeight="1">
      <c r="A1130" s="248"/>
      <c r="B1130" s="248" t="s">
        <v>5062</v>
      </c>
      <c r="C1130" s="248" t="s">
        <v>4124</v>
      </c>
      <c r="D1130" s="248"/>
      <c r="E1130" s="248"/>
      <c r="F1130" s="248"/>
      <c r="G1130" s="248" t="s">
        <v>3914</v>
      </c>
      <c r="H1130" s="248"/>
      <c r="I1130" s="248"/>
      <c r="J1130" s="248"/>
      <c r="K1130" s="248"/>
      <c r="L1130" s="248"/>
      <c r="M1130" s="248" t="s">
        <v>1588</v>
      </c>
    </row>
    <row r="1131" spans="1:13" ht="20.100000000000001" customHeight="1">
      <c r="A1131" s="248"/>
      <c r="B1131" s="248" t="s">
        <v>5063</v>
      </c>
      <c r="C1131" s="248" t="s">
        <v>4016</v>
      </c>
      <c r="D1131" s="248"/>
      <c r="E1131" s="248"/>
      <c r="F1131" s="248"/>
      <c r="G1131" s="248" t="s">
        <v>3526</v>
      </c>
      <c r="H1131" s="248"/>
      <c r="I1131" s="248"/>
      <c r="J1131" s="248"/>
      <c r="K1131" s="248"/>
      <c r="L1131" s="248"/>
      <c r="M1131" s="248" t="s">
        <v>2007</v>
      </c>
    </row>
    <row r="1132" spans="1:13" ht="20.100000000000001" customHeight="1">
      <c r="A1132" s="248"/>
      <c r="B1132" s="248" t="s">
        <v>5064</v>
      </c>
      <c r="C1132" s="248" t="s">
        <v>4014</v>
      </c>
      <c r="D1132" s="248"/>
      <c r="E1132" s="248"/>
      <c r="F1132" s="248"/>
      <c r="G1132" s="248" t="s">
        <v>1589</v>
      </c>
      <c r="H1132" s="248"/>
      <c r="I1132" s="248"/>
      <c r="J1132" s="248"/>
      <c r="K1132" s="248"/>
      <c r="L1132" s="248"/>
      <c r="M1132" s="248" t="s">
        <v>1590</v>
      </c>
    </row>
    <row r="1133" spans="1:13" ht="20.100000000000001" customHeight="1">
      <c r="A1133" s="248"/>
      <c r="B1133" s="248" t="s">
        <v>5065</v>
      </c>
      <c r="C1133" s="248" t="s">
        <v>4030</v>
      </c>
      <c r="D1133" s="248"/>
      <c r="E1133" s="248"/>
      <c r="F1133" s="248"/>
      <c r="G1133" s="248" t="s">
        <v>3759</v>
      </c>
      <c r="H1133" s="248"/>
      <c r="I1133" s="248"/>
      <c r="J1133" s="248"/>
      <c r="K1133" s="248"/>
      <c r="L1133" s="248"/>
      <c r="M1133" s="248" t="s">
        <v>3760</v>
      </c>
    </row>
    <row r="1134" spans="1:13" ht="20.100000000000001" customHeight="1">
      <c r="A1134" s="248"/>
      <c r="B1134" s="248" t="s">
        <v>5066</v>
      </c>
      <c r="C1134" s="248" t="s">
        <v>4012</v>
      </c>
      <c r="D1134" s="248"/>
      <c r="E1134" s="248"/>
      <c r="F1134" s="248"/>
      <c r="G1134" s="248" t="s">
        <v>1591</v>
      </c>
      <c r="H1134" s="248"/>
      <c r="I1134" s="248"/>
      <c r="J1134" s="248"/>
      <c r="K1134" s="248"/>
      <c r="L1134" s="248"/>
      <c r="M1134" s="248" t="s">
        <v>1592</v>
      </c>
    </row>
    <row r="1135" spans="1:13" ht="20.100000000000001" customHeight="1">
      <c r="A1135" s="248"/>
      <c r="B1135" s="248" t="s">
        <v>6405</v>
      </c>
      <c r="C1135" s="248" t="s">
        <v>4036</v>
      </c>
      <c r="D1135" s="248"/>
      <c r="E1135" s="248"/>
      <c r="F1135" s="248"/>
      <c r="G1135" s="248" t="s">
        <v>1593</v>
      </c>
      <c r="H1135" s="248"/>
      <c r="I1135" s="248"/>
      <c r="J1135" s="248"/>
      <c r="K1135" s="248"/>
      <c r="L1135" s="248"/>
      <c r="M1135" s="248" t="s">
        <v>1594</v>
      </c>
    </row>
    <row r="1136" spans="1:13" ht="20.100000000000001" customHeight="1">
      <c r="A1136" s="248"/>
      <c r="B1136" s="248" t="s">
        <v>5067</v>
      </c>
      <c r="C1136" s="248" t="s">
        <v>4121</v>
      </c>
      <c r="D1136" s="248"/>
      <c r="E1136" s="248"/>
      <c r="F1136" s="248"/>
      <c r="G1136" s="248" t="s">
        <v>1595</v>
      </c>
      <c r="H1136" s="248"/>
      <c r="I1136" s="248"/>
      <c r="J1136" s="248"/>
      <c r="K1136" s="248"/>
      <c r="L1136" s="248"/>
      <c r="M1136" s="248" t="s">
        <v>1596</v>
      </c>
    </row>
    <row r="1137" spans="1:13" ht="20.100000000000001" customHeight="1">
      <c r="A1137" s="248"/>
      <c r="B1137" s="248" t="s">
        <v>5068</v>
      </c>
      <c r="C1137" s="248" t="s">
        <v>4008</v>
      </c>
      <c r="D1137" s="248"/>
      <c r="E1137" s="248"/>
      <c r="F1137" s="248"/>
      <c r="G1137" s="248" t="s">
        <v>1597</v>
      </c>
      <c r="H1137" s="248"/>
      <c r="I1137" s="248"/>
      <c r="J1137" s="248"/>
      <c r="K1137" s="248"/>
      <c r="L1137" s="248"/>
      <c r="M1137" s="248" t="s">
        <v>1598</v>
      </c>
    </row>
    <row r="1138" spans="1:13" ht="20.100000000000001" customHeight="1">
      <c r="A1138" s="248"/>
      <c r="B1138" s="248" t="s">
        <v>5069</v>
      </c>
      <c r="C1138" s="248" t="s">
        <v>4036</v>
      </c>
      <c r="D1138" s="248"/>
      <c r="E1138" s="248"/>
      <c r="F1138" s="248"/>
      <c r="G1138" s="248" t="s">
        <v>1599</v>
      </c>
      <c r="H1138" s="248"/>
      <c r="I1138" s="248"/>
      <c r="J1138" s="248"/>
      <c r="K1138" s="248"/>
      <c r="L1138" s="248"/>
      <c r="M1138" s="248" t="s">
        <v>1600</v>
      </c>
    </row>
    <row r="1139" spans="1:13" ht="20.100000000000001" customHeight="1">
      <c r="A1139" s="248"/>
      <c r="B1139" s="248" t="s">
        <v>5070</v>
      </c>
      <c r="C1139" s="248" t="s">
        <v>4016</v>
      </c>
      <c r="D1139" s="248"/>
      <c r="E1139" s="248"/>
      <c r="F1139" s="248"/>
      <c r="G1139" s="248" t="s">
        <v>1601</v>
      </c>
      <c r="H1139" s="248"/>
      <c r="I1139" s="248"/>
      <c r="J1139" s="248"/>
      <c r="K1139" s="248"/>
      <c r="L1139" s="248"/>
      <c r="M1139" s="248" t="s">
        <v>1602</v>
      </c>
    </row>
    <row r="1140" spans="1:13" ht="20.100000000000001" customHeight="1">
      <c r="A1140" s="248"/>
      <c r="B1140" s="248" t="s">
        <v>5071</v>
      </c>
      <c r="C1140" s="248" t="s">
        <v>4025</v>
      </c>
      <c r="D1140" s="248"/>
      <c r="E1140" s="248"/>
      <c r="F1140" s="248"/>
      <c r="G1140" s="248" t="s">
        <v>1603</v>
      </c>
      <c r="H1140" s="248"/>
      <c r="I1140" s="248"/>
      <c r="J1140" s="248"/>
      <c r="K1140" s="248"/>
      <c r="L1140" s="248"/>
      <c r="M1140" s="248" t="s">
        <v>1604</v>
      </c>
    </row>
    <row r="1141" spans="1:13" ht="20.100000000000001" customHeight="1">
      <c r="A1141" s="248"/>
      <c r="B1141" s="248" t="s">
        <v>5072</v>
      </c>
      <c r="C1141" s="248" t="s">
        <v>4146</v>
      </c>
      <c r="D1141" s="248"/>
      <c r="E1141" s="248"/>
      <c r="F1141" s="248"/>
      <c r="G1141" s="248" t="s">
        <v>1605</v>
      </c>
      <c r="H1141" s="248"/>
      <c r="I1141" s="248"/>
      <c r="J1141" s="248"/>
      <c r="K1141" s="248"/>
      <c r="L1141" s="248"/>
      <c r="M1141" s="248" t="s">
        <v>1606</v>
      </c>
    </row>
    <row r="1142" spans="1:13" ht="20.100000000000001" customHeight="1">
      <c r="A1142" s="248"/>
      <c r="B1142" s="248" t="s">
        <v>5073</v>
      </c>
      <c r="C1142" s="248" t="s">
        <v>4036</v>
      </c>
      <c r="D1142" s="248"/>
      <c r="E1142" s="248"/>
      <c r="F1142" s="248"/>
      <c r="G1142" s="248" t="s">
        <v>3695</v>
      </c>
      <c r="H1142" s="248"/>
      <c r="I1142" s="248"/>
      <c r="J1142" s="248"/>
      <c r="K1142" s="248"/>
      <c r="L1142" s="248"/>
      <c r="M1142" s="248" t="s">
        <v>3696</v>
      </c>
    </row>
    <row r="1143" spans="1:13" ht="20.100000000000001" customHeight="1">
      <c r="A1143" s="248"/>
      <c r="B1143" s="248" t="s">
        <v>5074</v>
      </c>
      <c r="C1143" s="248" t="s">
        <v>4014</v>
      </c>
      <c r="D1143" s="248"/>
      <c r="E1143" s="248"/>
      <c r="F1143" s="248"/>
      <c r="G1143" s="248" t="s">
        <v>1607</v>
      </c>
      <c r="H1143" s="248"/>
      <c r="I1143" s="248"/>
      <c r="J1143" s="248"/>
      <c r="K1143" s="248"/>
      <c r="L1143" s="248"/>
      <c r="M1143" s="248" t="s">
        <v>1608</v>
      </c>
    </row>
    <row r="1144" spans="1:13" ht="20.100000000000001" customHeight="1">
      <c r="A1144" s="248"/>
      <c r="B1144" s="248" t="s">
        <v>5075</v>
      </c>
      <c r="C1144" s="248" t="s">
        <v>4008</v>
      </c>
      <c r="D1144" s="248"/>
      <c r="E1144" s="248"/>
      <c r="F1144" s="248"/>
      <c r="G1144" s="248" t="s">
        <v>3847</v>
      </c>
      <c r="H1144" s="248"/>
      <c r="I1144" s="248"/>
      <c r="J1144" s="248"/>
      <c r="K1144" s="248"/>
      <c r="L1144" s="248"/>
      <c r="M1144" s="248" t="s">
        <v>3848</v>
      </c>
    </row>
    <row r="1145" spans="1:13" ht="20.100000000000001" customHeight="1">
      <c r="A1145" s="248"/>
      <c r="B1145" s="248" t="s">
        <v>5076</v>
      </c>
      <c r="C1145" s="248" t="s">
        <v>4008</v>
      </c>
      <c r="D1145" s="248"/>
      <c r="E1145" s="248"/>
      <c r="F1145" s="248"/>
      <c r="G1145" s="248" t="s">
        <v>1609</v>
      </c>
      <c r="H1145" s="248"/>
      <c r="I1145" s="248"/>
      <c r="J1145" s="248"/>
      <c r="K1145" s="248"/>
      <c r="L1145" s="248"/>
      <c r="M1145" s="248" t="s">
        <v>1610</v>
      </c>
    </row>
    <row r="1146" spans="1:13" ht="20.100000000000001" customHeight="1">
      <c r="A1146" s="248"/>
      <c r="B1146" s="248" t="s">
        <v>5077</v>
      </c>
      <c r="C1146" s="248" t="s">
        <v>4008</v>
      </c>
      <c r="D1146" s="248"/>
      <c r="E1146" s="248"/>
      <c r="F1146" s="248"/>
      <c r="G1146" s="248" t="s">
        <v>1611</v>
      </c>
      <c r="H1146" s="248"/>
      <c r="I1146" s="248"/>
      <c r="J1146" s="248"/>
      <c r="K1146" s="248"/>
      <c r="L1146" s="248"/>
      <c r="M1146" s="248" t="s">
        <v>1612</v>
      </c>
    </row>
    <row r="1147" spans="1:13" ht="20.100000000000001" customHeight="1">
      <c r="A1147" s="248"/>
      <c r="B1147" s="248" t="s">
        <v>6507</v>
      </c>
      <c r="C1147" s="248" t="s">
        <v>4008</v>
      </c>
      <c r="D1147" s="248"/>
      <c r="E1147" s="248"/>
      <c r="F1147" s="248"/>
      <c r="G1147" s="248" t="s">
        <v>6508</v>
      </c>
      <c r="H1147" s="248"/>
      <c r="I1147" s="248"/>
      <c r="J1147" s="248"/>
      <c r="K1147" s="248"/>
      <c r="L1147" s="248"/>
      <c r="M1147" s="248" t="s">
        <v>3848</v>
      </c>
    </row>
    <row r="1148" spans="1:13" ht="20.100000000000001" customHeight="1">
      <c r="A1148" s="248"/>
      <c r="B1148" s="248" t="s">
        <v>5078</v>
      </c>
      <c r="C1148" s="248" t="s">
        <v>4016</v>
      </c>
      <c r="D1148" s="248"/>
      <c r="E1148" s="248"/>
      <c r="F1148" s="248"/>
      <c r="G1148" s="248" t="s">
        <v>3387</v>
      </c>
      <c r="H1148" s="248"/>
      <c r="I1148" s="248"/>
      <c r="J1148" s="248"/>
      <c r="K1148" s="248"/>
      <c r="L1148" s="248"/>
      <c r="M1148" s="248" t="s">
        <v>196</v>
      </c>
    </row>
    <row r="1149" spans="1:13" ht="20.100000000000001" customHeight="1">
      <c r="A1149" s="248"/>
      <c r="B1149" s="248" t="s">
        <v>5079</v>
      </c>
      <c r="C1149" s="248" t="s">
        <v>4008</v>
      </c>
      <c r="D1149" s="248"/>
      <c r="E1149" s="248"/>
      <c r="F1149" s="248"/>
      <c r="G1149" s="248" t="s">
        <v>1613</v>
      </c>
      <c r="H1149" s="248"/>
      <c r="I1149" s="248"/>
      <c r="J1149" s="248"/>
      <c r="K1149" s="248"/>
      <c r="L1149" s="248"/>
      <c r="M1149" s="248" t="s">
        <v>1610</v>
      </c>
    </row>
    <row r="1150" spans="1:13" ht="20.100000000000001" customHeight="1">
      <c r="A1150" s="248"/>
      <c r="B1150" s="248" t="s">
        <v>5080</v>
      </c>
      <c r="C1150" s="248" t="s">
        <v>4121</v>
      </c>
      <c r="D1150" s="248"/>
      <c r="E1150" s="248"/>
      <c r="F1150" s="248"/>
      <c r="G1150" s="248" t="s">
        <v>6372</v>
      </c>
      <c r="H1150" s="248"/>
      <c r="I1150" s="248"/>
      <c r="J1150" s="248"/>
      <c r="K1150" s="248"/>
      <c r="L1150" s="248"/>
      <c r="M1150" s="248" t="s">
        <v>1614</v>
      </c>
    </row>
    <row r="1151" spans="1:13" ht="20.100000000000001" customHeight="1">
      <c r="A1151" s="248"/>
      <c r="B1151" s="248" t="s">
        <v>5081</v>
      </c>
      <c r="C1151" s="248" t="s">
        <v>4014</v>
      </c>
      <c r="D1151" s="248"/>
      <c r="E1151" s="248"/>
      <c r="F1151" s="248"/>
      <c r="G1151" s="248" t="s">
        <v>1615</v>
      </c>
      <c r="H1151" s="248"/>
      <c r="I1151" s="248"/>
      <c r="J1151" s="248"/>
      <c r="K1151" s="248"/>
      <c r="L1151" s="248"/>
      <c r="M1151" s="248" t="s">
        <v>1616</v>
      </c>
    </row>
    <row r="1152" spans="1:13" ht="20.100000000000001" customHeight="1">
      <c r="A1152" s="248"/>
      <c r="B1152" s="248" t="s">
        <v>5082</v>
      </c>
      <c r="C1152" s="248" t="s">
        <v>4016</v>
      </c>
      <c r="D1152" s="248"/>
      <c r="E1152" s="248"/>
      <c r="F1152" s="248"/>
      <c r="G1152" s="248" t="s">
        <v>1617</v>
      </c>
      <c r="H1152" s="248"/>
      <c r="I1152" s="248"/>
      <c r="J1152" s="248"/>
      <c r="K1152" s="248"/>
      <c r="L1152" s="248"/>
      <c r="M1152" s="248" t="s">
        <v>1618</v>
      </c>
    </row>
    <row r="1153" spans="1:13" ht="20.100000000000001" customHeight="1">
      <c r="A1153" s="248"/>
      <c r="B1153" s="248" t="s">
        <v>5083</v>
      </c>
      <c r="C1153" s="248" t="s">
        <v>4036</v>
      </c>
      <c r="D1153" s="248"/>
      <c r="E1153" s="248"/>
      <c r="F1153" s="248"/>
      <c r="G1153" s="248" t="s">
        <v>1619</v>
      </c>
      <c r="H1153" s="248"/>
      <c r="I1153" s="248"/>
      <c r="J1153" s="248"/>
      <c r="K1153" s="248"/>
      <c r="L1153" s="248"/>
      <c r="M1153" s="248" t="s">
        <v>1620</v>
      </c>
    </row>
    <row r="1154" spans="1:13" ht="20.100000000000001" customHeight="1">
      <c r="A1154" s="248"/>
      <c r="B1154" s="248" t="s">
        <v>5084</v>
      </c>
      <c r="C1154" s="248" t="s">
        <v>4025</v>
      </c>
      <c r="D1154" s="248"/>
      <c r="E1154" s="248"/>
      <c r="F1154" s="248"/>
      <c r="G1154" s="248" t="s">
        <v>1621</v>
      </c>
      <c r="H1154" s="248"/>
      <c r="I1154" s="248"/>
      <c r="J1154" s="248"/>
      <c r="K1154" s="248"/>
      <c r="L1154" s="248"/>
      <c r="M1154" s="248" t="s">
        <v>1622</v>
      </c>
    </row>
    <row r="1155" spans="1:13" ht="20.100000000000001" customHeight="1">
      <c r="A1155" s="249"/>
      <c r="B1155" s="249" t="s">
        <v>5085</v>
      </c>
      <c r="C1155" s="250" t="s">
        <v>4030</v>
      </c>
      <c r="D1155" s="249"/>
      <c r="E1155" s="249"/>
      <c r="F1155" s="249"/>
      <c r="G1155" s="249" t="s">
        <v>1623</v>
      </c>
      <c r="H1155" s="249"/>
      <c r="I1155" s="249"/>
      <c r="J1155" s="249"/>
      <c r="K1155" s="249"/>
      <c r="L1155" s="249"/>
      <c r="M1155" s="249" t="s">
        <v>1624</v>
      </c>
    </row>
    <row r="1156" spans="1:13" ht="20.100000000000001" customHeight="1">
      <c r="A1156" s="248"/>
      <c r="B1156" s="248" t="s">
        <v>5086</v>
      </c>
      <c r="C1156" s="248" t="s">
        <v>4036</v>
      </c>
      <c r="D1156" s="248"/>
      <c r="E1156" s="248"/>
      <c r="F1156" s="248"/>
      <c r="G1156" s="248" t="s">
        <v>1625</v>
      </c>
      <c r="H1156" s="248"/>
      <c r="I1156" s="248"/>
      <c r="J1156" s="248"/>
      <c r="K1156" s="248"/>
      <c r="L1156" s="248"/>
      <c r="M1156" s="248" t="s">
        <v>1626</v>
      </c>
    </row>
    <row r="1157" spans="1:13" ht="20.100000000000001" customHeight="1">
      <c r="A1157" s="248"/>
      <c r="B1157" s="248" t="s">
        <v>5087</v>
      </c>
      <c r="C1157" s="248" t="s">
        <v>4025</v>
      </c>
      <c r="D1157" s="248"/>
      <c r="E1157" s="248"/>
      <c r="F1157" s="248"/>
      <c r="G1157" s="248" t="s">
        <v>1627</v>
      </c>
      <c r="H1157" s="248"/>
      <c r="I1157" s="248"/>
      <c r="J1157" s="248"/>
      <c r="K1157" s="248"/>
      <c r="L1157" s="248"/>
      <c r="M1157" s="248" t="s">
        <v>1628</v>
      </c>
    </row>
    <row r="1158" spans="1:13" ht="20.100000000000001" customHeight="1">
      <c r="A1158" s="248"/>
      <c r="B1158" s="248" t="s">
        <v>5088</v>
      </c>
      <c r="C1158" s="248" t="s">
        <v>4012</v>
      </c>
      <c r="D1158" s="248"/>
      <c r="E1158" s="248"/>
      <c r="F1158" s="248"/>
      <c r="G1158" s="248" t="s">
        <v>1629</v>
      </c>
      <c r="H1158" s="248"/>
      <c r="I1158" s="248"/>
      <c r="J1158" s="248"/>
      <c r="K1158" s="248"/>
      <c r="L1158" s="248"/>
      <c r="M1158" s="248" t="s">
        <v>1630</v>
      </c>
    </row>
    <row r="1159" spans="1:13" ht="20.100000000000001" customHeight="1">
      <c r="A1159" s="248"/>
      <c r="B1159" s="248" t="s">
        <v>5089</v>
      </c>
      <c r="C1159" s="248" t="s">
        <v>4012</v>
      </c>
      <c r="D1159" s="248"/>
      <c r="E1159" s="248"/>
      <c r="F1159" s="248"/>
      <c r="G1159" s="248" t="s">
        <v>1631</v>
      </c>
      <c r="H1159" s="248"/>
      <c r="I1159" s="248"/>
      <c r="J1159" s="248"/>
      <c r="K1159" s="248"/>
      <c r="L1159" s="248"/>
      <c r="M1159" s="248" t="s">
        <v>3550</v>
      </c>
    </row>
    <row r="1160" spans="1:13" ht="20.100000000000001" customHeight="1">
      <c r="A1160" s="248"/>
      <c r="B1160" s="248" t="s">
        <v>5090</v>
      </c>
      <c r="C1160" s="248" t="s">
        <v>4036</v>
      </c>
      <c r="D1160" s="248"/>
      <c r="E1160" s="248"/>
      <c r="F1160" s="248"/>
      <c r="G1160" s="248" t="s">
        <v>1632</v>
      </c>
      <c r="H1160" s="248"/>
      <c r="I1160" s="248"/>
      <c r="J1160" s="248"/>
      <c r="K1160" s="248"/>
      <c r="L1160" s="248"/>
      <c r="M1160" s="248" t="s">
        <v>1633</v>
      </c>
    </row>
    <row r="1161" spans="1:13" ht="20.100000000000001" customHeight="1">
      <c r="A1161" s="248"/>
      <c r="B1161" s="248" t="s">
        <v>5091</v>
      </c>
      <c r="C1161" s="248" t="s">
        <v>4008</v>
      </c>
      <c r="D1161" s="248"/>
      <c r="E1161" s="248"/>
      <c r="F1161" s="248"/>
      <c r="G1161" s="248" t="s">
        <v>3213</v>
      </c>
      <c r="H1161" s="248"/>
      <c r="I1161" s="248"/>
      <c r="J1161" s="248"/>
      <c r="K1161" s="248"/>
      <c r="L1161" s="248"/>
      <c r="M1161" s="248" t="s">
        <v>3214</v>
      </c>
    </row>
    <row r="1162" spans="1:13" ht="20.100000000000001" customHeight="1">
      <c r="A1162" s="248"/>
      <c r="B1162" s="248" t="s">
        <v>5092</v>
      </c>
      <c r="C1162" s="248" t="s">
        <v>4016</v>
      </c>
      <c r="D1162" s="248"/>
      <c r="E1162" s="248"/>
      <c r="F1162" s="248"/>
      <c r="G1162" s="248" t="s">
        <v>1634</v>
      </c>
      <c r="H1162" s="248"/>
      <c r="I1162" s="248"/>
      <c r="J1162" s="248"/>
      <c r="K1162" s="248"/>
      <c r="L1162" s="248"/>
      <c r="M1162" s="248" t="s">
        <v>682</v>
      </c>
    </row>
    <row r="1163" spans="1:13" ht="20.100000000000001" customHeight="1">
      <c r="A1163" s="248"/>
      <c r="B1163" s="248" t="s">
        <v>5093</v>
      </c>
      <c r="C1163" s="248" t="s">
        <v>4014</v>
      </c>
      <c r="D1163" s="248"/>
      <c r="E1163" s="248"/>
      <c r="F1163" s="248"/>
      <c r="G1163" s="248" t="s">
        <v>1635</v>
      </c>
      <c r="H1163" s="248"/>
      <c r="I1163" s="248"/>
      <c r="J1163" s="248"/>
      <c r="K1163" s="248"/>
      <c r="L1163" s="248"/>
      <c r="M1163" s="248" t="s">
        <v>1636</v>
      </c>
    </row>
    <row r="1164" spans="1:13" ht="20.100000000000001" customHeight="1">
      <c r="A1164" s="249"/>
      <c r="B1164" s="249" t="s">
        <v>5094</v>
      </c>
      <c r="C1164" s="250" t="s">
        <v>4008</v>
      </c>
      <c r="D1164" s="249"/>
      <c r="E1164" s="249"/>
      <c r="F1164" s="249"/>
      <c r="G1164" s="249" t="s">
        <v>1637</v>
      </c>
      <c r="H1164" s="249"/>
      <c r="I1164" s="249"/>
      <c r="J1164" s="249"/>
      <c r="K1164" s="249"/>
      <c r="L1164" s="249"/>
      <c r="M1164" s="249" t="s">
        <v>1638</v>
      </c>
    </row>
    <row r="1165" spans="1:13" ht="20.100000000000001" customHeight="1">
      <c r="A1165" s="248"/>
      <c r="B1165" s="248" t="s">
        <v>5095</v>
      </c>
      <c r="C1165" s="248" t="s">
        <v>4008</v>
      </c>
      <c r="D1165" s="248"/>
      <c r="E1165" s="248"/>
      <c r="F1165" s="248"/>
      <c r="G1165" s="248" t="s">
        <v>3363</v>
      </c>
      <c r="H1165" s="248"/>
      <c r="I1165" s="248"/>
      <c r="J1165" s="248"/>
      <c r="K1165" s="248"/>
      <c r="L1165" s="248"/>
      <c r="M1165" s="248" t="s">
        <v>3364</v>
      </c>
    </row>
    <row r="1166" spans="1:13" ht="20.100000000000001" customHeight="1">
      <c r="A1166" s="248"/>
      <c r="B1166" s="248" t="s">
        <v>5096</v>
      </c>
      <c r="C1166" s="248" t="s">
        <v>4008</v>
      </c>
      <c r="D1166" s="248"/>
      <c r="E1166" s="248"/>
      <c r="F1166" s="248"/>
      <c r="G1166" s="248" t="s">
        <v>3388</v>
      </c>
      <c r="H1166" s="248"/>
      <c r="I1166" s="248"/>
      <c r="J1166" s="248"/>
      <c r="K1166" s="248"/>
      <c r="L1166" s="248"/>
      <c r="M1166" s="248" t="s">
        <v>196</v>
      </c>
    </row>
    <row r="1167" spans="1:13" ht="20.100000000000001" customHeight="1">
      <c r="A1167" s="248"/>
      <c r="B1167" s="248" t="s">
        <v>5097</v>
      </c>
      <c r="C1167" s="248" t="s">
        <v>4008</v>
      </c>
      <c r="D1167" s="248"/>
      <c r="E1167" s="248"/>
      <c r="F1167" s="248"/>
      <c r="G1167" s="248" t="s">
        <v>1639</v>
      </c>
      <c r="H1167" s="248"/>
      <c r="I1167" s="248"/>
      <c r="J1167" s="248"/>
      <c r="K1167" s="248"/>
      <c r="L1167" s="248"/>
      <c r="M1167" s="248" t="s">
        <v>1640</v>
      </c>
    </row>
    <row r="1168" spans="1:13" ht="20.100000000000001" customHeight="1">
      <c r="A1168" s="248"/>
      <c r="B1168" s="248" t="s">
        <v>6255</v>
      </c>
      <c r="C1168" s="248" t="s">
        <v>4008</v>
      </c>
      <c r="D1168" s="248"/>
      <c r="E1168" s="248"/>
      <c r="F1168" s="248"/>
      <c r="G1168" s="248" t="s">
        <v>6256</v>
      </c>
      <c r="H1168" s="248"/>
      <c r="I1168" s="248"/>
      <c r="J1168" s="248"/>
      <c r="K1168" s="248"/>
      <c r="L1168" s="248"/>
      <c r="M1168" s="248" t="s">
        <v>6257</v>
      </c>
    </row>
    <row r="1169" spans="1:13" ht="20.100000000000001" customHeight="1">
      <c r="A1169" s="248"/>
      <c r="B1169" s="248" t="s">
        <v>5098</v>
      </c>
      <c r="C1169" s="248" t="s">
        <v>4036</v>
      </c>
      <c r="D1169" s="248"/>
      <c r="E1169" s="248"/>
      <c r="F1169" s="248"/>
      <c r="G1169" s="248" t="s">
        <v>2983</v>
      </c>
      <c r="H1169" s="248"/>
      <c r="I1169" s="248"/>
      <c r="J1169" s="248"/>
      <c r="K1169" s="248"/>
      <c r="L1169" s="248"/>
      <c r="M1169" s="248" t="s">
        <v>1641</v>
      </c>
    </row>
    <row r="1170" spans="1:13" ht="20.100000000000001" customHeight="1">
      <c r="A1170" s="248"/>
      <c r="B1170" s="248" t="s">
        <v>5099</v>
      </c>
      <c r="C1170" s="248" t="s">
        <v>4030</v>
      </c>
      <c r="D1170" s="248"/>
      <c r="E1170" s="248"/>
      <c r="F1170" s="248"/>
      <c r="G1170" s="248" t="s">
        <v>3357</v>
      </c>
      <c r="H1170" s="248"/>
      <c r="I1170" s="248"/>
      <c r="J1170" s="248"/>
      <c r="K1170" s="248"/>
      <c r="L1170" s="248"/>
      <c r="M1170" s="248" t="s">
        <v>3358</v>
      </c>
    </row>
    <row r="1171" spans="1:13" ht="20.100000000000001" customHeight="1">
      <c r="A1171" s="249"/>
      <c r="B1171" s="249" t="s">
        <v>5100</v>
      </c>
      <c r="C1171" s="250" t="s">
        <v>4014</v>
      </c>
      <c r="D1171" s="249"/>
      <c r="E1171" s="249"/>
      <c r="F1171" s="249"/>
      <c r="G1171" s="249" t="s">
        <v>1642</v>
      </c>
      <c r="H1171" s="249"/>
      <c r="I1171" s="249"/>
      <c r="J1171" s="249"/>
      <c r="K1171" s="249"/>
      <c r="L1171" s="249"/>
      <c r="M1171" s="249" t="s">
        <v>1643</v>
      </c>
    </row>
    <row r="1172" spans="1:13" ht="20.100000000000001" customHeight="1">
      <c r="A1172" s="248"/>
      <c r="B1172" s="248" t="s">
        <v>5101</v>
      </c>
      <c r="C1172" s="248" t="s">
        <v>4050</v>
      </c>
      <c r="D1172" s="248"/>
      <c r="E1172" s="248"/>
      <c r="F1172" s="248"/>
      <c r="G1172" s="248" t="s">
        <v>1644</v>
      </c>
      <c r="H1172" s="248"/>
      <c r="I1172" s="248"/>
      <c r="J1172" s="248"/>
      <c r="K1172" s="248"/>
      <c r="L1172" s="248"/>
      <c r="M1172" s="248" t="s">
        <v>1645</v>
      </c>
    </row>
    <row r="1173" spans="1:13" ht="20.100000000000001" customHeight="1">
      <c r="A1173" s="248"/>
      <c r="B1173" s="248" t="s">
        <v>5102</v>
      </c>
      <c r="C1173" s="248" t="s">
        <v>4057</v>
      </c>
      <c r="D1173" s="248"/>
      <c r="E1173" s="248"/>
      <c r="F1173" s="248"/>
      <c r="G1173" s="248" t="s">
        <v>3566</v>
      </c>
      <c r="H1173" s="248"/>
      <c r="I1173" s="248"/>
      <c r="J1173" s="248"/>
      <c r="K1173" s="248"/>
      <c r="L1173" s="248"/>
      <c r="M1173" s="248" t="s">
        <v>3567</v>
      </c>
    </row>
    <row r="1174" spans="1:13" ht="20.100000000000001" customHeight="1">
      <c r="A1174" s="248"/>
      <c r="B1174" s="248" t="s">
        <v>5103</v>
      </c>
      <c r="C1174" s="248" t="s">
        <v>4005</v>
      </c>
      <c r="D1174" s="248"/>
      <c r="E1174" s="248"/>
      <c r="F1174" s="248"/>
      <c r="G1174" s="248" t="s">
        <v>1646</v>
      </c>
      <c r="H1174" s="248"/>
      <c r="I1174" s="248"/>
      <c r="J1174" s="248"/>
      <c r="K1174" s="248"/>
      <c r="L1174" s="248"/>
      <c r="M1174" s="248" t="s">
        <v>1647</v>
      </c>
    </row>
    <row r="1175" spans="1:13" ht="20.100000000000001" customHeight="1">
      <c r="A1175" s="248"/>
      <c r="B1175" s="248" t="s">
        <v>5104</v>
      </c>
      <c r="C1175" s="248" t="s">
        <v>4124</v>
      </c>
      <c r="D1175" s="248"/>
      <c r="E1175" s="248"/>
      <c r="F1175" s="248"/>
      <c r="G1175" s="248" t="s">
        <v>1648</v>
      </c>
      <c r="H1175" s="248"/>
      <c r="I1175" s="248"/>
      <c r="J1175" s="248"/>
      <c r="K1175" s="248"/>
      <c r="L1175" s="248"/>
      <c r="M1175" s="248" t="s">
        <v>3550</v>
      </c>
    </row>
    <row r="1176" spans="1:13" ht="20.100000000000001" customHeight="1">
      <c r="A1176" s="248"/>
      <c r="B1176" s="248" t="s">
        <v>5105</v>
      </c>
      <c r="C1176" s="248" t="s">
        <v>4003</v>
      </c>
      <c r="D1176" s="248"/>
      <c r="E1176" s="248"/>
      <c r="F1176" s="248"/>
      <c r="G1176" s="248" t="s">
        <v>1649</v>
      </c>
      <c r="H1176" s="248"/>
      <c r="I1176" s="248"/>
      <c r="J1176" s="248"/>
      <c r="K1176" s="248"/>
      <c r="L1176" s="248"/>
      <c r="M1176" s="248" t="s">
        <v>1650</v>
      </c>
    </row>
    <row r="1177" spans="1:13" ht="20.100000000000001" customHeight="1">
      <c r="A1177" s="248"/>
      <c r="B1177" s="248" t="s">
        <v>5106</v>
      </c>
      <c r="C1177" s="248" t="s">
        <v>4030</v>
      </c>
      <c r="D1177" s="248"/>
      <c r="E1177" s="248"/>
      <c r="F1177" s="248"/>
      <c r="G1177" s="248" t="s">
        <v>3652</v>
      </c>
      <c r="H1177" s="248"/>
      <c r="I1177" s="248"/>
      <c r="J1177" s="248"/>
      <c r="K1177" s="248"/>
      <c r="L1177" s="248"/>
      <c r="M1177" s="248" t="s">
        <v>3653</v>
      </c>
    </row>
    <row r="1178" spans="1:13" ht="20.100000000000001" customHeight="1">
      <c r="A1178" s="248"/>
      <c r="B1178" s="248" t="s">
        <v>6447</v>
      </c>
      <c r="C1178" s="248" t="s">
        <v>4008</v>
      </c>
      <c r="D1178" s="248"/>
      <c r="E1178" s="248"/>
      <c r="F1178" s="248"/>
      <c r="G1178" s="248" t="s">
        <v>6448</v>
      </c>
      <c r="H1178" s="248"/>
      <c r="I1178" s="248"/>
      <c r="J1178" s="248"/>
      <c r="K1178" s="248"/>
      <c r="L1178" s="248"/>
      <c r="M1178" s="248" t="s">
        <v>3550</v>
      </c>
    </row>
    <row r="1179" spans="1:13" ht="20.100000000000001" customHeight="1">
      <c r="A1179" s="248"/>
      <c r="B1179" s="248" t="s">
        <v>5107</v>
      </c>
      <c r="C1179" s="248" t="s">
        <v>4016</v>
      </c>
      <c r="D1179" s="248"/>
      <c r="E1179" s="248"/>
      <c r="F1179" s="248"/>
      <c r="G1179" s="248" t="s">
        <v>1651</v>
      </c>
      <c r="H1179" s="248"/>
      <c r="I1179" s="248"/>
      <c r="J1179" s="248"/>
      <c r="K1179" s="248"/>
      <c r="L1179" s="248"/>
      <c r="M1179" s="248" t="s">
        <v>3550</v>
      </c>
    </row>
    <row r="1180" spans="1:13" ht="20.100000000000001" customHeight="1">
      <c r="A1180" s="248"/>
      <c r="B1180" s="248" t="s">
        <v>5108</v>
      </c>
      <c r="C1180" s="248" t="s">
        <v>4146</v>
      </c>
      <c r="D1180" s="248"/>
      <c r="E1180" s="248"/>
      <c r="F1180" s="248"/>
      <c r="G1180" s="248" t="s">
        <v>1652</v>
      </c>
      <c r="H1180" s="248"/>
      <c r="I1180" s="248"/>
      <c r="J1180" s="248"/>
      <c r="K1180" s="248"/>
      <c r="L1180" s="248"/>
      <c r="M1180" s="248" t="s">
        <v>1653</v>
      </c>
    </row>
    <row r="1181" spans="1:13" ht="20.100000000000001" customHeight="1">
      <c r="A1181" s="248"/>
      <c r="B1181" s="248" t="s">
        <v>5109</v>
      </c>
      <c r="C1181" s="248" t="s">
        <v>4003</v>
      </c>
      <c r="D1181" s="248"/>
      <c r="E1181" s="248"/>
      <c r="F1181" s="248"/>
      <c r="G1181" s="248" t="s">
        <v>3915</v>
      </c>
      <c r="H1181" s="248"/>
      <c r="I1181" s="248"/>
      <c r="J1181" s="248"/>
      <c r="K1181" s="248"/>
      <c r="L1181" s="248"/>
      <c r="M1181" s="248" t="s">
        <v>196</v>
      </c>
    </row>
    <row r="1182" spans="1:13" ht="20.100000000000001" customHeight="1">
      <c r="A1182" s="248"/>
      <c r="B1182" s="248" t="s">
        <v>5110</v>
      </c>
      <c r="C1182" s="248" t="s">
        <v>4008</v>
      </c>
      <c r="D1182" s="248"/>
      <c r="E1182" s="248"/>
      <c r="F1182" s="248"/>
      <c r="G1182" s="248" t="s">
        <v>1655</v>
      </c>
      <c r="H1182" s="248"/>
      <c r="I1182" s="248"/>
      <c r="J1182" s="248"/>
      <c r="K1182" s="248"/>
      <c r="L1182" s="248"/>
      <c r="M1182" s="248" t="s">
        <v>1656</v>
      </c>
    </row>
    <row r="1183" spans="1:13" ht="20.100000000000001" customHeight="1">
      <c r="A1183" s="248"/>
      <c r="B1183" s="248" t="s">
        <v>5111</v>
      </c>
      <c r="C1183" s="248" t="s">
        <v>4008</v>
      </c>
      <c r="D1183" s="248"/>
      <c r="E1183" s="248"/>
      <c r="F1183" s="248"/>
      <c r="G1183" s="248" t="s">
        <v>3618</v>
      </c>
      <c r="H1183" s="248"/>
      <c r="I1183" s="248"/>
      <c r="J1183" s="248"/>
      <c r="K1183" s="248"/>
      <c r="L1183" s="248"/>
      <c r="M1183" s="248" t="s">
        <v>1654</v>
      </c>
    </row>
    <row r="1184" spans="1:13" ht="20.100000000000001" customHeight="1">
      <c r="A1184" s="248"/>
      <c r="B1184" s="248" t="s">
        <v>5112</v>
      </c>
      <c r="C1184" s="248" t="s">
        <v>4121</v>
      </c>
      <c r="D1184" s="248"/>
      <c r="E1184" s="248"/>
      <c r="F1184" s="248"/>
      <c r="G1184" s="248" t="s">
        <v>3792</v>
      </c>
      <c r="H1184" s="248"/>
      <c r="I1184" s="248"/>
      <c r="J1184" s="248"/>
      <c r="K1184" s="248"/>
      <c r="L1184" s="248"/>
      <c r="M1184" s="248" t="s">
        <v>1657</v>
      </c>
    </row>
    <row r="1185" spans="1:13" ht="20.100000000000001" customHeight="1">
      <c r="A1185" s="248"/>
      <c r="B1185" s="248" t="s">
        <v>5113</v>
      </c>
      <c r="C1185" s="248" t="s">
        <v>4050</v>
      </c>
      <c r="D1185" s="248"/>
      <c r="E1185" s="248"/>
      <c r="F1185" s="248"/>
      <c r="G1185" s="248" t="s">
        <v>1658</v>
      </c>
      <c r="H1185" s="248"/>
      <c r="I1185" s="248"/>
      <c r="J1185" s="248"/>
      <c r="K1185" s="248"/>
      <c r="L1185" s="248"/>
      <c r="M1185" s="248" t="s">
        <v>1659</v>
      </c>
    </row>
    <row r="1186" spans="1:13" ht="20.100000000000001" customHeight="1">
      <c r="A1186" s="248"/>
      <c r="B1186" s="248" t="s">
        <v>5114</v>
      </c>
      <c r="C1186" s="248" t="s">
        <v>4030</v>
      </c>
      <c r="D1186" s="248"/>
      <c r="E1186" s="248"/>
      <c r="F1186" s="248"/>
      <c r="G1186" s="248" t="s">
        <v>1660</v>
      </c>
      <c r="H1186" s="248"/>
      <c r="I1186" s="248"/>
      <c r="J1186" s="248"/>
      <c r="K1186" s="248"/>
      <c r="L1186" s="248"/>
      <c r="M1186" s="248" t="s">
        <v>3550</v>
      </c>
    </row>
    <row r="1187" spans="1:13" ht="20.100000000000001" customHeight="1">
      <c r="A1187" s="248"/>
      <c r="B1187" s="248" t="s">
        <v>5115</v>
      </c>
      <c r="C1187" s="248" t="s">
        <v>4003</v>
      </c>
      <c r="D1187" s="248"/>
      <c r="E1187" s="248"/>
      <c r="F1187" s="248"/>
      <c r="G1187" s="248" t="s">
        <v>1661</v>
      </c>
      <c r="H1187" s="248"/>
      <c r="I1187" s="248"/>
      <c r="J1187" s="248"/>
      <c r="K1187" s="248"/>
      <c r="L1187" s="248"/>
      <c r="M1187" s="248" t="s">
        <v>1662</v>
      </c>
    </row>
    <row r="1188" spans="1:13" ht="20.100000000000001" customHeight="1">
      <c r="A1188" s="249"/>
      <c r="B1188" s="249" t="s">
        <v>5116</v>
      </c>
      <c r="C1188" s="250" t="s">
        <v>4030</v>
      </c>
      <c r="D1188" s="249"/>
      <c r="E1188" s="249"/>
      <c r="F1188" s="249"/>
      <c r="G1188" s="249" t="s">
        <v>3359</v>
      </c>
      <c r="H1188" s="249"/>
      <c r="I1188" s="249"/>
      <c r="J1188" s="249"/>
      <c r="K1188" s="249"/>
      <c r="L1188" s="249"/>
      <c r="M1188" s="249" t="s">
        <v>3360</v>
      </c>
    </row>
    <row r="1189" spans="1:13" ht="20.100000000000001" customHeight="1">
      <c r="A1189" s="248"/>
      <c r="B1189" s="248" t="s">
        <v>5117</v>
      </c>
      <c r="C1189" s="248" t="s">
        <v>4014</v>
      </c>
      <c r="D1189" s="248"/>
      <c r="E1189" s="248"/>
      <c r="F1189" s="248"/>
      <c r="G1189" s="248" t="s">
        <v>1663</v>
      </c>
      <c r="H1189" s="248"/>
      <c r="I1189" s="248"/>
      <c r="J1189" s="248"/>
      <c r="K1189" s="248"/>
      <c r="L1189" s="248"/>
      <c r="M1189" s="248" t="s">
        <v>1664</v>
      </c>
    </row>
    <row r="1190" spans="1:13" ht="20.100000000000001" customHeight="1">
      <c r="A1190" s="248"/>
      <c r="B1190" s="248" t="s">
        <v>5118</v>
      </c>
      <c r="C1190" s="248" t="s">
        <v>4003</v>
      </c>
      <c r="D1190" s="248"/>
      <c r="E1190" s="248"/>
      <c r="F1190" s="248"/>
      <c r="G1190" s="248" t="s">
        <v>1665</v>
      </c>
      <c r="H1190" s="248"/>
      <c r="I1190" s="248"/>
      <c r="J1190" s="248"/>
      <c r="K1190" s="248"/>
      <c r="L1190" s="248"/>
      <c r="M1190" s="248" t="s">
        <v>1666</v>
      </c>
    </row>
    <row r="1191" spans="1:13" ht="20.100000000000001" customHeight="1">
      <c r="A1191" s="248"/>
      <c r="B1191" s="248" t="s">
        <v>5119</v>
      </c>
      <c r="C1191" s="248" t="s">
        <v>4016</v>
      </c>
      <c r="D1191" s="248"/>
      <c r="E1191" s="248"/>
      <c r="F1191" s="248"/>
      <c r="G1191" s="248" t="s">
        <v>3527</v>
      </c>
      <c r="H1191" s="248"/>
      <c r="I1191" s="248"/>
      <c r="J1191" s="248"/>
      <c r="K1191" s="248"/>
      <c r="L1191" s="248"/>
      <c r="M1191" s="248" t="s">
        <v>3528</v>
      </c>
    </row>
    <row r="1192" spans="1:13" ht="20.100000000000001" customHeight="1">
      <c r="A1192" s="248"/>
      <c r="B1192" s="248" t="s">
        <v>5120</v>
      </c>
      <c r="C1192" s="248" t="s">
        <v>4025</v>
      </c>
      <c r="D1192" s="248"/>
      <c r="E1192" s="248"/>
      <c r="F1192" s="248"/>
      <c r="G1192" s="248" t="s">
        <v>1667</v>
      </c>
      <c r="H1192" s="248"/>
      <c r="I1192" s="248"/>
      <c r="J1192" s="248"/>
      <c r="K1192" s="248"/>
      <c r="L1192" s="248"/>
      <c r="M1192" s="248" t="s">
        <v>1668</v>
      </c>
    </row>
    <row r="1193" spans="1:13" ht="20.100000000000001" customHeight="1">
      <c r="A1193" s="248"/>
      <c r="B1193" s="248" t="s">
        <v>5121</v>
      </c>
      <c r="C1193" s="248" t="s">
        <v>4036</v>
      </c>
      <c r="D1193" s="248"/>
      <c r="E1193" s="248"/>
      <c r="F1193" s="248"/>
      <c r="G1193" s="248" t="s">
        <v>3568</v>
      </c>
      <c r="H1193" s="248"/>
      <c r="I1193" s="248"/>
      <c r="J1193" s="248"/>
      <c r="K1193" s="248"/>
      <c r="L1193" s="248"/>
      <c r="M1193" s="248" t="s">
        <v>3569</v>
      </c>
    </row>
    <row r="1194" spans="1:13" ht="20.100000000000001" customHeight="1">
      <c r="A1194" s="248"/>
      <c r="B1194" s="248" t="s">
        <v>5122</v>
      </c>
      <c r="C1194" s="248" t="s">
        <v>4003</v>
      </c>
      <c r="D1194" s="248"/>
      <c r="E1194" s="248"/>
      <c r="F1194" s="248"/>
      <c r="G1194" s="248" t="s">
        <v>3034</v>
      </c>
      <c r="H1194" s="248"/>
      <c r="I1194" s="248"/>
      <c r="J1194" s="248"/>
      <c r="K1194" s="248"/>
      <c r="L1194" s="248"/>
      <c r="M1194" s="248" t="s">
        <v>3035</v>
      </c>
    </row>
    <row r="1195" spans="1:13" ht="20.100000000000001" customHeight="1">
      <c r="A1195" s="248"/>
      <c r="B1195" s="248" t="s">
        <v>5123</v>
      </c>
      <c r="C1195" s="248" t="s">
        <v>4146</v>
      </c>
      <c r="D1195" s="248"/>
      <c r="E1195" s="248"/>
      <c r="F1195" s="248"/>
      <c r="G1195" s="248" t="s">
        <v>3616</v>
      </c>
      <c r="H1195" s="248"/>
      <c r="I1195" s="248"/>
      <c r="J1195" s="248"/>
      <c r="K1195" s="248"/>
      <c r="L1195" s="248"/>
      <c r="M1195" s="248" t="s">
        <v>3617</v>
      </c>
    </row>
    <row r="1196" spans="1:13" ht="20.100000000000001" customHeight="1">
      <c r="A1196" s="248"/>
      <c r="B1196" s="248" t="s">
        <v>5124</v>
      </c>
      <c r="C1196" s="248" t="s">
        <v>4016</v>
      </c>
      <c r="D1196" s="248"/>
      <c r="E1196" s="248"/>
      <c r="F1196" s="248"/>
      <c r="G1196" s="248" t="s">
        <v>1669</v>
      </c>
      <c r="H1196" s="248"/>
      <c r="I1196" s="248"/>
      <c r="J1196" s="248"/>
      <c r="K1196" s="248"/>
      <c r="L1196" s="248"/>
      <c r="M1196" s="248" t="s">
        <v>1670</v>
      </c>
    </row>
    <row r="1197" spans="1:13" ht="20.100000000000001" customHeight="1">
      <c r="A1197" s="248"/>
      <c r="B1197" s="248" t="s">
        <v>5125</v>
      </c>
      <c r="C1197" s="248" t="s">
        <v>4030</v>
      </c>
      <c r="D1197" s="248"/>
      <c r="E1197" s="248"/>
      <c r="F1197" s="248"/>
      <c r="G1197" s="248" t="s">
        <v>1671</v>
      </c>
      <c r="H1197" s="248"/>
      <c r="I1197" s="248"/>
      <c r="J1197" s="248"/>
      <c r="K1197" s="248"/>
      <c r="L1197" s="248"/>
      <c r="M1197" s="248" t="s">
        <v>1672</v>
      </c>
    </row>
    <row r="1198" spans="1:13" ht="20.100000000000001" customHeight="1">
      <c r="A1198" s="248"/>
      <c r="B1198" s="248" t="s">
        <v>5126</v>
      </c>
      <c r="C1198" s="248" t="s">
        <v>4124</v>
      </c>
      <c r="D1198" s="248"/>
      <c r="E1198" s="248"/>
      <c r="F1198" s="248"/>
      <c r="G1198" s="248" t="s">
        <v>3849</v>
      </c>
      <c r="H1198" s="248"/>
      <c r="I1198" s="248"/>
      <c r="J1198" s="248"/>
      <c r="K1198" s="248"/>
      <c r="L1198" s="248"/>
      <c r="M1198" s="248" t="s">
        <v>3850</v>
      </c>
    </row>
    <row r="1199" spans="1:13" ht="20.100000000000001" customHeight="1">
      <c r="A1199" s="248"/>
      <c r="B1199" s="248" t="s">
        <v>5127</v>
      </c>
      <c r="C1199" s="248" t="s">
        <v>4014</v>
      </c>
      <c r="D1199" s="248"/>
      <c r="E1199" s="248"/>
      <c r="F1199" s="248"/>
      <c r="G1199" s="248" t="s">
        <v>1673</v>
      </c>
      <c r="H1199" s="248"/>
      <c r="I1199" s="248"/>
      <c r="J1199" s="248"/>
      <c r="K1199" s="248"/>
      <c r="L1199" s="248"/>
      <c r="M1199" s="248" t="s">
        <v>3550</v>
      </c>
    </row>
    <row r="1200" spans="1:13" ht="20.100000000000001" customHeight="1">
      <c r="A1200" s="248"/>
      <c r="B1200" s="248" t="s">
        <v>6143</v>
      </c>
      <c r="C1200" s="248" t="s">
        <v>4036</v>
      </c>
      <c r="D1200" s="248"/>
      <c r="E1200" s="248"/>
      <c r="F1200" s="248"/>
      <c r="G1200" s="248" t="s">
        <v>6144</v>
      </c>
      <c r="H1200" s="248"/>
      <c r="I1200" s="248"/>
      <c r="J1200" s="248"/>
      <c r="K1200" s="248"/>
      <c r="L1200" s="248"/>
      <c r="M1200" s="248" t="s">
        <v>6145</v>
      </c>
    </row>
    <row r="1201" spans="1:13" ht="20.100000000000001" customHeight="1">
      <c r="A1201" s="248"/>
      <c r="B1201" s="248" t="s">
        <v>5128</v>
      </c>
      <c r="C1201" s="248" t="s">
        <v>4012</v>
      </c>
      <c r="D1201" s="248"/>
      <c r="E1201" s="248"/>
      <c r="F1201" s="248"/>
      <c r="G1201" s="248" t="s">
        <v>1674</v>
      </c>
      <c r="H1201" s="248"/>
      <c r="I1201" s="248"/>
      <c r="J1201" s="248"/>
      <c r="K1201" s="248"/>
      <c r="L1201" s="248"/>
      <c r="M1201" s="248" t="s">
        <v>1675</v>
      </c>
    </row>
    <row r="1202" spans="1:13" ht="20.100000000000001" customHeight="1">
      <c r="A1202" s="248"/>
      <c r="B1202" s="248" t="s">
        <v>5129</v>
      </c>
      <c r="C1202" s="248" t="s">
        <v>4036</v>
      </c>
      <c r="D1202" s="248"/>
      <c r="E1202" s="248"/>
      <c r="F1202" s="248"/>
      <c r="G1202" s="248" t="s">
        <v>3959</v>
      </c>
      <c r="H1202" s="248"/>
      <c r="I1202" s="248"/>
      <c r="J1202" s="248"/>
      <c r="K1202" s="248"/>
      <c r="L1202" s="248"/>
      <c r="M1202" s="248" t="s">
        <v>3550</v>
      </c>
    </row>
    <row r="1203" spans="1:13" ht="20.100000000000001" customHeight="1">
      <c r="A1203" s="248"/>
      <c r="B1203" s="248" t="s">
        <v>5130</v>
      </c>
      <c r="C1203" s="248" t="s">
        <v>4016</v>
      </c>
      <c r="D1203" s="248"/>
      <c r="E1203" s="248"/>
      <c r="F1203" s="248"/>
      <c r="G1203" s="248" t="s">
        <v>1676</v>
      </c>
      <c r="H1203" s="248"/>
      <c r="I1203" s="248"/>
      <c r="J1203" s="248"/>
      <c r="K1203" s="248"/>
      <c r="L1203" s="248"/>
      <c r="M1203" s="248" t="s">
        <v>1677</v>
      </c>
    </row>
    <row r="1204" spans="1:13" ht="20.100000000000001" customHeight="1">
      <c r="A1204" s="248"/>
      <c r="B1204" s="248" t="s">
        <v>5131</v>
      </c>
      <c r="C1204" s="248" t="s">
        <v>4008</v>
      </c>
      <c r="D1204" s="248"/>
      <c r="E1204" s="248"/>
      <c r="F1204" s="248"/>
      <c r="G1204" s="248" t="s">
        <v>3147</v>
      </c>
      <c r="H1204" s="248"/>
      <c r="I1204" s="248"/>
      <c r="J1204" s="248"/>
      <c r="K1204" s="248"/>
      <c r="L1204" s="248"/>
      <c r="M1204" s="248" t="s">
        <v>3148</v>
      </c>
    </row>
    <row r="1205" spans="1:13" ht="20.100000000000001" customHeight="1">
      <c r="A1205" s="248"/>
      <c r="B1205" s="248" t="s">
        <v>5132</v>
      </c>
      <c r="C1205" s="248" t="s">
        <v>4003</v>
      </c>
      <c r="D1205" s="248"/>
      <c r="E1205" s="248"/>
      <c r="F1205" s="248"/>
      <c r="G1205" s="248" t="s">
        <v>1678</v>
      </c>
      <c r="H1205" s="248"/>
      <c r="I1205" s="248"/>
      <c r="J1205" s="248"/>
      <c r="K1205" s="248"/>
      <c r="L1205" s="248"/>
      <c r="M1205" s="248" t="s">
        <v>1679</v>
      </c>
    </row>
    <row r="1206" spans="1:13" ht="20.100000000000001" customHeight="1">
      <c r="A1206" s="248"/>
      <c r="B1206" s="248" t="s">
        <v>5133</v>
      </c>
      <c r="C1206" s="248" t="s">
        <v>4036</v>
      </c>
      <c r="D1206" s="248"/>
      <c r="E1206" s="248"/>
      <c r="F1206" s="248"/>
      <c r="G1206" s="248" t="s">
        <v>3697</v>
      </c>
      <c r="H1206" s="248"/>
      <c r="I1206" s="248"/>
      <c r="J1206" s="248"/>
      <c r="K1206" s="248"/>
      <c r="L1206" s="248"/>
      <c r="M1206" s="248" t="s">
        <v>3698</v>
      </c>
    </row>
    <row r="1207" spans="1:13" ht="20.100000000000001" customHeight="1">
      <c r="A1207" s="248"/>
      <c r="B1207" s="248" t="s">
        <v>5134</v>
      </c>
      <c r="C1207" s="248" t="s">
        <v>4016</v>
      </c>
      <c r="D1207" s="248"/>
      <c r="E1207" s="248"/>
      <c r="F1207" s="248"/>
      <c r="G1207" s="248" t="s">
        <v>1680</v>
      </c>
      <c r="H1207" s="248"/>
      <c r="I1207" s="248"/>
      <c r="J1207" s="248"/>
      <c r="K1207" s="248"/>
      <c r="L1207" s="248"/>
      <c r="M1207" s="248" t="s">
        <v>1681</v>
      </c>
    </row>
    <row r="1208" spans="1:13" ht="20.100000000000001" customHeight="1">
      <c r="A1208" s="248"/>
      <c r="B1208" s="248" t="s">
        <v>5135</v>
      </c>
      <c r="C1208" s="248" t="s">
        <v>4012</v>
      </c>
      <c r="D1208" s="248"/>
      <c r="E1208" s="248"/>
      <c r="F1208" s="248"/>
      <c r="G1208" s="248" t="s">
        <v>3470</v>
      </c>
      <c r="H1208" s="248"/>
      <c r="I1208" s="248"/>
      <c r="J1208" s="248"/>
      <c r="K1208" s="248"/>
      <c r="L1208" s="248"/>
      <c r="M1208" s="248" t="s">
        <v>3471</v>
      </c>
    </row>
    <row r="1209" spans="1:13" ht="20.100000000000001" customHeight="1">
      <c r="A1209" s="248"/>
      <c r="B1209" s="248" t="s">
        <v>5136</v>
      </c>
      <c r="C1209" s="248" t="s">
        <v>4008</v>
      </c>
      <c r="D1209" s="248"/>
      <c r="E1209" s="248"/>
      <c r="F1209" s="248"/>
      <c r="G1209" s="248" t="s">
        <v>1682</v>
      </c>
      <c r="H1209" s="248"/>
      <c r="I1209" s="248"/>
      <c r="J1209" s="248"/>
      <c r="K1209" s="248"/>
      <c r="L1209" s="248"/>
      <c r="M1209" s="248" t="s">
        <v>1683</v>
      </c>
    </row>
    <row r="1210" spans="1:13" ht="20.100000000000001" customHeight="1">
      <c r="A1210" s="248"/>
      <c r="B1210" s="248" t="s">
        <v>5137</v>
      </c>
      <c r="C1210" s="248" t="s">
        <v>4008</v>
      </c>
      <c r="D1210" s="248"/>
      <c r="E1210" s="248"/>
      <c r="F1210" s="248"/>
      <c r="G1210" s="248" t="s">
        <v>1684</v>
      </c>
      <c r="H1210" s="248"/>
      <c r="I1210" s="248"/>
      <c r="J1210" s="248"/>
      <c r="K1210" s="248"/>
      <c r="L1210" s="248"/>
      <c r="M1210" s="248" t="s">
        <v>3550</v>
      </c>
    </row>
    <row r="1211" spans="1:13" ht="20.100000000000001" customHeight="1">
      <c r="A1211" s="248"/>
      <c r="B1211" s="248" t="s">
        <v>5138</v>
      </c>
      <c r="C1211" s="248" t="s">
        <v>4030</v>
      </c>
      <c r="D1211" s="248"/>
      <c r="E1211" s="248"/>
      <c r="F1211" s="248"/>
      <c r="G1211" s="248" t="s">
        <v>3103</v>
      </c>
      <c r="H1211" s="248"/>
      <c r="I1211" s="248"/>
      <c r="J1211" s="248"/>
      <c r="K1211" s="248"/>
      <c r="L1211" s="248"/>
      <c r="M1211" s="248" t="s">
        <v>3104</v>
      </c>
    </row>
    <row r="1212" spans="1:13" ht="20.100000000000001" customHeight="1">
      <c r="A1212" s="248"/>
      <c r="B1212" s="248" t="s">
        <v>5139</v>
      </c>
      <c r="C1212" s="248" t="s">
        <v>4014</v>
      </c>
      <c r="D1212" s="248"/>
      <c r="E1212" s="248"/>
      <c r="F1212" s="248"/>
      <c r="G1212" s="248" t="s">
        <v>1685</v>
      </c>
      <c r="H1212" s="248"/>
      <c r="I1212" s="248"/>
      <c r="J1212" s="248"/>
      <c r="K1212" s="248"/>
      <c r="L1212" s="248"/>
      <c r="M1212" s="248" t="s">
        <v>3389</v>
      </c>
    </row>
    <row r="1213" spans="1:13" ht="20.100000000000001" customHeight="1">
      <c r="A1213" s="248"/>
      <c r="B1213" s="248" t="s">
        <v>5140</v>
      </c>
      <c r="C1213" s="248" t="s">
        <v>4025</v>
      </c>
      <c r="D1213" s="248"/>
      <c r="E1213" s="248"/>
      <c r="F1213" s="248"/>
      <c r="G1213" s="248" t="s">
        <v>1686</v>
      </c>
      <c r="H1213" s="248"/>
      <c r="I1213" s="248"/>
      <c r="J1213" s="248"/>
      <c r="K1213" s="248"/>
      <c r="L1213" s="248"/>
      <c r="M1213" s="248" t="s">
        <v>1687</v>
      </c>
    </row>
    <row r="1214" spans="1:13" ht="20.100000000000001" customHeight="1">
      <c r="A1214" s="248"/>
      <c r="B1214" s="248" t="s">
        <v>5141</v>
      </c>
      <c r="C1214" s="248" t="s">
        <v>4030</v>
      </c>
      <c r="D1214" s="248"/>
      <c r="E1214" s="248"/>
      <c r="F1214" s="248"/>
      <c r="G1214" s="248" t="s">
        <v>1688</v>
      </c>
      <c r="H1214" s="248"/>
      <c r="I1214" s="248"/>
      <c r="J1214" s="248"/>
      <c r="K1214" s="248"/>
      <c r="L1214" s="248"/>
      <c r="M1214" s="248" t="s">
        <v>1689</v>
      </c>
    </row>
    <row r="1215" spans="1:13" ht="20.100000000000001" customHeight="1">
      <c r="A1215" s="248"/>
      <c r="B1215" s="248" t="s">
        <v>5142</v>
      </c>
      <c r="C1215" s="248" t="s">
        <v>4036</v>
      </c>
      <c r="D1215" s="248"/>
      <c r="E1215" s="248"/>
      <c r="F1215" s="248"/>
      <c r="G1215" s="248" t="s">
        <v>3472</v>
      </c>
      <c r="H1215" s="248"/>
      <c r="I1215" s="248"/>
      <c r="J1215" s="248"/>
      <c r="K1215" s="248"/>
      <c r="L1215" s="248"/>
      <c r="M1215" s="248" t="s">
        <v>3473</v>
      </c>
    </row>
    <row r="1216" spans="1:13" ht="20.100000000000001" customHeight="1">
      <c r="A1216" s="248"/>
      <c r="B1216" s="248" t="s">
        <v>5143</v>
      </c>
      <c r="C1216" s="248" t="s">
        <v>4036</v>
      </c>
      <c r="D1216" s="248"/>
      <c r="E1216" s="248"/>
      <c r="F1216" s="248"/>
      <c r="G1216" s="248" t="s">
        <v>3474</v>
      </c>
      <c r="H1216" s="248"/>
      <c r="I1216" s="248"/>
      <c r="J1216" s="248"/>
      <c r="K1216" s="248"/>
      <c r="L1216" s="248"/>
      <c r="M1216" s="248" t="s">
        <v>196</v>
      </c>
    </row>
    <row r="1217" spans="1:13" ht="20.100000000000001" customHeight="1">
      <c r="A1217" s="248"/>
      <c r="B1217" s="248" t="s">
        <v>5144</v>
      </c>
      <c r="C1217" s="248" t="s">
        <v>4016</v>
      </c>
      <c r="D1217" s="248"/>
      <c r="E1217" s="248"/>
      <c r="F1217" s="248"/>
      <c r="G1217" s="248" t="s">
        <v>3344</v>
      </c>
      <c r="H1217" s="248"/>
      <c r="I1217" s="248"/>
      <c r="J1217" s="248"/>
      <c r="K1217" s="248"/>
      <c r="L1217" s="248"/>
      <c r="M1217" s="248" t="s">
        <v>3550</v>
      </c>
    </row>
    <row r="1218" spans="1:13" ht="20.100000000000001" customHeight="1">
      <c r="A1218" s="248"/>
      <c r="B1218" s="248" t="s">
        <v>5145</v>
      </c>
      <c r="C1218" s="248" t="s">
        <v>4003</v>
      </c>
      <c r="D1218" s="248"/>
      <c r="E1218" s="248"/>
      <c r="F1218" s="248"/>
      <c r="G1218" s="248" t="s">
        <v>1690</v>
      </c>
      <c r="H1218" s="248"/>
      <c r="I1218" s="248"/>
      <c r="J1218" s="248"/>
      <c r="K1218" s="248"/>
      <c r="L1218" s="248"/>
      <c r="M1218" s="248" t="s">
        <v>1691</v>
      </c>
    </row>
    <row r="1219" spans="1:13" ht="20.100000000000001" customHeight="1">
      <c r="A1219" s="248"/>
      <c r="B1219" s="248" t="s">
        <v>5146</v>
      </c>
      <c r="C1219" s="248" t="s">
        <v>4014</v>
      </c>
      <c r="D1219" s="248"/>
      <c r="E1219" s="248"/>
      <c r="F1219" s="248"/>
      <c r="G1219" s="248" t="s">
        <v>3874</v>
      </c>
      <c r="H1219" s="248"/>
      <c r="I1219" s="248"/>
      <c r="J1219" s="248"/>
      <c r="K1219" s="248"/>
      <c r="L1219" s="248"/>
      <c r="M1219" s="248" t="s">
        <v>3550</v>
      </c>
    </row>
    <row r="1220" spans="1:13" ht="20.100000000000001" customHeight="1">
      <c r="A1220" s="248"/>
      <c r="B1220" s="248" t="s">
        <v>6449</v>
      </c>
      <c r="C1220" s="248" t="s">
        <v>4008</v>
      </c>
      <c r="D1220" s="248"/>
      <c r="E1220" s="248"/>
      <c r="F1220" s="248"/>
      <c r="G1220" s="248" t="s">
        <v>6450</v>
      </c>
      <c r="H1220" s="248"/>
      <c r="I1220" s="248"/>
      <c r="J1220" s="248"/>
      <c r="K1220" s="248"/>
      <c r="L1220" s="248"/>
      <c r="M1220" s="248" t="s">
        <v>6451</v>
      </c>
    </row>
    <row r="1221" spans="1:13" ht="20.100000000000001" customHeight="1">
      <c r="A1221" s="248"/>
      <c r="B1221" s="248" t="s">
        <v>5147</v>
      </c>
      <c r="C1221" s="248" t="s">
        <v>4036</v>
      </c>
      <c r="D1221" s="248"/>
      <c r="E1221" s="248"/>
      <c r="F1221" s="248"/>
      <c r="G1221" s="248" t="s">
        <v>1692</v>
      </c>
      <c r="H1221" s="248"/>
      <c r="I1221" s="248"/>
      <c r="J1221" s="248"/>
      <c r="K1221" s="248"/>
      <c r="L1221" s="248"/>
      <c r="M1221" s="248" t="s">
        <v>1693</v>
      </c>
    </row>
    <row r="1222" spans="1:13" ht="20.100000000000001" customHeight="1">
      <c r="A1222" s="248"/>
      <c r="B1222" s="248" t="s">
        <v>5148</v>
      </c>
      <c r="C1222" s="248" t="s">
        <v>4016</v>
      </c>
      <c r="D1222" s="248"/>
      <c r="E1222" s="248"/>
      <c r="F1222" s="248"/>
      <c r="G1222" s="248" t="s">
        <v>705</v>
      </c>
      <c r="H1222" s="248"/>
      <c r="I1222" s="248"/>
      <c r="J1222" s="248"/>
      <c r="K1222" s="248"/>
      <c r="L1222" s="248"/>
      <c r="M1222" s="248" t="s">
        <v>3475</v>
      </c>
    </row>
    <row r="1223" spans="1:13" ht="20.100000000000001" customHeight="1">
      <c r="A1223" s="248"/>
      <c r="B1223" s="248" t="s">
        <v>5149</v>
      </c>
      <c r="C1223" s="248" t="s">
        <v>4012</v>
      </c>
      <c r="D1223" s="248"/>
      <c r="E1223" s="248"/>
      <c r="F1223" s="248"/>
      <c r="G1223" s="248" t="s">
        <v>1694</v>
      </c>
      <c r="H1223" s="248"/>
      <c r="I1223" s="248"/>
      <c r="J1223" s="248"/>
      <c r="K1223" s="248"/>
      <c r="L1223" s="248"/>
      <c r="M1223" s="248" t="s">
        <v>1695</v>
      </c>
    </row>
    <row r="1224" spans="1:13" ht="20.100000000000001" customHeight="1">
      <c r="A1224" s="248"/>
      <c r="B1224" s="248" t="s">
        <v>5150</v>
      </c>
      <c r="C1224" s="248" t="s">
        <v>4014</v>
      </c>
      <c r="D1224" s="248"/>
      <c r="E1224" s="248"/>
      <c r="F1224" s="248"/>
      <c r="G1224" s="248" t="s">
        <v>3851</v>
      </c>
      <c r="H1224" s="248"/>
      <c r="I1224" s="248"/>
      <c r="J1224" s="248"/>
      <c r="K1224" s="248"/>
      <c r="L1224" s="248"/>
      <c r="M1224" s="248" t="s">
        <v>196</v>
      </c>
    </row>
    <row r="1225" spans="1:13" ht="20.100000000000001" customHeight="1">
      <c r="A1225" s="248"/>
      <c r="B1225" s="248" t="s">
        <v>6258</v>
      </c>
      <c r="C1225" s="248" t="s">
        <v>4008</v>
      </c>
      <c r="D1225" s="248"/>
      <c r="E1225" s="248"/>
      <c r="F1225" s="248"/>
      <c r="G1225" s="248" t="s">
        <v>6259</v>
      </c>
      <c r="H1225" s="248"/>
      <c r="I1225" s="248"/>
      <c r="J1225" s="248"/>
      <c r="K1225" s="248"/>
      <c r="L1225" s="248"/>
      <c r="M1225" s="248" t="s">
        <v>3550</v>
      </c>
    </row>
    <row r="1226" spans="1:13" ht="20.100000000000001" customHeight="1">
      <c r="A1226" s="248"/>
      <c r="B1226" s="248" t="s">
        <v>5151</v>
      </c>
      <c r="C1226" s="248" t="s">
        <v>4036</v>
      </c>
      <c r="D1226" s="248"/>
      <c r="E1226" s="248"/>
      <c r="F1226" s="248"/>
      <c r="G1226" s="248" t="s">
        <v>1696</v>
      </c>
      <c r="H1226" s="248"/>
      <c r="I1226" s="248"/>
      <c r="J1226" s="248"/>
      <c r="K1226" s="248"/>
      <c r="L1226" s="248"/>
      <c r="M1226" s="248" t="s">
        <v>1697</v>
      </c>
    </row>
    <row r="1227" spans="1:13" ht="20.100000000000001" customHeight="1">
      <c r="A1227" s="248"/>
      <c r="B1227" s="248" t="s">
        <v>5152</v>
      </c>
      <c r="C1227" s="248" t="s">
        <v>4003</v>
      </c>
      <c r="D1227" s="248"/>
      <c r="E1227" s="248"/>
      <c r="F1227" s="248"/>
      <c r="G1227" s="248" t="s">
        <v>1698</v>
      </c>
      <c r="H1227" s="248"/>
      <c r="I1227" s="248"/>
      <c r="J1227" s="248"/>
      <c r="K1227" s="248"/>
      <c r="L1227" s="248"/>
      <c r="M1227" s="248" t="s">
        <v>1697</v>
      </c>
    </row>
    <row r="1228" spans="1:13" ht="20.100000000000001" customHeight="1">
      <c r="A1228" s="248"/>
      <c r="B1228" s="248" t="s">
        <v>5153</v>
      </c>
      <c r="C1228" s="248" t="s">
        <v>4008</v>
      </c>
      <c r="D1228" s="248"/>
      <c r="E1228" s="248"/>
      <c r="F1228" s="248"/>
      <c r="G1228" s="248" t="s">
        <v>1699</v>
      </c>
      <c r="H1228" s="248"/>
      <c r="I1228" s="248"/>
      <c r="J1228" s="248"/>
      <c r="K1228" s="248"/>
      <c r="L1228" s="248"/>
      <c r="M1228" s="248" t="s">
        <v>1700</v>
      </c>
    </row>
    <row r="1229" spans="1:13" ht="20.100000000000001" customHeight="1">
      <c r="A1229" s="248"/>
      <c r="B1229" s="248" t="s">
        <v>5154</v>
      </c>
      <c r="C1229" s="248" t="s">
        <v>4003</v>
      </c>
      <c r="D1229" s="248"/>
      <c r="E1229" s="248"/>
      <c r="F1229" s="248"/>
      <c r="G1229" s="248" t="s">
        <v>1701</v>
      </c>
      <c r="H1229" s="248"/>
      <c r="I1229" s="248"/>
      <c r="J1229" s="248"/>
      <c r="K1229" s="248"/>
      <c r="L1229" s="248"/>
      <c r="M1229" s="248" t="s">
        <v>3550</v>
      </c>
    </row>
    <row r="1230" spans="1:13" ht="20.100000000000001" customHeight="1">
      <c r="A1230" s="248"/>
      <c r="B1230" s="248" t="s">
        <v>5155</v>
      </c>
      <c r="C1230" s="248" t="s">
        <v>4036</v>
      </c>
      <c r="D1230" s="248"/>
      <c r="E1230" s="248"/>
      <c r="F1230" s="248"/>
      <c r="G1230" s="248" t="s">
        <v>1702</v>
      </c>
      <c r="H1230" s="248"/>
      <c r="I1230" s="248"/>
      <c r="J1230" s="248"/>
      <c r="K1230" s="248"/>
      <c r="L1230" s="248"/>
      <c r="M1230" s="248" t="s">
        <v>1703</v>
      </c>
    </row>
    <row r="1231" spans="1:13" ht="20.100000000000001" customHeight="1">
      <c r="A1231" s="248"/>
      <c r="B1231" s="248" t="s">
        <v>5156</v>
      </c>
      <c r="C1231" s="248" t="s">
        <v>4016</v>
      </c>
      <c r="D1231" s="248"/>
      <c r="E1231" s="248"/>
      <c r="F1231" s="248"/>
      <c r="G1231" s="248" t="s">
        <v>3270</v>
      </c>
      <c r="H1231" s="248"/>
      <c r="I1231" s="248"/>
      <c r="J1231" s="248"/>
      <c r="K1231" s="248"/>
      <c r="L1231" s="248"/>
      <c r="M1231" s="248" t="s">
        <v>1704</v>
      </c>
    </row>
    <row r="1232" spans="1:13" ht="20.100000000000001" customHeight="1">
      <c r="A1232" s="248"/>
      <c r="B1232" s="248" t="s">
        <v>5157</v>
      </c>
      <c r="C1232" s="248" t="s">
        <v>4036</v>
      </c>
      <c r="D1232" s="248"/>
      <c r="E1232" s="248"/>
      <c r="F1232" s="248"/>
      <c r="G1232" s="248" t="s">
        <v>3423</v>
      </c>
      <c r="H1232" s="248"/>
      <c r="I1232" s="248"/>
      <c r="J1232" s="248"/>
      <c r="K1232" s="248"/>
      <c r="L1232" s="248"/>
      <c r="M1232" s="248" t="s">
        <v>3424</v>
      </c>
    </row>
    <row r="1233" spans="1:13" ht="20.100000000000001" customHeight="1">
      <c r="A1233" s="248"/>
      <c r="B1233" s="248" t="s">
        <v>5158</v>
      </c>
      <c r="C1233" s="248" t="s">
        <v>4030</v>
      </c>
      <c r="D1233" s="248"/>
      <c r="E1233" s="248"/>
      <c r="F1233" s="248"/>
      <c r="G1233" s="248" t="s">
        <v>1705</v>
      </c>
      <c r="H1233" s="248"/>
      <c r="I1233" s="248"/>
      <c r="J1233" s="248"/>
      <c r="K1233" s="248"/>
      <c r="L1233" s="248"/>
      <c r="M1233" s="248" t="s">
        <v>1706</v>
      </c>
    </row>
    <row r="1234" spans="1:13" ht="20.100000000000001" customHeight="1">
      <c r="A1234" s="248"/>
      <c r="B1234" s="248" t="s">
        <v>5159</v>
      </c>
      <c r="C1234" s="248" t="s">
        <v>4016</v>
      </c>
      <c r="D1234" s="248"/>
      <c r="E1234" s="248"/>
      <c r="F1234" s="248"/>
      <c r="G1234" s="248" t="s">
        <v>1707</v>
      </c>
      <c r="H1234" s="248"/>
      <c r="I1234" s="248"/>
      <c r="J1234" s="248"/>
      <c r="K1234" s="248"/>
      <c r="L1234" s="248"/>
      <c r="M1234" s="248" t="s">
        <v>1708</v>
      </c>
    </row>
    <row r="1235" spans="1:13" ht="20.100000000000001" customHeight="1">
      <c r="A1235" s="248"/>
      <c r="B1235" s="248" t="s">
        <v>5160</v>
      </c>
      <c r="C1235" s="248" t="s">
        <v>4016</v>
      </c>
      <c r="D1235" s="248"/>
      <c r="E1235" s="248"/>
      <c r="F1235" s="248"/>
      <c r="G1235" s="248" t="s">
        <v>3045</v>
      </c>
      <c r="H1235" s="248"/>
      <c r="I1235" s="248"/>
      <c r="J1235" s="248"/>
      <c r="K1235" s="248"/>
      <c r="L1235" s="248"/>
      <c r="M1235" s="248" t="s">
        <v>3028</v>
      </c>
    </row>
    <row r="1236" spans="1:13" ht="20.100000000000001" customHeight="1">
      <c r="A1236" s="249"/>
      <c r="B1236" s="249" t="s">
        <v>5161</v>
      </c>
      <c r="C1236" s="250" t="s">
        <v>4271</v>
      </c>
      <c r="D1236" s="249"/>
      <c r="E1236" s="249"/>
      <c r="F1236" s="249"/>
      <c r="G1236" s="249" t="s">
        <v>1709</v>
      </c>
      <c r="H1236" s="249"/>
      <c r="I1236" s="249"/>
      <c r="J1236" s="249"/>
      <c r="K1236" s="249"/>
      <c r="L1236" s="249"/>
      <c r="M1236" s="249" t="s">
        <v>1710</v>
      </c>
    </row>
    <row r="1237" spans="1:13" ht="20.100000000000001" customHeight="1">
      <c r="A1237" s="248"/>
      <c r="B1237" s="248" t="s">
        <v>5162</v>
      </c>
      <c r="C1237" s="248" t="s">
        <v>4271</v>
      </c>
      <c r="D1237" s="248"/>
      <c r="E1237" s="248"/>
      <c r="F1237" s="248"/>
      <c r="G1237" s="248" t="s">
        <v>1711</v>
      </c>
      <c r="H1237" s="248"/>
      <c r="I1237" s="248"/>
      <c r="J1237" s="248"/>
      <c r="K1237" s="248"/>
      <c r="L1237" s="248"/>
      <c r="M1237" s="248" t="s">
        <v>1712</v>
      </c>
    </row>
    <row r="1238" spans="1:13" ht="20.100000000000001" customHeight="1">
      <c r="A1238" s="249"/>
      <c r="B1238" s="249" t="s">
        <v>5163</v>
      </c>
      <c r="C1238" s="250" t="s">
        <v>4036</v>
      </c>
      <c r="D1238" s="249"/>
      <c r="E1238" s="249"/>
      <c r="F1238" s="249"/>
      <c r="G1238" s="249" t="s">
        <v>1713</v>
      </c>
      <c r="H1238" s="249"/>
      <c r="I1238" s="249"/>
      <c r="J1238" s="249"/>
      <c r="K1238" s="249"/>
      <c r="L1238" s="249"/>
      <c r="M1238" s="249" t="s">
        <v>3550</v>
      </c>
    </row>
    <row r="1239" spans="1:13" ht="20.100000000000001" customHeight="1">
      <c r="A1239" s="248"/>
      <c r="B1239" s="248" t="s">
        <v>5164</v>
      </c>
      <c r="C1239" s="248" t="s">
        <v>4012</v>
      </c>
      <c r="D1239" s="248"/>
      <c r="E1239" s="248"/>
      <c r="F1239" s="248"/>
      <c r="G1239" s="248" t="s">
        <v>1714</v>
      </c>
      <c r="H1239" s="248"/>
      <c r="I1239" s="248"/>
      <c r="J1239" s="248"/>
      <c r="K1239" s="248"/>
      <c r="L1239" s="248"/>
      <c r="M1239" s="248" t="s">
        <v>1715</v>
      </c>
    </row>
    <row r="1240" spans="1:13" ht="20.100000000000001" customHeight="1">
      <c r="A1240" s="248"/>
      <c r="B1240" s="248" t="s">
        <v>5165</v>
      </c>
      <c r="C1240" s="248" t="s">
        <v>4016</v>
      </c>
      <c r="D1240" s="248"/>
      <c r="E1240" s="248"/>
      <c r="F1240" s="248"/>
      <c r="G1240" s="248" t="s">
        <v>1424</v>
      </c>
      <c r="H1240" s="248"/>
      <c r="I1240" s="248"/>
      <c r="J1240" s="248"/>
      <c r="K1240" s="248"/>
      <c r="L1240" s="248"/>
      <c r="M1240" s="248" t="s">
        <v>1425</v>
      </c>
    </row>
    <row r="1241" spans="1:13" ht="20.100000000000001" customHeight="1">
      <c r="A1241" s="248"/>
      <c r="B1241" s="248" t="s">
        <v>5166</v>
      </c>
      <c r="C1241" s="248" t="s">
        <v>4008</v>
      </c>
      <c r="D1241" s="248"/>
      <c r="E1241" s="248"/>
      <c r="F1241" s="248"/>
      <c r="G1241" s="248" t="s">
        <v>3731</v>
      </c>
      <c r="H1241" s="248"/>
      <c r="I1241" s="248"/>
      <c r="J1241" s="248"/>
      <c r="K1241" s="248"/>
      <c r="L1241" s="248"/>
      <c r="M1241" s="248" t="s">
        <v>196</v>
      </c>
    </row>
    <row r="1242" spans="1:13" ht="20.100000000000001" customHeight="1">
      <c r="A1242" s="248"/>
      <c r="B1242" s="248" t="s">
        <v>5167</v>
      </c>
      <c r="C1242" s="248" t="s">
        <v>4008</v>
      </c>
      <c r="D1242" s="248"/>
      <c r="E1242" s="248"/>
      <c r="F1242" s="248"/>
      <c r="G1242" s="248" t="s">
        <v>3303</v>
      </c>
      <c r="H1242" s="248"/>
      <c r="I1242" s="248"/>
      <c r="J1242" s="248"/>
      <c r="K1242" s="248"/>
      <c r="L1242" s="248"/>
      <c r="M1242" s="248" t="s">
        <v>3550</v>
      </c>
    </row>
    <row r="1243" spans="1:13" ht="20.100000000000001" customHeight="1">
      <c r="A1243" s="248"/>
      <c r="B1243" s="248" t="s">
        <v>5168</v>
      </c>
      <c r="C1243" s="248" t="s">
        <v>4025</v>
      </c>
      <c r="D1243" s="248"/>
      <c r="E1243" s="248"/>
      <c r="F1243" s="248"/>
      <c r="G1243" s="248" t="s">
        <v>3916</v>
      </c>
      <c r="H1243" s="248"/>
      <c r="I1243" s="248"/>
      <c r="J1243" s="248"/>
      <c r="K1243" s="248"/>
      <c r="L1243" s="248"/>
      <c r="M1243" s="248" t="s">
        <v>3917</v>
      </c>
    </row>
    <row r="1244" spans="1:13" ht="20.100000000000001" customHeight="1">
      <c r="A1244" s="248"/>
      <c r="B1244" s="248" t="s">
        <v>6146</v>
      </c>
      <c r="C1244" s="248" t="s">
        <v>4008</v>
      </c>
      <c r="D1244" s="248"/>
      <c r="E1244" s="248"/>
      <c r="F1244" s="248"/>
      <c r="G1244" s="248" t="s">
        <v>6147</v>
      </c>
      <c r="H1244" s="248"/>
      <c r="I1244" s="248"/>
      <c r="J1244" s="248"/>
      <c r="K1244" s="248"/>
      <c r="L1244" s="248"/>
      <c r="M1244" s="248" t="s">
        <v>6148</v>
      </c>
    </row>
    <row r="1245" spans="1:13" ht="20.100000000000001" customHeight="1">
      <c r="A1245" s="248"/>
      <c r="B1245" s="248" t="s">
        <v>5169</v>
      </c>
      <c r="C1245" s="248" t="s">
        <v>4012</v>
      </c>
      <c r="D1245" s="248"/>
      <c r="E1245" s="248"/>
      <c r="F1245" s="248"/>
      <c r="G1245" s="248" t="s">
        <v>3627</v>
      </c>
      <c r="H1245" s="248"/>
      <c r="I1245" s="248"/>
      <c r="J1245" s="248"/>
      <c r="K1245" s="248"/>
      <c r="L1245" s="248"/>
      <c r="M1245" s="248" t="s">
        <v>3628</v>
      </c>
    </row>
    <row r="1246" spans="1:13" ht="20.100000000000001" customHeight="1">
      <c r="A1246" s="248"/>
      <c r="B1246" s="248" t="s">
        <v>5170</v>
      </c>
      <c r="C1246" s="248" t="s">
        <v>4003</v>
      </c>
      <c r="D1246" s="248"/>
      <c r="E1246" s="248"/>
      <c r="F1246" s="248"/>
      <c r="G1246" s="248" t="s">
        <v>3852</v>
      </c>
      <c r="H1246" s="248"/>
      <c r="I1246" s="248"/>
      <c r="J1246" s="248"/>
      <c r="K1246" s="248"/>
      <c r="L1246" s="248"/>
      <c r="M1246" s="248" t="s">
        <v>196</v>
      </c>
    </row>
    <row r="1247" spans="1:13" ht="20.100000000000001" customHeight="1">
      <c r="A1247" s="248"/>
      <c r="B1247" s="248" t="s">
        <v>5171</v>
      </c>
      <c r="C1247" s="248" t="s">
        <v>4016</v>
      </c>
      <c r="D1247" s="248"/>
      <c r="E1247" s="248"/>
      <c r="F1247" s="248"/>
      <c r="G1247" s="248" t="s">
        <v>1716</v>
      </c>
      <c r="H1247" s="248"/>
      <c r="I1247" s="248"/>
      <c r="J1247" s="248"/>
      <c r="K1247" s="248"/>
      <c r="L1247" s="248"/>
      <c r="M1247" s="248" t="s">
        <v>1717</v>
      </c>
    </row>
    <row r="1248" spans="1:13" ht="20.100000000000001" customHeight="1">
      <c r="A1248" s="248"/>
      <c r="B1248" s="248" t="s">
        <v>5172</v>
      </c>
      <c r="C1248" s="248" t="s">
        <v>4012</v>
      </c>
      <c r="D1248" s="248"/>
      <c r="E1248" s="248"/>
      <c r="F1248" s="248"/>
      <c r="G1248" s="248" t="s">
        <v>1718</v>
      </c>
      <c r="H1248" s="248"/>
      <c r="I1248" s="248"/>
      <c r="J1248" s="248"/>
      <c r="K1248" s="248"/>
      <c r="L1248" s="248"/>
      <c r="M1248" s="248" t="s">
        <v>1719</v>
      </c>
    </row>
    <row r="1249" spans="1:13" ht="20.100000000000001" customHeight="1">
      <c r="A1249" s="248"/>
      <c r="B1249" s="248" t="s">
        <v>5173</v>
      </c>
      <c r="C1249" s="248" t="s">
        <v>4008</v>
      </c>
      <c r="D1249" s="248"/>
      <c r="E1249" s="248"/>
      <c r="F1249" s="248"/>
      <c r="G1249" s="248" t="s">
        <v>1720</v>
      </c>
      <c r="H1249" s="248"/>
      <c r="I1249" s="248"/>
      <c r="J1249" s="248"/>
      <c r="K1249" s="248"/>
      <c r="L1249" s="248"/>
      <c r="M1249" s="248" t="s">
        <v>1721</v>
      </c>
    </row>
    <row r="1250" spans="1:13" ht="20.100000000000001" customHeight="1">
      <c r="A1250" s="248"/>
      <c r="B1250" s="248" t="s">
        <v>5174</v>
      </c>
      <c r="C1250" s="248" t="s">
        <v>4016</v>
      </c>
      <c r="D1250" s="248"/>
      <c r="E1250" s="248"/>
      <c r="F1250" s="248"/>
      <c r="G1250" s="248" t="s">
        <v>1722</v>
      </c>
      <c r="H1250" s="248"/>
      <c r="I1250" s="248"/>
      <c r="J1250" s="248"/>
      <c r="K1250" s="248"/>
      <c r="L1250" s="248"/>
      <c r="M1250" s="248" t="s">
        <v>1723</v>
      </c>
    </row>
    <row r="1251" spans="1:13" ht="20.100000000000001" customHeight="1">
      <c r="A1251" s="248"/>
      <c r="B1251" s="248" t="s">
        <v>5175</v>
      </c>
      <c r="C1251" s="248" t="s">
        <v>4025</v>
      </c>
      <c r="D1251" s="248"/>
      <c r="E1251" s="248"/>
      <c r="F1251" s="248"/>
      <c r="G1251" s="248" t="s">
        <v>1724</v>
      </c>
      <c r="H1251" s="248"/>
      <c r="I1251" s="248"/>
      <c r="J1251" s="248"/>
      <c r="K1251" s="248"/>
      <c r="L1251" s="248"/>
      <c r="M1251" s="248" t="s">
        <v>1725</v>
      </c>
    </row>
    <row r="1252" spans="1:13" ht="20.100000000000001" customHeight="1">
      <c r="A1252" s="249"/>
      <c r="B1252" s="249" t="s">
        <v>5176</v>
      </c>
      <c r="C1252" s="250" t="s">
        <v>4030</v>
      </c>
      <c r="D1252" s="249"/>
      <c r="E1252" s="249"/>
      <c r="F1252" s="249"/>
      <c r="G1252" s="249" t="s">
        <v>1726</v>
      </c>
      <c r="H1252" s="249"/>
      <c r="I1252" s="249"/>
      <c r="J1252" s="249"/>
      <c r="K1252" s="249"/>
      <c r="L1252" s="249"/>
      <c r="M1252" s="249" t="s">
        <v>1727</v>
      </c>
    </row>
    <row r="1253" spans="1:13" ht="20.100000000000001" customHeight="1">
      <c r="A1253" s="248"/>
      <c r="B1253" s="248" t="s">
        <v>5177</v>
      </c>
      <c r="C1253" s="248" t="s">
        <v>4016</v>
      </c>
      <c r="D1253" s="248"/>
      <c r="E1253" s="248"/>
      <c r="F1253" s="248"/>
      <c r="G1253" s="248" t="s">
        <v>3960</v>
      </c>
      <c r="H1253" s="248"/>
      <c r="I1253" s="248"/>
      <c r="J1253" s="248"/>
      <c r="K1253" s="248"/>
      <c r="L1253" s="248"/>
      <c r="M1253" s="248" t="s">
        <v>3961</v>
      </c>
    </row>
    <row r="1254" spans="1:13" ht="20.100000000000001" customHeight="1">
      <c r="A1254" s="248"/>
      <c r="B1254" s="248" t="s">
        <v>5178</v>
      </c>
      <c r="C1254" s="248" t="s">
        <v>4003</v>
      </c>
      <c r="D1254" s="248"/>
      <c r="E1254" s="248"/>
      <c r="F1254" s="248"/>
      <c r="G1254" s="248" t="s">
        <v>1728</v>
      </c>
      <c r="H1254" s="248"/>
      <c r="I1254" s="248"/>
      <c r="J1254" s="248"/>
      <c r="K1254" s="248"/>
      <c r="L1254" s="248"/>
      <c r="M1254" s="248" t="s">
        <v>1729</v>
      </c>
    </row>
    <row r="1255" spans="1:13" ht="20.100000000000001" customHeight="1">
      <c r="A1255" s="248"/>
      <c r="B1255" s="248" t="s">
        <v>5179</v>
      </c>
      <c r="C1255" s="248" t="s">
        <v>4016</v>
      </c>
      <c r="D1255" s="248"/>
      <c r="E1255" s="248"/>
      <c r="F1255" s="248"/>
      <c r="G1255" s="248" t="s">
        <v>3699</v>
      </c>
      <c r="H1255" s="248"/>
      <c r="I1255" s="248"/>
      <c r="J1255" s="248"/>
      <c r="K1255" s="248"/>
      <c r="L1255" s="248"/>
      <c r="M1255" s="248" t="s">
        <v>3700</v>
      </c>
    </row>
    <row r="1256" spans="1:13" ht="20.100000000000001" customHeight="1">
      <c r="A1256" s="248"/>
      <c r="B1256" s="248" t="s">
        <v>5180</v>
      </c>
      <c r="C1256" s="248" t="s">
        <v>4003</v>
      </c>
      <c r="D1256" s="248"/>
      <c r="E1256" s="248"/>
      <c r="F1256" s="248"/>
      <c r="G1256" s="248" t="s">
        <v>1730</v>
      </c>
      <c r="H1256" s="248"/>
      <c r="I1256" s="248"/>
      <c r="J1256" s="248"/>
      <c r="K1256" s="248"/>
      <c r="L1256" s="248"/>
      <c r="M1256" s="248" t="s">
        <v>1731</v>
      </c>
    </row>
    <row r="1257" spans="1:13" ht="20.100000000000001" customHeight="1">
      <c r="A1257" s="248"/>
      <c r="B1257" s="248" t="s">
        <v>5181</v>
      </c>
      <c r="C1257" s="248" t="s">
        <v>4012</v>
      </c>
      <c r="D1257" s="248"/>
      <c r="E1257" s="248"/>
      <c r="F1257" s="248"/>
      <c r="G1257" s="248" t="s">
        <v>1732</v>
      </c>
      <c r="H1257" s="248"/>
      <c r="I1257" s="248"/>
      <c r="J1257" s="248"/>
      <c r="K1257" s="248"/>
      <c r="L1257" s="248"/>
      <c r="M1257" s="248" t="s">
        <v>1733</v>
      </c>
    </row>
    <row r="1258" spans="1:13" ht="20.100000000000001" customHeight="1">
      <c r="A1258" s="248"/>
      <c r="B1258" s="248" t="s">
        <v>5182</v>
      </c>
      <c r="C1258" s="248" t="s">
        <v>4016</v>
      </c>
      <c r="D1258" s="248"/>
      <c r="E1258" s="248"/>
      <c r="F1258" s="248"/>
      <c r="G1258" s="248" t="s">
        <v>1734</v>
      </c>
      <c r="H1258" s="248"/>
      <c r="I1258" s="248"/>
      <c r="J1258" s="248"/>
      <c r="K1258" s="248"/>
      <c r="L1258" s="248"/>
      <c r="M1258" s="248" t="s">
        <v>1735</v>
      </c>
    </row>
    <row r="1259" spans="1:13" ht="20.100000000000001" customHeight="1">
      <c r="A1259" s="248"/>
      <c r="B1259" s="248" t="s">
        <v>5183</v>
      </c>
      <c r="C1259" s="248" t="s">
        <v>4003</v>
      </c>
      <c r="D1259" s="248"/>
      <c r="E1259" s="248"/>
      <c r="F1259" s="248"/>
      <c r="G1259" s="248" t="s">
        <v>1736</v>
      </c>
      <c r="H1259" s="248"/>
      <c r="I1259" s="248"/>
      <c r="J1259" s="248"/>
      <c r="K1259" s="248"/>
      <c r="L1259" s="248"/>
      <c r="M1259" s="248" t="s">
        <v>1737</v>
      </c>
    </row>
    <row r="1260" spans="1:13" ht="20.100000000000001" customHeight="1">
      <c r="A1260" s="248"/>
      <c r="B1260" s="248" t="s">
        <v>5184</v>
      </c>
      <c r="C1260" s="248" t="s">
        <v>4008</v>
      </c>
      <c r="D1260" s="248"/>
      <c r="E1260" s="248"/>
      <c r="F1260" s="248"/>
      <c r="G1260" s="248" t="s">
        <v>1738</v>
      </c>
      <c r="H1260" s="248"/>
      <c r="I1260" s="248"/>
      <c r="J1260" s="248"/>
      <c r="K1260" s="248"/>
      <c r="L1260" s="248"/>
      <c r="M1260" s="248" t="s">
        <v>1739</v>
      </c>
    </row>
    <row r="1261" spans="1:13" ht="20.100000000000001" customHeight="1">
      <c r="A1261" s="248"/>
      <c r="B1261" s="248" t="s">
        <v>5185</v>
      </c>
      <c r="C1261" s="248" t="s">
        <v>4057</v>
      </c>
      <c r="D1261" s="248"/>
      <c r="E1261" s="248"/>
      <c r="F1261" s="248"/>
      <c r="G1261" s="248" t="s">
        <v>3793</v>
      </c>
      <c r="H1261" s="248"/>
      <c r="I1261" s="248"/>
      <c r="J1261" s="248"/>
      <c r="K1261" s="248"/>
      <c r="L1261" s="248"/>
      <c r="M1261" s="248" t="s">
        <v>3794</v>
      </c>
    </row>
    <row r="1262" spans="1:13" ht="20.100000000000001" customHeight="1">
      <c r="A1262" s="248"/>
      <c r="B1262" s="248" t="s">
        <v>5186</v>
      </c>
      <c r="C1262" s="248" t="s">
        <v>4036</v>
      </c>
      <c r="D1262" s="248"/>
      <c r="E1262" s="248"/>
      <c r="F1262" s="248"/>
      <c r="G1262" s="248" t="s">
        <v>1740</v>
      </c>
      <c r="H1262" s="248"/>
      <c r="I1262" s="248"/>
      <c r="J1262" s="248"/>
      <c r="K1262" s="248"/>
      <c r="L1262" s="248"/>
      <c r="M1262" s="248" t="s">
        <v>3550</v>
      </c>
    </row>
    <row r="1263" spans="1:13" ht="20.100000000000001" customHeight="1">
      <c r="A1263" s="248"/>
      <c r="B1263" s="248" t="s">
        <v>5187</v>
      </c>
      <c r="C1263" s="248" t="s">
        <v>4025</v>
      </c>
      <c r="D1263" s="248"/>
      <c r="E1263" s="248"/>
      <c r="F1263" s="248"/>
      <c r="G1263" s="248" t="s">
        <v>1741</v>
      </c>
      <c r="H1263" s="248"/>
      <c r="I1263" s="248"/>
      <c r="J1263" s="248"/>
      <c r="K1263" s="248"/>
      <c r="L1263" s="248"/>
      <c r="M1263" s="248" t="s">
        <v>1742</v>
      </c>
    </row>
    <row r="1264" spans="1:13" ht="20.100000000000001" customHeight="1">
      <c r="A1264" s="248"/>
      <c r="B1264" s="248" t="s">
        <v>5188</v>
      </c>
      <c r="C1264" s="248" t="s">
        <v>4030</v>
      </c>
      <c r="D1264" s="248"/>
      <c r="E1264" s="248"/>
      <c r="F1264" s="248"/>
      <c r="G1264" s="248" t="s">
        <v>1743</v>
      </c>
      <c r="H1264" s="248"/>
      <c r="I1264" s="248"/>
      <c r="J1264" s="248"/>
      <c r="K1264" s="248"/>
      <c r="L1264" s="248"/>
      <c r="M1264" s="248" t="s">
        <v>1744</v>
      </c>
    </row>
    <row r="1265" spans="1:13" ht="20.100000000000001" customHeight="1">
      <c r="A1265" s="248"/>
      <c r="B1265" s="248" t="s">
        <v>5189</v>
      </c>
      <c r="C1265" s="248" t="s">
        <v>4012</v>
      </c>
      <c r="D1265" s="248"/>
      <c r="E1265" s="248"/>
      <c r="F1265" s="248"/>
      <c r="G1265" s="248" t="s">
        <v>1745</v>
      </c>
      <c r="H1265" s="248"/>
      <c r="I1265" s="248"/>
      <c r="J1265" s="248"/>
      <c r="K1265" s="248"/>
      <c r="L1265" s="248"/>
      <c r="M1265" s="248" t="s">
        <v>3550</v>
      </c>
    </row>
    <row r="1266" spans="1:13" ht="20.100000000000001" customHeight="1">
      <c r="A1266" s="248"/>
      <c r="B1266" s="248" t="s">
        <v>5190</v>
      </c>
      <c r="C1266" s="248" t="s">
        <v>4003</v>
      </c>
      <c r="D1266" s="248"/>
      <c r="E1266" s="248"/>
      <c r="F1266" s="248"/>
      <c r="G1266" s="248" t="s">
        <v>1746</v>
      </c>
      <c r="H1266" s="248"/>
      <c r="I1266" s="248"/>
      <c r="J1266" s="248"/>
      <c r="K1266" s="248"/>
      <c r="L1266" s="248"/>
      <c r="M1266" s="248" t="s">
        <v>1747</v>
      </c>
    </row>
    <row r="1267" spans="1:13" ht="20.100000000000001" customHeight="1">
      <c r="A1267" s="248"/>
      <c r="B1267" s="248" t="s">
        <v>5191</v>
      </c>
      <c r="C1267" s="248" t="s">
        <v>4025</v>
      </c>
      <c r="D1267" s="248"/>
      <c r="E1267" s="248"/>
      <c r="F1267" s="248"/>
      <c r="G1267" s="248" t="s">
        <v>3993</v>
      </c>
      <c r="H1267" s="248"/>
      <c r="I1267" s="248"/>
      <c r="J1267" s="248"/>
      <c r="K1267" s="248"/>
      <c r="L1267" s="248"/>
      <c r="M1267" s="248" t="s">
        <v>3994</v>
      </c>
    </row>
    <row r="1268" spans="1:13" ht="20.100000000000001" customHeight="1">
      <c r="A1268" s="248"/>
      <c r="B1268" s="248" t="s">
        <v>5192</v>
      </c>
      <c r="C1268" s="248" t="s">
        <v>4030</v>
      </c>
      <c r="D1268" s="248"/>
      <c r="E1268" s="248"/>
      <c r="F1268" s="248"/>
      <c r="G1268" s="248" t="s">
        <v>3304</v>
      </c>
      <c r="H1268" s="248"/>
      <c r="I1268" s="248"/>
      <c r="J1268" s="248"/>
      <c r="K1268" s="248"/>
      <c r="L1268" s="248"/>
      <c r="M1268" s="248" t="s">
        <v>1748</v>
      </c>
    </row>
    <row r="1269" spans="1:13" ht="20.100000000000001" customHeight="1">
      <c r="A1269" s="248"/>
      <c r="B1269" s="248" t="s">
        <v>5193</v>
      </c>
      <c r="C1269" s="248" t="s">
        <v>4008</v>
      </c>
      <c r="D1269" s="248"/>
      <c r="E1269" s="248"/>
      <c r="F1269" s="248"/>
      <c r="G1269" s="248" t="s">
        <v>3732</v>
      </c>
      <c r="H1269" s="248"/>
      <c r="I1269" s="248"/>
      <c r="J1269" s="248"/>
      <c r="K1269" s="248"/>
      <c r="L1269" s="248"/>
      <c r="M1269" s="248" t="s">
        <v>3761</v>
      </c>
    </row>
    <row r="1270" spans="1:13" ht="20.100000000000001" customHeight="1">
      <c r="A1270" s="248"/>
      <c r="B1270" s="248" t="s">
        <v>5194</v>
      </c>
      <c r="C1270" s="248" t="s">
        <v>4036</v>
      </c>
      <c r="D1270" s="248"/>
      <c r="E1270" s="248"/>
      <c r="F1270" s="248"/>
      <c r="G1270" s="248" t="s">
        <v>3390</v>
      </c>
      <c r="H1270" s="248"/>
      <c r="I1270" s="248"/>
      <c r="J1270" s="248"/>
      <c r="K1270" s="248"/>
      <c r="L1270" s="248"/>
      <c r="M1270" s="248" t="s">
        <v>3391</v>
      </c>
    </row>
    <row r="1271" spans="1:13" ht="20.100000000000001" customHeight="1">
      <c r="A1271" s="248"/>
      <c r="B1271" s="248" t="s">
        <v>5195</v>
      </c>
      <c r="C1271" s="248" t="s">
        <v>4025</v>
      </c>
      <c r="D1271" s="248"/>
      <c r="E1271" s="248"/>
      <c r="F1271" s="248"/>
      <c r="G1271" s="248" t="s">
        <v>1749</v>
      </c>
      <c r="H1271" s="248"/>
      <c r="I1271" s="248"/>
      <c r="J1271" s="248"/>
      <c r="K1271" s="248"/>
      <c r="L1271" s="248"/>
      <c r="M1271" s="248" t="s">
        <v>1750</v>
      </c>
    </row>
    <row r="1272" spans="1:13" ht="20.100000000000001" customHeight="1">
      <c r="A1272" s="248"/>
      <c r="B1272" s="248" t="s">
        <v>5196</v>
      </c>
      <c r="C1272" s="248" t="s">
        <v>4853</v>
      </c>
      <c r="D1272" s="248"/>
      <c r="E1272" s="248"/>
      <c r="F1272" s="248"/>
      <c r="G1272" s="248" t="s">
        <v>3995</v>
      </c>
      <c r="H1272" s="248"/>
      <c r="I1272" s="248"/>
      <c r="J1272" s="248"/>
      <c r="K1272" s="248"/>
      <c r="L1272" s="248"/>
      <c r="M1272" s="248" t="s">
        <v>1751</v>
      </c>
    </row>
    <row r="1273" spans="1:13" ht="20.100000000000001" customHeight="1">
      <c r="A1273" s="248"/>
      <c r="B1273" s="248" t="s">
        <v>5197</v>
      </c>
      <c r="C1273" s="248" t="s">
        <v>4025</v>
      </c>
      <c r="D1273" s="248"/>
      <c r="E1273" s="248"/>
      <c r="F1273" s="248"/>
      <c r="G1273" s="248" t="s">
        <v>3996</v>
      </c>
      <c r="H1273" s="248"/>
      <c r="I1273" s="248"/>
      <c r="J1273" s="248"/>
      <c r="K1273" s="248"/>
      <c r="L1273" s="248"/>
      <c r="M1273" s="248" t="s">
        <v>3997</v>
      </c>
    </row>
    <row r="1274" spans="1:13" ht="20.100000000000001" customHeight="1">
      <c r="A1274" s="248"/>
      <c r="B1274" s="248" t="s">
        <v>5198</v>
      </c>
      <c r="C1274" s="248" t="s">
        <v>4025</v>
      </c>
      <c r="D1274" s="248"/>
      <c r="E1274" s="248"/>
      <c r="F1274" s="248"/>
      <c r="G1274" s="248" t="s">
        <v>1752</v>
      </c>
      <c r="H1274" s="248"/>
      <c r="I1274" s="248"/>
      <c r="J1274" s="248"/>
      <c r="K1274" s="248"/>
      <c r="L1274" s="248"/>
      <c r="M1274" s="248" t="s">
        <v>1753</v>
      </c>
    </row>
    <row r="1275" spans="1:13" ht="20.100000000000001" customHeight="1">
      <c r="A1275" s="248"/>
      <c r="B1275" s="248" t="s">
        <v>5199</v>
      </c>
      <c r="C1275" s="248" t="s">
        <v>4030</v>
      </c>
      <c r="D1275" s="248"/>
      <c r="E1275" s="248"/>
      <c r="F1275" s="248"/>
      <c r="G1275" s="248" t="s">
        <v>3570</v>
      </c>
      <c r="H1275" s="248"/>
      <c r="I1275" s="248"/>
      <c r="J1275" s="248"/>
      <c r="K1275" s="248"/>
      <c r="L1275" s="248"/>
      <c r="M1275" s="248" t="s">
        <v>3571</v>
      </c>
    </row>
    <row r="1276" spans="1:13" ht="20.100000000000001" customHeight="1">
      <c r="A1276" s="248"/>
      <c r="B1276" s="248" t="s">
        <v>5200</v>
      </c>
      <c r="C1276" s="248" t="s">
        <v>4891</v>
      </c>
      <c r="D1276" s="248"/>
      <c r="E1276" s="248"/>
      <c r="F1276" s="248"/>
      <c r="G1276" s="248" t="s">
        <v>3875</v>
      </c>
      <c r="H1276" s="248"/>
      <c r="I1276" s="248"/>
      <c r="J1276" s="248"/>
      <c r="K1276" s="248"/>
      <c r="L1276" s="248"/>
      <c r="M1276" s="248" t="s">
        <v>3876</v>
      </c>
    </row>
    <row r="1277" spans="1:13" ht="20.100000000000001" customHeight="1">
      <c r="A1277" s="248"/>
      <c r="B1277" s="248" t="s">
        <v>5201</v>
      </c>
      <c r="C1277" s="248" t="s">
        <v>4008</v>
      </c>
      <c r="D1277" s="248"/>
      <c r="E1277" s="248"/>
      <c r="F1277" s="248"/>
      <c r="G1277" s="248" t="s">
        <v>3215</v>
      </c>
      <c r="H1277" s="248"/>
      <c r="I1277" s="248"/>
      <c r="J1277" s="248"/>
      <c r="K1277" s="248"/>
      <c r="L1277" s="248"/>
      <c r="M1277" s="248" t="s">
        <v>196</v>
      </c>
    </row>
    <row r="1278" spans="1:13" ht="20.100000000000001" customHeight="1">
      <c r="A1278" s="248"/>
      <c r="B1278" s="248" t="s">
        <v>5202</v>
      </c>
      <c r="C1278" s="248" t="s">
        <v>4853</v>
      </c>
      <c r="D1278" s="248"/>
      <c r="E1278" s="248"/>
      <c r="F1278" s="248"/>
      <c r="G1278" s="248" t="s">
        <v>3085</v>
      </c>
      <c r="H1278" s="248"/>
      <c r="I1278" s="248"/>
      <c r="J1278" s="248"/>
      <c r="K1278" s="248"/>
      <c r="L1278" s="248"/>
      <c r="M1278" s="248" t="s">
        <v>1754</v>
      </c>
    </row>
    <row r="1279" spans="1:13" ht="20.100000000000001" customHeight="1">
      <c r="A1279" s="248"/>
      <c r="B1279" s="248" t="s">
        <v>5203</v>
      </c>
      <c r="C1279" s="248" t="s">
        <v>4012</v>
      </c>
      <c r="D1279" s="248"/>
      <c r="E1279" s="248"/>
      <c r="F1279" s="248"/>
      <c r="G1279" s="248" t="s">
        <v>1755</v>
      </c>
      <c r="H1279" s="248"/>
      <c r="I1279" s="248"/>
      <c r="J1279" s="248"/>
      <c r="K1279" s="248"/>
      <c r="L1279" s="248"/>
      <c r="M1279" s="248" t="s">
        <v>3550</v>
      </c>
    </row>
    <row r="1280" spans="1:13" ht="20.100000000000001" customHeight="1">
      <c r="A1280" s="248"/>
      <c r="B1280" s="248" t="s">
        <v>5204</v>
      </c>
      <c r="C1280" s="248" t="s">
        <v>4008</v>
      </c>
      <c r="D1280" s="248"/>
      <c r="E1280" s="248"/>
      <c r="F1280" s="248"/>
      <c r="G1280" s="248" t="s">
        <v>1756</v>
      </c>
      <c r="H1280" s="248"/>
      <c r="I1280" s="248"/>
      <c r="J1280" s="248"/>
      <c r="K1280" s="248"/>
      <c r="L1280" s="248"/>
      <c r="M1280" s="248" t="s">
        <v>3550</v>
      </c>
    </row>
    <row r="1281" spans="1:13" ht="20.100000000000001" customHeight="1">
      <c r="A1281" s="248"/>
      <c r="B1281" s="248" t="s">
        <v>5205</v>
      </c>
      <c r="C1281" s="248" t="s">
        <v>4030</v>
      </c>
      <c r="D1281" s="248"/>
      <c r="E1281" s="248"/>
      <c r="F1281" s="248"/>
      <c r="G1281" s="248" t="s">
        <v>3216</v>
      </c>
      <c r="H1281" s="248"/>
      <c r="I1281" s="248"/>
      <c r="J1281" s="248"/>
      <c r="K1281" s="248"/>
      <c r="L1281" s="248"/>
      <c r="M1281" s="248" t="s">
        <v>3217</v>
      </c>
    </row>
    <row r="1282" spans="1:13" ht="20.100000000000001" customHeight="1">
      <c r="A1282" s="248"/>
      <c r="B1282" s="248" t="s">
        <v>5206</v>
      </c>
      <c r="C1282" s="248" t="s">
        <v>4030</v>
      </c>
      <c r="D1282" s="248"/>
      <c r="E1282" s="248"/>
      <c r="F1282" s="248"/>
      <c r="G1282" s="248" t="s">
        <v>3392</v>
      </c>
      <c r="H1282" s="248"/>
      <c r="I1282" s="248"/>
      <c r="J1282" s="248"/>
      <c r="K1282" s="248"/>
      <c r="L1282" s="248"/>
      <c r="M1282" s="248" t="s">
        <v>3393</v>
      </c>
    </row>
    <row r="1283" spans="1:13" ht="20.100000000000001" customHeight="1">
      <c r="A1283" s="248"/>
      <c r="B1283" s="248" t="s">
        <v>5207</v>
      </c>
      <c r="C1283" s="248" t="s">
        <v>5208</v>
      </c>
      <c r="D1283" s="248"/>
      <c r="E1283" s="248"/>
      <c r="F1283" s="248"/>
      <c r="G1283" s="248" t="s">
        <v>3323</v>
      </c>
      <c r="H1283" s="248"/>
      <c r="I1283" s="248"/>
      <c r="J1283" s="248"/>
      <c r="K1283" s="248"/>
      <c r="L1283" s="248"/>
      <c r="M1283" s="248" t="s">
        <v>1757</v>
      </c>
    </row>
    <row r="1284" spans="1:13" ht="20.100000000000001" customHeight="1">
      <c r="A1284" s="248"/>
      <c r="B1284" s="248" t="s">
        <v>5209</v>
      </c>
      <c r="C1284" s="248" t="s">
        <v>4008</v>
      </c>
      <c r="D1284" s="248"/>
      <c r="E1284" s="248"/>
      <c r="F1284" s="248"/>
      <c r="G1284" s="248" t="s">
        <v>3853</v>
      </c>
      <c r="H1284" s="248"/>
      <c r="I1284" s="248"/>
      <c r="J1284" s="248"/>
      <c r="K1284" s="248"/>
      <c r="L1284" s="248"/>
      <c r="M1284" s="248" t="s">
        <v>196</v>
      </c>
    </row>
    <row r="1285" spans="1:13" ht="20.100000000000001" customHeight="1">
      <c r="A1285" s="248"/>
      <c r="B1285" s="248" t="s">
        <v>5210</v>
      </c>
      <c r="C1285" s="248" t="s">
        <v>4030</v>
      </c>
      <c r="D1285" s="248"/>
      <c r="E1285" s="248"/>
      <c r="F1285" s="248"/>
      <c r="G1285" s="248" t="s">
        <v>1758</v>
      </c>
      <c r="H1285" s="248"/>
      <c r="I1285" s="248"/>
      <c r="J1285" s="248"/>
      <c r="K1285" s="248"/>
      <c r="L1285" s="248"/>
      <c r="M1285" s="248" t="s">
        <v>1759</v>
      </c>
    </row>
    <row r="1286" spans="1:13" ht="20.100000000000001" customHeight="1">
      <c r="A1286" s="248"/>
      <c r="B1286" s="248" t="s">
        <v>5211</v>
      </c>
      <c r="C1286" s="248" t="s">
        <v>4016</v>
      </c>
      <c r="D1286" s="248"/>
      <c r="E1286" s="248"/>
      <c r="F1286" s="248"/>
      <c r="G1286" s="248" t="s">
        <v>1760</v>
      </c>
      <c r="H1286" s="248"/>
      <c r="I1286" s="248"/>
      <c r="J1286" s="248"/>
      <c r="K1286" s="248"/>
      <c r="L1286" s="248"/>
      <c r="M1286" s="248" t="s">
        <v>1761</v>
      </c>
    </row>
    <row r="1287" spans="1:13" ht="20.100000000000001" customHeight="1">
      <c r="A1287" s="248"/>
      <c r="B1287" s="248" t="s">
        <v>5212</v>
      </c>
      <c r="C1287" s="248" t="s">
        <v>4036</v>
      </c>
      <c r="D1287" s="248"/>
      <c r="E1287" s="248"/>
      <c r="F1287" s="248"/>
      <c r="G1287" s="248" t="s">
        <v>3476</v>
      </c>
      <c r="H1287" s="248"/>
      <c r="I1287" s="248"/>
      <c r="J1287" s="248"/>
      <c r="K1287" s="248"/>
      <c r="L1287" s="248"/>
      <c r="M1287" s="248" t="s">
        <v>3477</v>
      </c>
    </row>
    <row r="1288" spans="1:13" ht="20.100000000000001" customHeight="1">
      <c r="A1288" s="248"/>
      <c r="B1288" s="248" t="s">
        <v>5213</v>
      </c>
      <c r="C1288" s="248" t="s">
        <v>4003</v>
      </c>
      <c r="D1288" s="248"/>
      <c r="E1288" s="248"/>
      <c r="F1288" s="248"/>
      <c r="G1288" s="248" t="s">
        <v>1762</v>
      </c>
      <c r="H1288" s="248"/>
      <c r="I1288" s="248"/>
      <c r="J1288" s="248"/>
      <c r="K1288" s="248"/>
      <c r="L1288" s="248"/>
      <c r="M1288" s="248" t="s">
        <v>1763</v>
      </c>
    </row>
    <row r="1289" spans="1:13" ht="20.100000000000001" customHeight="1">
      <c r="A1289" s="248"/>
      <c r="B1289" s="248" t="s">
        <v>5214</v>
      </c>
      <c r="C1289" s="248" t="s">
        <v>4025</v>
      </c>
      <c r="D1289" s="248"/>
      <c r="E1289" s="248"/>
      <c r="F1289" s="248"/>
      <c r="G1289" s="248" t="s">
        <v>3701</v>
      </c>
      <c r="H1289" s="248"/>
      <c r="I1289" s="248"/>
      <c r="J1289" s="248"/>
      <c r="K1289" s="248"/>
      <c r="L1289" s="248"/>
      <c r="M1289" s="248" t="s">
        <v>3702</v>
      </c>
    </row>
    <row r="1290" spans="1:13" ht="20.100000000000001" customHeight="1">
      <c r="A1290" s="248"/>
      <c r="B1290" s="248" t="s">
        <v>6559</v>
      </c>
      <c r="C1290" s="248" t="s">
        <v>4016</v>
      </c>
      <c r="D1290" s="248"/>
      <c r="E1290" s="248"/>
      <c r="F1290" s="248"/>
      <c r="G1290" s="248" t="s">
        <v>6560</v>
      </c>
      <c r="H1290" s="248"/>
      <c r="I1290" s="248"/>
      <c r="J1290" s="248"/>
      <c r="K1290" s="248"/>
      <c r="L1290" s="248"/>
      <c r="M1290" s="248" t="s">
        <v>6561</v>
      </c>
    </row>
    <row r="1291" spans="1:13" ht="20.100000000000001" customHeight="1">
      <c r="A1291" s="248"/>
      <c r="B1291" s="248" t="s">
        <v>6562</v>
      </c>
      <c r="C1291" s="248" t="s">
        <v>4016</v>
      </c>
      <c r="D1291" s="248"/>
      <c r="E1291" s="248"/>
      <c r="F1291" s="248"/>
      <c r="G1291" s="248" t="s">
        <v>6563</v>
      </c>
      <c r="H1291" s="248"/>
      <c r="I1291" s="248"/>
      <c r="J1291" s="248"/>
      <c r="K1291" s="248"/>
      <c r="L1291" s="248"/>
      <c r="M1291" s="248" t="s">
        <v>6564</v>
      </c>
    </row>
    <row r="1292" spans="1:13" ht="20.100000000000001" customHeight="1">
      <c r="A1292" s="248"/>
      <c r="B1292" s="248" t="s">
        <v>5215</v>
      </c>
      <c r="C1292" s="248" t="s">
        <v>4012</v>
      </c>
      <c r="D1292" s="248"/>
      <c r="E1292" s="248"/>
      <c r="F1292" s="248"/>
      <c r="G1292" s="248" t="s">
        <v>1764</v>
      </c>
      <c r="H1292" s="248"/>
      <c r="I1292" s="248"/>
      <c r="J1292" s="248"/>
      <c r="K1292" s="248"/>
      <c r="L1292" s="248"/>
      <c r="M1292" s="248" t="s">
        <v>1765</v>
      </c>
    </row>
    <row r="1293" spans="1:13" ht="20.100000000000001" customHeight="1">
      <c r="A1293" s="248"/>
      <c r="B1293" s="248" t="s">
        <v>5216</v>
      </c>
      <c r="C1293" s="248" t="s">
        <v>4012</v>
      </c>
      <c r="D1293" s="248"/>
      <c r="E1293" s="248"/>
      <c r="F1293" s="248"/>
      <c r="G1293" s="248" t="s">
        <v>1766</v>
      </c>
      <c r="H1293" s="248"/>
      <c r="I1293" s="248"/>
      <c r="J1293" s="248"/>
      <c r="K1293" s="248"/>
      <c r="L1293" s="248"/>
      <c r="M1293" s="248" t="s">
        <v>1767</v>
      </c>
    </row>
    <row r="1294" spans="1:13" ht="20.100000000000001" customHeight="1">
      <c r="A1294" s="248"/>
      <c r="B1294" s="248" t="s">
        <v>5217</v>
      </c>
      <c r="C1294" s="248" t="s">
        <v>4005</v>
      </c>
      <c r="D1294" s="248"/>
      <c r="E1294" s="248"/>
      <c r="F1294" s="248"/>
      <c r="G1294" s="248" t="s">
        <v>3654</v>
      </c>
      <c r="H1294" s="248"/>
      <c r="I1294" s="248"/>
      <c r="J1294" s="248"/>
      <c r="K1294" s="248"/>
      <c r="L1294" s="248"/>
      <c r="M1294" s="248" t="s">
        <v>3655</v>
      </c>
    </row>
    <row r="1295" spans="1:13" ht="20.100000000000001" customHeight="1">
      <c r="A1295" s="248"/>
      <c r="B1295" s="248" t="s">
        <v>5218</v>
      </c>
      <c r="C1295" s="248" t="s">
        <v>4012</v>
      </c>
      <c r="D1295" s="248"/>
      <c r="E1295" s="248"/>
      <c r="F1295" s="248"/>
      <c r="G1295" s="248" t="s">
        <v>3238</v>
      </c>
      <c r="H1295" s="248"/>
      <c r="I1295" s="248"/>
      <c r="J1295" s="248"/>
      <c r="K1295" s="248"/>
      <c r="L1295" s="248"/>
      <c r="M1295" s="248" t="s">
        <v>512</v>
      </c>
    </row>
    <row r="1296" spans="1:13" ht="20.100000000000001" customHeight="1">
      <c r="A1296" s="248"/>
      <c r="B1296" s="248" t="s">
        <v>5219</v>
      </c>
      <c r="C1296" s="248" t="s">
        <v>4014</v>
      </c>
      <c r="D1296" s="248"/>
      <c r="E1296" s="248"/>
      <c r="F1296" s="248"/>
      <c r="G1296" s="248" t="s">
        <v>3223</v>
      </c>
      <c r="H1296" s="248"/>
      <c r="I1296" s="248"/>
      <c r="J1296" s="248"/>
      <c r="K1296" s="248"/>
      <c r="L1296" s="248"/>
      <c r="M1296" s="248" t="s">
        <v>3224</v>
      </c>
    </row>
    <row r="1297" spans="1:13" ht="20.100000000000001" customHeight="1">
      <c r="A1297" s="248"/>
      <c r="B1297" s="248" t="s">
        <v>5220</v>
      </c>
      <c r="C1297" s="248" t="s">
        <v>4036</v>
      </c>
      <c r="D1297" s="248"/>
      <c r="E1297" s="248"/>
      <c r="F1297" s="248"/>
      <c r="G1297" s="248" t="s">
        <v>1768</v>
      </c>
      <c r="H1297" s="248"/>
      <c r="I1297" s="248"/>
      <c r="J1297" s="248"/>
      <c r="K1297" s="248"/>
      <c r="L1297" s="248"/>
      <c r="M1297" s="248" t="s">
        <v>1769</v>
      </c>
    </row>
    <row r="1298" spans="1:13" ht="20.100000000000001" customHeight="1">
      <c r="A1298" s="248"/>
      <c r="B1298" s="248" t="s">
        <v>5221</v>
      </c>
      <c r="C1298" s="248" t="s">
        <v>4016</v>
      </c>
      <c r="D1298" s="248"/>
      <c r="E1298" s="248"/>
      <c r="F1298" s="248"/>
      <c r="G1298" s="248" t="s">
        <v>1770</v>
      </c>
      <c r="H1298" s="248"/>
      <c r="I1298" s="248"/>
      <c r="J1298" s="248"/>
      <c r="K1298" s="248"/>
      <c r="L1298" s="248"/>
      <c r="M1298" s="248" t="s">
        <v>1771</v>
      </c>
    </row>
    <row r="1299" spans="1:13" ht="20.100000000000001" customHeight="1">
      <c r="A1299" s="248"/>
      <c r="B1299" s="248" t="s">
        <v>5222</v>
      </c>
      <c r="C1299" s="248" t="s">
        <v>4008</v>
      </c>
      <c r="D1299" s="248"/>
      <c r="E1299" s="248"/>
      <c r="F1299" s="248"/>
      <c r="G1299" s="248" t="s">
        <v>1772</v>
      </c>
      <c r="H1299" s="248"/>
      <c r="I1299" s="248"/>
      <c r="J1299" s="248"/>
      <c r="K1299" s="248"/>
      <c r="L1299" s="248"/>
      <c r="M1299" s="248" t="s">
        <v>3550</v>
      </c>
    </row>
    <row r="1300" spans="1:13" ht="20.100000000000001" customHeight="1">
      <c r="A1300" s="249"/>
      <c r="B1300" s="249" t="s">
        <v>5223</v>
      </c>
      <c r="C1300" s="250" t="s">
        <v>4008</v>
      </c>
      <c r="D1300" s="249"/>
      <c r="E1300" s="249"/>
      <c r="F1300" s="249"/>
      <c r="G1300" s="249" t="s">
        <v>3656</v>
      </c>
      <c r="H1300" s="249"/>
      <c r="I1300" s="249"/>
      <c r="J1300" s="249"/>
      <c r="K1300" s="249"/>
      <c r="L1300" s="249"/>
      <c r="M1300" s="249" t="s">
        <v>3550</v>
      </c>
    </row>
    <row r="1301" spans="1:13" ht="20.100000000000001" customHeight="1">
      <c r="A1301" s="248"/>
      <c r="B1301" s="248" t="s">
        <v>6565</v>
      </c>
      <c r="C1301" s="248" t="s">
        <v>4030</v>
      </c>
      <c r="D1301" s="248"/>
      <c r="E1301" s="248"/>
      <c r="F1301" s="248"/>
      <c r="G1301" s="248" t="s">
        <v>931</v>
      </c>
      <c r="H1301" s="248"/>
      <c r="I1301" s="248"/>
      <c r="J1301" s="248"/>
      <c r="K1301" s="248"/>
      <c r="L1301" s="248"/>
      <c r="M1301" s="248" t="s">
        <v>6566</v>
      </c>
    </row>
    <row r="1302" spans="1:13" ht="20.100000000000001" customHeight="1">
      <c r="A1302" s="248"/>
      <c r="B1302" s="248" t="s">
        <v>6373</v>
      </c>
      <c r="C1302" s="248" t="s">
        <v>4012</v>
      </c>
      <c r="D1302" s="248"/>
      <c r="E1302" s="248"/>
      <c r="F1302" s="248"/>
      <c r="G1302" s="248" t="s">
        <v>6374</v>
      </c>
      <c r="H1302" s="248"/>
      <c r="I1302" s="248"/>
      <c r="J1302" s="248"/>
      <c r="K1302" s="248"/>
      <c r="L1302" s="248"/>
      <c r="M1302" s="248" t="s">
        <v>6375</v>
      </c>
    </row>
    <row r="1303" spans="1:13" ht="20.100000000000001" customHeight="1">
      <c r="A1303" s="248"/>
      <c r="B1303" s="248" t="s">
        <v>5224</v>
      </c>
      <c r="C1303" s="248" t="s">
        <v>4008</v>
      </c>
      <c r="D1303" s="248"/>
      <c r="E1303" s="248"/>
      <c r="F1303" s="248"/>
      <c r="G1303" s="248" t="s">
        <v>3237</v>
      </c>
      <c r="H1303" s="248"/>
      <c r="I1303" s="248"/>
      <c r="J1303" s="248"/>
      <c r="K1303" s="248"/>
      <c r="L1303" s="248"/>
      <c r="M1303" s="248" t="s">
        <v>196</v>
      </c>
    </row>
    <row r="1304" spans="1:13" ht="20.100000000000001" customHeight="1">
      <c r="A1304" s="248"/>
      <c r="B1304" s="248" t="s">
        <v>6149</v>
      </c>
      <c r="C1304" s="248" t="s">
        <v>4036</v>
      </c>
      <c r="D1304" s="248"/>
      <c r="E1304" s="248"/>
      <c r="F1304" s="248"/>
      <c r="G1304" s="248" t="s">
        <v>6150</v>
      </c>
      <c r="H1304" s="248"/>
      <c r="I1304" s="248"/>
      <c r="J1304" s="248"/>
      <c r="K1304" s="248"/>
      <c r="L1304" s="248"/>
      <c r="M1304" s="248" t="s">
        <v>196</v>
      </c>
    </row>
    <row r="1305" spans="1:13" ht="20.100000000000001" customHeight="1">
      <c r="A1305" s="248"/>
      <c r="B1305" s="248" t="s">
        <v>6183</v>
      </c>
      <c r="C1305" s="248" t="s">
        <v>4008</v>
      </c>
      <c r="D1305" s="248"/>
      <c r="E1305" s="248"/>
      <c r="F1305" s="248"/>
      <c r="G1305" s="248" t="s">
        <v>6184</v>
      </c>
      <c r="H1305" s="248"/>
      <c r="I1305" s="248"/>
      <c r="J1305" s="248"/>
      <c r="K1305" s="248"/>
      <c r="L1305" s="248"/>
      <c r="M1305" s="248" t="s">
        <v>6185</v>
      </c>
    </row>
    <row r="1306" spans="1:13" ht="20.100000000000001" customHeight="1">
      <c r="A1306" s="248"/>
      <c r="B1306" s="248" t="s">
        <v>5225</v>
      </c>
      <c r="C1306" s="248" t="s">
        <v>4025</v>
      </c>
      <c r="D1306" s="248"/>
      <c r="E1306" s="248"/>
      <c r="F1306" s="248"/>
      <c r="G1306" s="248" t="s">
        <v>1773</v>
      </c>
      <c r="H1306" s="248"/>
      <c r="I1306" s="248"/>
      <c r="J1306" s="248"/>
      <c r="K1306" s="248"/>
      <c r="L1306" s="248"/>
      <c r="M1306" s="248" t="s">
        <v>1774</v>
      </c>
    </row>
    <row r="1307" spans="1:13" ht="20.100000000000001" customHeight="1">
      <c r="A1307" s="248"/>
      <c r="B1307" s="248" t="s">
        <v>5226</v>
      </c>
      <c r="C1307" s="248" t="s">
        <v>4050</v>
      </c>
      <c r="D1307" s="248"/>
      <c r="E1307" s="248"/>
      <c r="F1307" s="248"/>
      <c r="G1307" s="248" t="s">
        <v>1775</v>
      </c>
      <c r="H1307" s="248"/>
      <c r="I1307" s="248"/>
      <c r="J1307" s="248"/>
      <c r="K1307" s="248"/>
      <c r="L1307" s="248"/>
      <c r="M1307" s="248" t="s">
        <v>1776</v>
      </c>
    </row>
    <row r="1308" spans="1:13" ht="20.100000000000001" customHeight="1">
      <c r="A1308" s="248"/>
      <c r="B1308" s="248" t="s">
        <v>5227</v>
      </c>
      <c r="C1308" s="248" t="s">
        <v>4008</v>
      </c>
      <c r="D1308" s="248"/>
      <c r="E1308" s="248"/>
      <c r="F1308" s="248"/>
      <c r="G1308" s="248" t="s">
        <v>1777</v>
      </c>
      <c r="H1308" s="248"/>
      <c r="I1308" s="248"/>
      <c r="J1308" s="248"/>
      <c r="K1308" s="248"/>
      <c r="L1308" s="248"/>
      <c r="M1308" s="248" t="s">
        <v>3550</v>
      </c>
    </row>
    <row r="1309" spans="1:13" ht="20.100000000000001" customHeight="1">
      <c r="A1309" s="248"/>
      <c r="B1309" s="248" t="s">
        <v>6310</v>
      </c>
      <c r="C1309" s="248" t="s">
        <v>4025</v>
      </c>
      <c r="D1309" s="248"/>
      <c r="E1309" s="248"/>
      <c r="F1309" s="248"/>
      <c r="G1309" s="248" t="s">
        <v>3179</v>
      </c>
      <c r="H1309" s="248"/>
      <c r="I1309" s="248"/>
      <c r="J1309" s="248"/>
      <c r="K1309" s="248"/>
      <c r="L1309" s="248"/>
      <c r="M1309" s="248" t="s">
        <v>3180</v>
      </c>
    </row>
    <row r="1310" spans="1:13" ht="20.100000000000001" customHeight="1">
      <c r="A1310" s="248"/>
      <c r="B1310" s="248" t="s">
        <v>5228</v>
      </c>
      <c r="C1310" s="248" t="s">
        <v>4016</v>
      </c>
      <c r="D1310" s="248"/>
      <c r="E1310" s="248"/>
      <c r="F1310" s="248"/>
      <c r="G1310" s="248" t="s">
        <v>1778</v>
      </c>
      <c r="H1310" s="248"/>
      <c r="I1310" s="248"/>
      <c r="J1310" s="248"/>
      <c r="K1310" s="248"/>
      <c r="L1310" s="248"/>
      <c r="M1310" s="248" t="s">
        <v>1779</v>
      </c>
    </row>
    <row r="1311" spans="1:13" ht="20.100000000000001" customHeight="1">
      <c r="A1311" s="248"/>
      <c r="B1311" s="248" t="s">
        <v>5229</v>
      </c>
      <c r="C1311" s="248" t="s">
        <v>4036</v>
      </c>
      <c r="D1311" s="248"/>
      <c r="E1311" s="248"/>
      <c r="F1311" s="248"/>
      <c r="G1311" s="248" t="s">
        <v>1780</v>
      </c>
      <c r="H1311" s="248"/>
      <c r="I1311" s="248"/>
      <c r="J1311" s="248"/>
      <c r="K1311" s="248"/>
      <c r="L1311" s="248"/>
      <c r="M1311" s="248" t="s">
        <v>1781</v>
      </c>
    </row>
    <row r="1312" spans="1:13" ht="20.100000000000001" customHeight="1">
      <c r="A1312" s="248"/>
      <c r="B1312" s="248" t="s">
        <v>5230</v>
      </c>
      <c r="C1312" s="248" t="s">
        <v>4364</v>
      </c>
      <c r="D1312" s="248"/>
      <c r="E1312" s="248"/>
      <c r="F1312" s="248"/>
      <c r="G1312" s="248" t="s">
        <v>3144</v>
      </c>
      <c r="H1312" s="248"/>
      <c r="I1312" s="248"/>
      <c r="J1312" s="248"/>
      <c r="K1312" s="248"/>
      <c r="L1312" s="248"/>
      <c r="M1312" s="248" t="s">
        <v>196</v>
      </c>
    </row>
    <row r="1313" spans="1:13" ht="20.100000000000001" customHeight="1">
      <c r="A1313" s="248"/>
      <c r="B1313" s="248" t="s">
        <v>5231</v>
      </c>
      <c r="C1313" s="248" t="s">
        <v>4014</v>
      </c>
      <c r="D1313" s="248"/>
      <c r="E1313" s="248"/>
      <c r="F1313" s="248"/>
      <c r="G1313" s="248" t="s">
        <v>1782</v>
      </c>
      <c r="H1313" s="248"/>
      <c r="I1313" s="248"/>
      <c r="J1313" s="248"/>
      <c r="K1313" s="248"/>
      <c r="L1313" s="248"/>
      <c r="M1313" s="248" t="s">
        <v>3550</v>
      </c>
    </row>
    <row r="1314" spans="1:13" ht="20.100000000000001" customHeight="1">
      <c r="A1314" s="248"/>
      <c r="B1314" s="248" t="s">
        <v>5232</v>
      </c>
      <c r="C1314" s="248" t="s">
        <v>4025</v>
      </c>
      <c r="D1314" s="248"/>
      <c r="E1314" s="248"/>
      <c r="F1314" s="248"/>
      <c r="G1314" s="248" t="s">
        <v>1783</v>
      </c>
      <c r="H1314" s="248"/>
      <c r="I1314" s="248"/>
      <c r="J1314" s="248"/>
      <c r="K1314" s="248"/>
      <c r="L1314" s="248"/>
      <c r="M1314" s="248" t="s">
        <v>1784</v>
      </c>
    </row>
    <row r="1315" spans="1:13" ht="20.100000000000001" customHeight="1">
      <c r="A1315" s="248"/>
      <c r="B1315" s="248" t="s">
        <v>5233</v>
      </c>
      <c r="C1315" s="248" t="s">
        <v>4036</v>
      </c>
      <c r="D1315" s="248"/>
      <c r="E1315" s="248"/>
      <c r="F1315" s="248"/>
      <c r="G1315" s="248" t="s">
        <v>1785</v>
      </c>
      <c r="H1315" s="248"/>
      <c r="I1315" s="248"/>
      <c r="J1315" s="248"/>
      <c r="K1315" s="248"/>
      <c r="L1315" s="248"/>
      <c r="M1315" s="248" t="s">
        <v>1786</v>
      </c>
    </row>
    <row r="1316" spans="1:13" ht="20.100000000000001" customHeight="1">
      <c r="A1316" s="248"/>
      <c r="B1316" s="248" t="s">
        <v>5234</v>
      </c>
      <c r="C1316" s="248" t="s">
        <v>4012</v>
      </c>
      <c r="D1316" s="248"/>
      <c r="E1316" s="248"/>
      <c r="F1316" s="248"/>
      <c r="G1316" s="248" t="s">
        <v>3002</v>
      </c>
      <c r="H1316" s="248"/>
      <c r="I1316" s="248"/>
      <c r="J1316" s="248"/>
      <c r="K1316" s="248"/>
      <c r="L1316" s="248"/>
      <c r="M1316" s="248" t="s">
        <v>1787</v>
      </c>
    </row>
    <row r="1317" spans="1:13" ht="20.100000000000001" customHeight="1">
      <c r="A1317" s="248"/>
      <c r="B1317" s="248" t="s">
        <v>6567</v>
      </c>
      <c r="C1317" s="248" t="s">
        <v>4012</v>
      </c>
      <c r="D1317" s="248"/>
      <c r="E1317" s="248"/>
      <c r="F1317" s="248"/>
      <c r="G1317" s="248" t="s">
        <v>6568</v>
      </c>
      <c r="H1317" s="248"/>
      <c r="I1317" s="248"/>
      <c r="J1317" s="248"/>
      <c r="K1317" s="248"/>
      <c r="L1317" s="248"/>
      <c r="M1317" s="248" t="s">
        <v>6569</v>
      </c>
    </row>
    <row r="1318" spans="1:13" ht="20.100000000000001" customHeight="1">
      <c r="A1318" s="248"/>
      <c r="B1318" s="248" t="s">
        <v>5235</v>
      </c>
      <c r="C1318" s="248" t="s">
        <v>4036</v>
      </c>
      <c r="D1318" s="248"/>
      <c r="E1318" s="248"/>
      <c r="F1318" s="248"/>
      <c r="G1318" s="248" t="s">
        <v>1788</v>
      </c>
      <c r="H1318" s="248"/>
      <c r="I1318" s="248"/>
      <c r="J1318" s="248"/>
      <c r="K1318" s="248"/>
      <c r="L1318" s="248"/>
      <c r="M1318" s="248" t="s">
        <v>1789</v>
      </c>
    </row>
    <row r="1319" spans="1:13" ht="20.100000000000001" customHeight="1">
      <c r="A1319" s="249"/>
      <c r="B1319" s="249" t="s">
        <v>5236</v>
      </c>
      <c r="C1319" s="250" t="s">
        <v>4333</v>
      </c>
      <c r="D1319" s="249"/>
      <c r="E1319" s="249"/>
      <c r="F1319" s="249"/>
      <c r="G1319" s="249" t="s">
        <v>1790</v>
      </c>
      <c r="H1319" s="249"/>
      <c r="I1319" s="249"/>
      <c r="J1319" s="249"/>
      <c r="K1319" s="249"/>
      <c r="L1319" s="249"/>
      <c r="M1319" s="249" t="s">
        <v>1791</v>
      </c>
    </row>
    <row r="1320" spans="1:13" ht="20.100000000000001" customHeight="1">
      <c r="A1320" s="248"/>
      <c r="B1320" s="248" t="s">
        <v>6311</v>
      </c>
      <c r="C1320" s="248" t="s">
        <v>4030</v>
      </c>
      <c r="D1320" s="248"/>
      <c r="E1320" s="248"/>
      <c r="F1320" s="248"/>
      <c r="G1320" s="248" t="s">
        <v>6312</v>
      </c>
      <c r="H1320" s="248"/>
      <c r="I1320" s="248"/>
      <c r="J1320" s="248"/>
      <c r="K1320" s="248"/>
      <c r="L1320" s="248"/>
      <c r="M1320" s="248" t="s">
        <v>6313</v>
      </c>
    </row>
    <row r="1321" spans="1:13" ht="20.100000000000001" customHeight="1">
      <c r="A1321" s="248"/>
      <c r="B1321" s="248" t="s">
        <v>6314</v>
      </c>
      <c r="C1321" s="248" t="s">
        <v>4030</v>
      </c>
      <c r="D1321" s="248"/>
      <c r="E1321" s="248"/>
      <c r="F1321" s="248"/>
      <c r="G1321" s="248" t="s">
        <v>6315</v>
      </c>
      <c r="H1321" s="248"/>
      <c r="I1321" s="248"/>
      <c r="J1321" s="248"/>
      <c r="K1321" s="248"/>
      <c r="L1321" s="248"/>
      <c r="M1321" s="248" t="s">
        <v>6313</v>
      </c>
    </row>
    <row r="1322" spans="1:13" ht="20.100000000000001" customHeight="1">
      <c r="A1322" s="249"/>
      <c r="B1322" s="249" t="s">
        <v>5237</v>
      </c>
      <c r="C1322" s="250" t="s">
        <v>4036</v>
      </c>
      <c r="D1322" s="249"/>
      <c r="E1322" s="249"/>
      <c r="F1322" s="249"/>
      <c r="G1322" s="249" t="s">
        <v>1792</v>
      </c>
      <c r="H1322" s="249"/>
      <c r="I1322" s="249"/>
      <c r="J1322" s="249"/>
      <c r="K1322" s="249"/>
      <c r="L1322" s="249"/>
      <c r="M1322" s="249" t="s">
        <v>1793</v>
      </c>
    </row>
    <row r="1323" spans="1:13" ht="20.100000000000001" customHeight="1">
      <c r="A1323" s="248"/>
      <c r="B1323" s="248" t="s">
        <v>5238</v>
      </c>
      <c r="C1323" s="248" t="s">
        <v>4003</v>
      </c>
      <c r="D1323" s="248"/>
      <c r="E1323" s="248"/>
      <c r="F1323" s="248"/>
      <c r="G1323" s="248" t="s">
        <v>1794</v>
      </c>
      <c r="H1323" s="248"/>
      <c r="I1323" s="248"/>
      <c r="J1323" s="248"/>
      <c r="K1323" s="248"/>
      <c r="L1323" s="248"/>
      <c r="M1323" s="248" t="s">
        <v>3550</v>
      </c>
    </row>
    <row r="1324" spans="1:13" ht="20.100000000000001" customHeight="1">
      <c r="A1324" s="248"/>
      <c r="B1324" s="248" t="s">
        <v>5239</v>
      </c>
      <c r="C1324" s="248" t="s">
        <v>4012</v>
      </c>
      <c r="D1324" s="248"/>
      <c r="E1324" s="248"/>
      <c r="F1324" s="248"/>
      <c r="G1324" s="248" t="s">
        <v>3962</v>
      </c>
      <c r="H1324" s="248"/>
      <c r="I1324" s="248"/>
      <c r="J1324" s="248"/>
      <c r="K1324" s="248"/>
      <c r="L1324" s="248"/>
      <c r="M1324" s="248" t="s">
        <v>3963</v>
      </c>
    </row>
    <row r="1325" spans="1:13" ht="20.100000000000001" customHeight="1">
      <c r="A1325" s="248"/>
      <c r="B1325" s="248" t="s">
        <v>6452</v>
      </c>
      <c r="C1325" s="248" t="s">
        <v>4025</v>
      </c>
      <c r="D1325" s="248"/>
      <c r="E1325" s="248"/>
      <c r="F1325" s="248"/>
      <c r="G1325" s="248" t="s">
        <v>6453</v>
      </c>
      <c r="H1325" s="248"/>
      <c r="I1325" s="248"/>
      <c r="J1325" s="248"/>
      <c r="K1325" s="248"/>
      <c r="L1325" s="248"/>
      <c r="M1325" s="248" t="s">
        <v>6454</v>
      </c>
    </row>
    <row r="1326" spans="1:13" ht="20.100000000000001" customHeight="1">
      <c r="A1326" s="248"/>
      <c r="B1326" s="248" t="s">
        <v>5240</v>
      </c>
      <c r="C1326" s="248" t="s">
        <v>4121</v>
      </c>
      <c r="D1326" s="248"/>
      <c r="E1326" s="248"/>
      <c r="F1326" s="248"/>
      <c r="G1326" s="248" t="s">
        <v>1795</v>
      </c>
      <c r="H1326" s="248"/>
      <c r="I1326" s="248"/>
      <c r="J1326" s="248"/>
      <c r="K1326" s="248"/>
      <c r="L1326" s="248"/>
      <c r="M1326" s="248" t="s">
        <v>1796</v>
      </c>
    </row>
    <row r="1327" spans="1:13" ht="20.100000000000001" customHeight="1">
      <c r="A1327" s="248"/>
      <c r="B1327" s="248" t="s">
        <v>5241</v>
      </c>
      <c r="C1327" s="248" t="s">
        <v>4030</v>
      </c>
      <c r="D1327" s="248"/>
      <c r="E1327" s="248"/>
      <c r="F1327" s="248"/>
      <c r="G1327" s="248" t="s">
        <v>1797</v>
      </c>
      <c r="H1327" s="248"/>
      <c r="I1327" s="248"/>
      <c r="J1327" s="248"/>
      <c r="K1327" s="248"/>
      <c r="L1327" s="248"/>
      <c r="M1327" s="248" t="s">
        <v>3550</v>
      </c>
    </row>
    <row r="1328" spans="1:13" ht="20.100000000000001" customHeight="1">
      <c r="A1328" s="248"/>
      <c r="B1328" s="248" t="s">
        <v>5242</v>
      </c>
      <c r="C1328" s="248" t="s">
        <v>4025</v>
      </c>
      <c r="D1328" s="248"/>
      <c r="E1328" s="248"/>
      <c r="F1328" s="248"/>
      <c r="G1328" s="248" t="s">
        <v>1798</v>
      </c>
      <c r="H1328" s="248"/>
      <c r="I1328" s="248"/>
      <c r="J1328" s="248"/>
      <c r="K1328" s="248"/>
      <c r="L1328" s="248"/>
      <c r="M1328" s="248" t="s">
        <v>1799</v>
      </c>
    </row>
    <row r="1329" spans="1:13" ht="20.100000000000001" customHeight="1">
      <c r="A1329" s="248"/>
      <c r="B1329" s="248" t="s">
        <v>5243</v>
      </c>
      <c r="C1329" s="248" t="s">
        <v>4016</v>
      </c>
      <c r="D1329" s="248"/>
      <c r="E1329" s="248"/>
      <c r="F1329" s="248"/>
      <c r="G1329" s="248" t="s">
        <v>1800</v>
      </c>
      <c r="H1329" s="248"/>
      <c r="I1329" s="248"/>
      <c r="J1329" s="248"/>
      <c r="K1329" s="248"/>
      <c r="L1329" s="248"/>
      <c r="M1329" s="248" t="s">
        <v>3550</v>
      </c>
    </row>
    <row r="1330" spans="1:13" ht="20.100000000000001" customHeight="1">
      <c r="A1330" s="248"/>
      <c r="B1330" s="248" t="s">
        <v>5244</v>
      </c>
      <c r="C1330" s="248" t="s">
        <v>4012</v>
      </c>
      <c r="D1330" s="248"/>
      <c r="E1330" s="248"/>
      <c r="F1330" s="248"/>
      <c r="G1330" s="248" t="s">
        <v>1801</v>
      </c>
      <c r="H1330" s="248"/>
      <c r="I1330" s="248"/>
      <c r="J1330" s="248"/>
      <c r="K1330" s="248"/>
      <c r="L1330" s="248"/>
      <c r="M1330" s="248" t="s">
        <v>1802</v>
      </c>
    </row>
    <row r="1331" spans="1:13" ht="20.100000000000001" customHeight="1">
      <c r="A1331" s="248"/>
      <c r="B1331" s="248" t="s">
        <v>5245</v>
      </c>
      <c r="C1331" s="248" t="s">
        <v>4014</v>
      </c>
      <c r="D1331" s="248"/>
      <c r="E1331" s="248"/>
      <c r="F1331" s="248"/>
      <c r="G1331" s="248" t="s">
        <v>3425</v>
      </c>
      <c r="H1331" s="248"/>
      <c r="I1331" s="248"/>
      <c r="J1331" s="248"/>
      <c r="K1331" s="248"/>
      <c r="L1331" s="248"/>
      <c r="M1331" s="248" t="s">
        <v>1803</v>
      </c>
    </row>
    <row r="1332" spans="1:13" ht="20.100000000000001" customHeight="1">
      <c r="A1332" s="248"/>
      <c r="B1332" s="248" t="s">
        <v>5246</v>
      </c>
      <c r="C1332" s="248" t="s">
        <v>4014</v>
      </c>
      <c r="D1332" s="248"/>
      <c r="E1332" s="248"/>
      <c r="F1332" s="248"/>
      <c r="G1332" s="248" t="s">
        <v>1804</v>
      </c>
      <c r="H1332" s="248"/>
      <c r="I1332" s="248"/>
      <c r="J1332" s="248"/>
      <c r="K1332" s="248"/>
      <c r="L1332" s="248"/>
      <c r="M1332" s="248" t="s">
        <v>1805</v>
      </c>
    </row>
    <row r="1333" spans="1:13" ht="20.100000000000001" customHeight="1">
      <c r="A1333" s="248"/>
      <c r="B1333" s="248" t="s">
        <v>5247</v>
      </c>
      <c r="C1333" s="248" t="s">
        <v>4036</v>
      </c>
      <c r="D1333" s="248"/>
      <c r="E1333" s="248"/>
      <c r="F1333" s="248"/>
      <c r="G1333" s="248" t="s">
        <v>1806</v>
      </c>
      <c r="H1333" s="248"/>
      <c r="I1333" s="248"/>
      <c r="J1333" s="248"/>
      <c r="K1333" s="248"/>
      <c r="L1333" s="248"/>
      <c r="M1333" s="248" t="s">
        <v>1807</v>
      </c>
    </row>
    <row r="1334" spans="1:13" ht="20.100000000000001" customHeight="1">
      <c r="A1334" s="248"/>
      <c r="B1334" s="248" t="s">
        <v>6629</v>
      </c>
      <c r="C1334" s="248" t="s">
        <v>4036</v>
      </c>
      <c r="D1334" s="248"/>
      <c r="E1334" s="248"/>
      <c r="F1334" s="248"/>
      <c r="G1334" s="248" t="s">
        <v>6630</v>
      </c>
      <c r="H1334" s="248"/>
      <c r="I1334" s="248"/>
      <c r="J1334" s="248"/>
      <c r="K1334" s="248"/>
      <c r="L1334" s="248"/>
      <c r="M1334" s="248" t="s">
        <v>6631</v>
      </c>
    </row>
    <row r="1335" spans="1:13" ht="20.100000000000001" customHeight="1">
      <c r="A1335" s="248"/>
      <c r="B1335" s="248" t="s">
        <v>5248</v>
      </c>
      <c r="C1335" s="248" t="s">
        <v>4014</v>
      </c>
      <c r="D1335" s="248"/>
      <c r="E1335" s="248"/>
      <c r="F1335" s="248"/>
      <c r="G1335" s="248" t="s">
        <v>3964</v>
      </c>
      <c r="H1335" s="248"/>
      <c r="I1335" s="248"/>
      <c r="J1335" s="248"/>
      <c r="K1335" s="248"/>
      <c r="L1335" s="248"/>
      <c r="M1335" s="248" t="s">
        <v>3550</v>
      </c>
    </row>
    <row r="1336" spans="1:13" ht="20.100000000000001" customHeight="1">
      <c r="A1336" s="248"/>
      <c r="B1336" s="248" t="s">
        <v>5249</v>
      </c>
      <c r="C1336" s="248" t="s">
        <v>4012</v>
      </c>
      <c r="D1336" s="248"/>
      <c r="E1336" s="248"/>
      <c r="F1336" s="248"/>
      <c r="G1336" s="248" t="s">
        <v>1808</v>
      </c>
      <c r="H1336" s="248"/>
      <c r="I1336" s="248"/>
      <c r="J1336" s="248"/>
      <c r="K1336" s="248"/>
      <c r="L1336" s="248"/>
      <c r="M1336" s="248" t="s">
        <v>1809</v>
      </c>
    </row>
    <row r="1337" spans="1:13" ht="20.100000000000001" customHeight="1">
      <c r="A1337" s="248"/>
      <c r="B1337" s="248" t="s">
        <v>5250</v>
      </c>
      <c r="C1337" s="248" t="s">
        <v>4008</v>
      </c>
      <c r="D1337" s="248"/>
      <c r="E1337" s="248"/>
      <c r="F1337" s="248"/>
      <c r="G1337" s="248" t="s">
        <v>3184</v>
      </c>
      <c r="H1337" s="248"/>
      <c r="I1337" s="248"/>
      <c r="J1337" s="248"/>
      <c r="K1337" s="248"/>
      <c r="L1337" s="248"/>
      <c r="M1337" s="248" t="s">
        <v>3060</v>
      </c>
    </row>
    <row r="1338" spans="1:13" ht="20.100000000000001" customHeight="1">
      <c r="A1338" s="248"/>
      <c r="B1338" s="248" t="s">
        <v>5251</v>
      </c>
      <c r="C1338" s="248" t="s">
        <v>4016</v>
      </c>
      <c r="D1338" s="248"/>
      <c r="E1338" s="248"/>
      <c r="F1338" s="248"/>
      <c r="G1338" s="248" t="s">
        <v>3599</v>
      </c>
      <c r="H1338" s="248"/>
      <c r="I1338" s="248"/>
      <c r="J1338" s="248"/>
      <c r="K1338" s="248"/>
      <c r="L1338" s="248"/>
      <c r="M1338" s="248" t="s">
        <v>3600</v>
      </c>
    </row>
    <row r="1339" spans="1:13" ht="20.100000000000001" customHeight="1">
      <c r="A1339" s="248"/>
      <c r="B1339" s="248" t="s">
        <v>5252</v>
      </c>
      <c r="C1339" s="248" t="s">
        <v>4008</v>
      </c>
      <c r="D1339" s="248"/>
      <c r="E1339" s="248"/>
      <c r="F1339" s="248"/>
      <c r="G1339" s="248" t="s">
        <v>1810</v>
      </c>
      <c r="H1339" s="248"/>
      <c r="I1339" s="248"/>
      <c r="J1339" s="248"/>
      <c r="K1339" s="248"/>
      <c r="L1339" s="248"/>
      <c r="M1339" s="248" t="s">
        <v>1811</v>
      </c>
    </row>
    <row r="1340" spans="1:13" ht="20.100000000000001" customHeight="1">
      <c r="A1340" s="248"/>
      <c r="B1340" s="248" t="s">
        <v>5253</v>
      </c>
      <c r="C1340" s="248" t="s">
        <v>4025</v>
      </c>
      <c r="D1340" s="248"/>
      <c r="E1340" s="248"/>
      <c r="F1340" s="248"/>
      <c r="G1340" s="248" t="s">
        <v>1812</v>
      </c>
      <c r="H1340" s="248"/>
      <c r="I1340" s="248"/>
      <c r="J1340" s="248"/>
      <c r="K1340" s="248"/>
      <c r="L1340" s="248"/>
      <c r="M1340" s="248" t="s">
        <v>1813</v>
      </c>
    </row>
    <row r="1341" spans="1:13" ht="20.100000000000001" customHeight="1">
      <c r="A1341" s="248"/>
      <c r="B1341" s="248" t="s">
        <v>5254</v>
      </c>
      <c r="C1341" s="248" t="s">
        <v>4030</v>
      </c>
      <c r="D1341" s="248"/>
      <c r="E1341" s="248"/>
      <c r="F1341" s="248"/>
      <c r="G1341" s="248" t="s">
        <v>1814</v>
      </c>
      <c r="H1341" s="248"/>
      <c r="I1341" s="248"/>
      <c r="J1341" s="248"/>
      <c r="K1341" s="248"/>
      <c r="L1341" s="248"/>
      <c r="M1341" s="248" t="s">
        <v>1815</v>
      </c>
    </row>
    <row r="1342" spans="1:13" ht="20.100000000000001" customHeight="1">
      <c r="A1342" s="248"/>
      <c r="B1342" s="248" t="s">
        <v>5255</v>
      </c>
      <c r="C1342" s="248" t="s">
        <v>4016</v>
      </c>
      <c r="D1342" s="248"/>
      <c r="E1342" s="248"/>
      <c r="F1342" s="248"/>
      <c r="G1342" s="248" t="s">
        <v>1816</v>
      </c>
      <c r="H1342" s="248"/>
      <c r="I1342" s="248"/>
      <c r="J1342" s="248"/>
      <c r="K1342" s="248"/>
      <c r="L1342" s="248"/>
      <c r="M1342" s="248" t="s">
        <v>1817</v>
      </c>
    </row>
    <row r="1343" spans="1:13" ht="20.100000000000001" customHeight="1">
      <c r="A1343" s="248"/>
      <c r="B1343" s="248" t="s">
        <v>5256</v>
      </c>
      <c r="C1343" s="248" t="s">
        <v>4016</v>
      </c>
      <c r="D1343" s="248"/>
      <c r="E1343" s="248"/>
      <c r="F1343" s="248"/>
      <c r="G1343" s="248" t="s">
        <v>1818</v>
      </c>
      <c r="H1343" s="248"/>
      <c r="I1343" s="248"/>
      <c r="J1343" s="248"/>
      <c r="K1343" s="248"/>
      <c r="L1343" s="248"/>
      <c r="M1343" s="248" t="s">
        <v>1819</v>
      </c>
    </row>
    <row r="1344" spans="1:13" ht="20.100000000000001" customHeight="1">
      <c r="A1344" s="248"/>
      <c r="B1344" s="248" t="s">
        <v>5257</v>
      </c>
      <c r="C1344" s="248" t="s">
        <v>4012</v>
      </c>
      <c r="D1344" s="248"/>
      <c r="E1344" s="248"/>
      <c r="F1344" s="248"/>
      <c r="G1344" s="248" t="s">
        <v>1820</v>
      </c>
      <c r="H1344" s="248"/>
      <c r="I1344" s="248"/>
      <c r="J1344" s="248"/>
      <c r="K1344" s="248"/>
      <c r="L1344" s="248"/>
      <c r="M1344" s="248" t="s">
        <v>1821</v>
      </c>
    </row>
    <row r="1345" spans="1:13" ht="20.100000000000001" customHeight="1">
      <c r="A1345" s="248"/>
      <c r="B1345" s="248" t="s">
        <v>5258</v>
      </c>
      <c r="C1345" s="248" t="s">
        <v>4025</v>
      </c>
      <c r="D1345" s="248"/>
      <c r="E1345" s="248"/>
      <c r="F1345" s="248"/>
      <c r="G1345" s="248" t="s">
        <v>6632</v>
      </c>
      <c r="H1345" s="248"/>
      <c r="I1345" s="248"/>
      <c r="J1345" s="248"/>
      <c r="K1345" s="248"/>
      <c r="L1345" s="248"/>
      <c r="M1345" s="248" t="s">
        <v>1822</v>
      </c>
    </row>
    <row r="1346" spans="1:13" ht="20.100000000000001" customHeight="1">
      <c r="A1346" s="248"/>
      <c r="B1346" s="248" t="s">
        <v>6316</v>
      </c>
      <c r="C1346" s="248" t="s">
        <v>4008</v>
      </c>
      <c r="D1346" s="248"/>
      <c r="E1346" s="248"/>
      <c r="F1346" s="248"/>
      <c r="G1346" s="248" t="s">
        <v>6317</v>
      </c>
      <c r="H1346" s="248"/>
      <c r="I1346" s="248"/>
      <c r="J1346" s="248"/>
      <c r="K1346" s="248"/>
      <c r="L1346" s="248"/>
      <c r="M1346" s="248" t="s">
        <v>6318</v>
      </c>
    </row>
    <row r="1347" spans="1:13" ht="20.100000000000001" customHeight="1">
      <c r="A1347" s="248"/>
      <c r="B1347" s="248" t="s">
        <v>5259</v>
      </c>
      <c r="C1347" s="248" t="s">
        <v>4036</v>
      </c>
      <c r="D1347" s="248"/>
      <c r="E1347" s="248"/>
      <c r="F1347" s="248"/>
      <c r="G1347" s="248" t="s">
        <v>3426</v>
      </c>
      <c r="H1347" s="248"/>
      <c r="I1347" s="248"/>
      <c r="J1347" s="248"/>
      <c r="K1347" s="248"/>
      <c r="L1347" s="248"/>
      <c r="M1347" s="248" t="s">
        <v>3427</v>
      </c>
    </row>
    <row r="1348" spans="1:13" ht="20.100000000000001" customHeight="1">
      <c r="A1348" s="248"/>
      <c r="B1348" s="248" t="s">
        <v>5260</v>
      </c>
      <c r="C1348" s="248" t="s">
        <v>4008</v>
      </c>
      <c r="D1348" s="248"/>
      <c r="E1348" s="248"/>
      <c r="F1348" s="248"/>
      <c r="G1348" s="248" t="s">
        <v>3529</v>
      </c>
      <c r="H1348" s="248"/>
      <c r="I1348" s="248"/>
      <c r="J1348" s="248"/>
      <c r="K1348" s="248"/>
      <c r="L1348" s="248"/>
      <c r="M1348" s="248" t="s">
        <v>1823</v>
      </c>
    </row>
    <row r="1349" spans="1:13" ht="20.100000000000001" customHeight="1">
      <c r="A1349" s="248"/>
      <c r="B1349" s="248" t="s">
        <v>6406</v>
      </c>
      <c r="C1349" s="248" t="s">
        <v>4014</v>
      </c>
      <c r="D1349" s="248"/>
      <c r="E1349" s="248"/>
      <c r="F1349" s="248"/>
      <c r="G1349" s="248" t="s">
        <v>6407</v>
      </c>
      <c r="H1349" s="248"/>
      <c r="I1349" s="248"/>
      <c r="J1349" s="248"/>
      <c r="K1349" s="248"/>
      <c r="L1349" s="248"/>
      <c r="M1349" s="248" t="s">
        <v>6408</v>
      </c>
    </row>
    <row r="1350" spans="1:13" ht="20.100000000000001" customHeight="1">
      <c r="A1350" s="248"/>
      <c r="B1350" s="248" t="s">
        <v>5261</v>
      </c>
      <c r="C1350" s="248" t="s">
        <v>4364</v>
      </c>
      <c r="D1350" s="248"/>
      <c r="E1350" s="248"/>
      <c r="F1350" s="248"/>
      <c r="G1350" s="248" t="s">
        <v>1824</v>
      </c>
      <c r="H1350" s="248"/>
      <c r="I1350" s="248"/>
      <c r="J1350" s="248"/>
      <c r="K1350" s="248"/>
      <c r="L1350" s="248"/>
      <c r="M1350" s="248" t="s">
        <v>1825</v>
      </c>
    </row>
    <row r="1351" spans="1:13" ht="20.100000000000001" customHeight="1">
      <c r="A1351" s="248"/>
      <c r="B1351" s="248" t="s">
        <v>5262</v>
      </c>
      <c r="C1351" s="248" t="s">
        <v>4014</v>
      </c>
      <c r="D1351" s="248"/>
      <c r="E1351" s="248"/>
      <c r="F1351" s="248"/>
      <c r="G1351" s="248" t="s">
        <v>3160</v>
      </c>
      <c r="H1351" s="248"/>
      <c r="I1351" s="248"/>
      <c r="J1351" s="248"/>
      <c r="K1351" s="248"/>
      <c r="L1351" s="248"/>
      <c r="M1351" s="248" t="s">
        <v>3550</v>
      </c>
    </row>
    <row r="1352" spans="1:13" ht="20.100000000000001" customHeight="1">
      <c r="A1352" s="248"/>
      <c r="B1352" s="248" t="s">
        <v>5263</v>
      </c>
      <c r="C1352" s="248" t="s">
        <v>4025</v>
      </c>
      <c r="D1352" s="248"/>
      <c r="E1352" s="248"/>
      <c r="F1352" s="248"/>
      <c r="G1352" s="248" t="s">
        <v>1826</v>
      </c>
      <c r="H1352" s="248"/>
      <c r="I1352" s="248"/>
      <c r="J1352" s="248"/>
      <c r="K1352" s="248"/>
      <c r="L1352" s="248"/>
      <c r="M1352" s="248" t="s">
        <v>3550</v>
      </c>
    </row>
    <row r="1353" spans="1:13" ht="20.100000000000001" customHeight="1">
      <c r="A1353" s="248"/>
      <c r="B1353" s="248" t="s">
        <v>5264</v>
      </c>
      <c r="C1353" s="248" t="s">
        <v>4025</v>
      </c>
      <c r="D1353" s="248"/>
      <c r="E1353" s="248"/>
      <c r="F1353" s="248"/>
      <c r="G1353" s="248" t="s">
        <v>3504</v>
      </c>
      <c r="H1353" s="248"/>
      <c r="I1353" s="248"/>
      <c r="J1353" s="248"/>
      <c r="K1353" s="248"/>
      <c r="L1353" s="248"/>
      <c r="M1353" s="248" t="s">
        <v>3505</v>
      </c>
    </row>
    <row r="1354" spans="1:13" ht="20.100000000000001" customHeight="1">
      <c r="A1354" s="248"/>
      <c r="B1354" s="248" t="s">
        <v>5265</v>
      </c>
      <c r="C1354" s="248" t="s">
        <v>4036</v>
      </c>
      <c r="D1354" s="248"/>
      <c r="E1354" s="248"/>
      <c r="F1354" s="248"/>
      <c r="G1354" s="248" t="s">
        <v>1827</v>
      </c>
      <c r="H1354" s="248"/>
      <c r="I1354" s="248"/>
      <c r="J1354" s="248"/>
      <c r="K1354" s="248"/>
      <c r="L1354" s="248"/>
      <c r="M1354" s="248" t="s">
        <v>1828</v>
      </c>
    </row>
    <row r="1355" spans="1:13" ht="20.100000000000001" customHeight="1">
      <c r="A1355" s="248"/>
      <c r="B1355" s="248" t="s">
        <v>5266</v>
      </c>
      <c r="C1355" s="248" t="s">
        <v>4030</v>
      </c>
      <c r="D1355" s="248"/>
      <c r="E1355" s="248"/>
      <c r="F1355" s="248"/>
      <c r="G1355" s="248" t="s">
        <v>1829</v>
      </c>
      <c r="H1355" s="248"/>
      <c r="I1355" s="248"/>
      <c r="J1355" s="248"/>
      <c r="K1355" s="248"/>
      <c r="L1355" s="248"/>
      <c r="M1355" s="248" t="s">
        <v>655</v>
      </c>
    </row>
    <row r="1356" spans="1:13" ht="20.100000000000001" customHeight="1">
      <c r="A1356" s="248"/>
      <c r="B1356" s="248" t="s">
        <v>5267</v>
      </c>
      <c r="C1356" s="248" t="s">
        <v>4030</v>
      </c>
      <c r="D1356" s="248"/>
      <c r="E1356" s="248"/>
      <c r="F1356" s="248"/>
      <c r="G1356" s="248" t="s">
        <v>3854</v>
      </c>
      <c r="H1356" s="248"/>
      <c r="I1356" s="248"/>
      <c r="J1356" s="248"/>
      <c r="K1356" s="248"/>
      <c r="L1356" s="248"/>
      <c r="M1356" s="248" t="s">
        <v>1830</v>
      </c>
    </row>
    <row r="1357" spans="1:13" ht="20.100000000000001" customHeight="1">
      <c r="A1357" s="248"/>
      <c r="B1357" s="248" t="s">
        <v>5268</v>
      </c>
      <c r="C1357" s="248" t="s">
        <v>4271</v>
      </c>
      <c r="D1357" s="248"/>
      <c r="E1357" s="248"/>
      <c r="F1357" s="248"/>
      <c r="G1357" s="248" t="s">
        <v>1831</v>
      </c>
      <c r="H1357" s="248"/>
      <c r="I1357" s="248"/>
      <c r="J1357" s="248"/>
      <c r="K1357" s="248"/>
      <c r="L1357" s="248"/>
      <c r="M1357" s="248" t="s">
        <v>1832</v>
      </c>
    </row>
    <row r="1358" spans="1:13" ht="20.100000000000001" customHeight="1">
      <c r="A1358" s="248"/>
      <c r="B1358" s="248" t="s">
        <v>5269</v>
      </c>
      <c r="C1358" s="248" t="s">
        <v>4036</v>
      </c>
      <c r="D1358" s="248"/>
      <c r="E1358" s="248"/>
      <c r="F1358" s="248"/>
      <c r="G1358" s="248" t="s">
        <v>1833</v>
      </c>
      <c r="H1358" s="248"/>
      <c r="I1358" s="248"/>
      <c r="J1358" s="248"/>
      <c r="K1358" s="248"/>
      <c r="L1358" s="248"/>
      <c r="M1358" s="248" t="s">
        <v>1834</v>
      </c>
    </row>
    <row r="1359" spans="1:13" ht="20.100000000000001" customHeight="1">
      <c r="A1359" s="248"/>
      <c r="B1359" s="248" t="s">
        <v>5270</v>
      </c>
      <c r="C1359" s="248" t="s">
        <v>4025</v>
      </c>
      <c r="D1359" s="248"/>
      <c r="E1359" s="248"/>
      <c r="F1359" s="248"/>
      <c r="G1359" s="248" t="s">
        <v>1835</v>
      </c>
      <c r="H1359" s="248"/>
      <c r="I1359" s="248"/>
      <c r="J1359" s="248"/>
      <c r="K1359" s="248"/>
      <c r="L1359" s="248"/>
      <c r="M1359" s="248" t="s">
        <v>1836</v>
      </c>
    </row>
    <row r="1360" spans="1:13" ht="20.100000000000001" customHeight="1">
      <c r="A1360" s="248"/>
      <c r="B1360" s="248" t="s">
        <v>5271</v>
      </c>
      <c r="C1360" s="248" t="s">
        <v>4014</v>
      </c>
      <c r="D1360" s="248"/>
      <c r="E1360" s="248"/>
      <c r="F1360" s="248"/>
      <c r="G1360" s="248" t="s">
        <v>1837</v>
      </c>
      <c r="H1360" s="248"/>
      <c r="I1360" s="248"/>
      <c r="J1360" s="248"/>
      <c r="K1360" s="248"/>
      <c r="L1360" s="248"/>
      <c r="M1360" s="248" t="s">
        <v>1838</v>
      </c>
    </row>
    <row r="1361" spans="1:13" ht="20.100000000000001" customHeight="1">
      <c r="A1361" s="248"/>
      <c r="B1361" s="248" t="s">
        <v>5272</v>
      </c>
      <c r="C1361" s="248" t="s">
        <v>4016</v>
      </c>
      <c r="D1361" s="248"/>
      <c r="E1361" s="248"/>
      <c r="F1361" s="248"/>
      <c r="G1361" s="248" t="s">
        <v>1839</v>
      </c>
      <c r="H1361" s="248"/>
      <c r="I1361" s="248"/>
      <c r="J1361" s="248"/>
      <c r="K1361" s="248"/>
      <c r="L1361" s="248"/>
      <c r="M1361" s="248" t="s">
        <v>1840</v>
      </c>
    </row>
    <row r="1362" spans="1:13" ht="20.100000000000001" customHeight="1">
      <c r="A1362" s="248"/>
      <c r="B1362" s="248" t="s">
        <v>5273</v>
      </c>
      <c r="C1362" s="248" t="s">
        <v>4036</v>
      </c>
      <c r="D1362" s="248"/>
      <c r="E1362" s="248"/>
      <c r="F1362" s="248"/>
      <c r="G1362" s="248" t="s">
        <v>1841</v>
      </c>
      <c r="H1362" s="248"/>
      <c r="I1362" s="248"/>
      <c r="J1362" s="248"/>
      <c r="K1362" s="248"/>
      <c r="L1362" s="248"/>
      <c r="M1362" s="248" t="s">
        <v>1842</v>
      </c>
    </row>
    <row r="1363" spans="1:13" ht="20.100000000000001" customHeight="1">
      <c r="A1363" s="248"/>
      <c r="B1363" s="248" t="s">
        <v>5274</v>
      </c>
      <c r="C1363" s="248" t="s">
        <v>4008</v>
      </c>
      <c r="D1363" s="248"/>
      <c r="E1363" s="248"/>
      <c r="F1363" s="248"/>
      <c r="G1363" s="248" t="s">
        <v>1843</v>
      </c>
      <c r="H1363" s="248"/>
      <c r="I1363" s="248"/>
      <c r="J1363" s="248"/>
      <c r="K1363" s="248"/>
      <c r="L1363" s="248"/>
      <c r="M1363" s="248" t="s">
        <v>3550</v>
      </c>
    </row>
    <row r="1364" spans="1:13" ht="20.100000000000001" customHeight="1">
      <c r="A1364" s="248"/>
      <c r="B1364" s="248" t="s">
        <v>5275</v>
      </c>
      <c r="C1364" s="248" t="s">
        <v>4003</v>
      </c>
      <c r="D1364" s="248"/>
      <c r="E1364" s="248"/>
      <c r="F1364" s="248"/>
      <c r="G1364" s="248" t="s">
        <v>1844</v>
      </c>
      <c r="H1364" s="248"/>
      <c r="I1364" s="248"/>
      <c r="J1364" s="248"/>
      <c r="K1364" s="248"/>
      <c r="L1364" s="248"/>
      <c r="M1364" s="248" t="s">
        <v>1845</v>
      </c>
    </row>
    <row r="1365" spans="1:13" ht="20.100000000000001" customHeight="1">
      <c r="A1365" s="248"/>
      <c r="B1365" s="248" t="s">
        <v>5276</v>
      </c>
      <c r="C1365" s="248" t="s">
        <v>4008</v>
      </c>
      <c r="D1365" s="248"/>
      <c r="E1365" s="248"/>
      <c r="F1365" s="248"/>
      <c r="G1365" s="248" t="s">
        <v>3428</v>
      </c>
      <c r="H1365" s="248"/>
      <c r="I1365" s="248"/>
      <c r="J1365" s="248"/>
      <c r="K1365" s="248"/>
      <c r="L1365" s="248"/>
      <c r="M1365" s="248" t="s">
        <v>3429</v>
      </c>
    </row>
    <row r="1366" spans="1:13" ht="20.100000000000001" customHeight="1">
      <c r="A1366" s="248"/>
      <c r="B1366" s="248" t="s">
        <v>6319</v>
      </c>
      <c r="C1366" s="248" t="s">
        <v>4030</v>
      </c>
      <c r="D1366" s="248"/>
      <c r="E1366" s="248"/>
      <c r="F1366" s="248"/>
      <c r="G1366" s="248" t="s">
        <v>6320</v>
      </c>
      <c r="H1366" s="248"/>
      <c r="I1366" s="248"/>
      <c r="J1366" s="248"/>
      <c r="K1366" s="248"/>
      <c r="L1366" s="248"/>
      <c r="M1366" s="248" t="s">
        <v>3429</v>
      </c>
    </row>
    <row r="1367" spans="1:13" ht="20.100000000000001" customHeight="1">
      <c r="A1367" s="248"/>
      <c r="B1367" s="248" t="s">
        <v>5277</v>
      </c>
      <c r="C1367" s="248" t="s">
        <v>4036</v>
      </c>
      <c r="D1367" s="248"/>
      <c r="E1367" s="248"/>
      <c r="F1367" s="248"/>
      <c r="G1367" s="248" t="s">
        <v>3506</v>
      </c>
      <c r="H1367" s="248"/>
      <c r="I1367" s="248"/>
      <c r="J1367" s="248"/>
      <c r="K1367" s="248"/>
      <c r="L1367" s="248"/>
      <c r="M1367" s="248" t="s">
        <v>196</v>
      </c>
    </row>
    <row r="1368" spans="1:13" ht="20.100000000000001" customHeight="1">
      <c r="A1368" s="248"/>
      <c r="B1368" s="248" t="s">
        <v>5278</v>
      </c>
      <c r="C1368" s="248" t="s">
        <v>4003</v>
      </c>
      <c r="D1368" s="248"/>
      <c r="E1368" s="248"/>
      <c r="F1368" s="248"/>
      <c r="G1368" s="248" t="s">
        <v>1846</v>
      </c>
      <c r="H1368" s="248"/>
      <c r="I1368" s="248"/>
      <c r="J1368" s="248"/>
      <c r="K1368" s="248"/>
      <c r="L1368" s="248"/>
      <c r="M1368" s="248" t="s">
        <v>1847</v>
      </c>
    </row>
    <row r="1369" spans="1:13" ht="20.100000000000001" customHeight="1">
      <c r="A1369" s="248"/>
      <c r="B1369" s="248" t="s">
        <v>5279</v>
      </c>
      <c r="C1369" s="248" t="s">
        <v>4008</v>
      </c>
      <c r="D1369" s="248"/>
      <c r="E1369" s="248"/>
      <c r="F1369" s="248"/>
      <c r="G1369" s="248" t="s">
        <v>1848</v>
      </c>
      <c r="H1369" s="248"/>
      <c r="I1369" s="248"/>
      <c r="J1369" s="248"/>
      <c r="K1369" s="248"/>
      <c r="L1369" s="248"/>
      <c r="M1369" s="248" t="s">
        <v>1847</v>
      </c>
    </row>
    <row r="1370" spans="1:13" ht="20.100000000000001" customHeight="1">
      <c r="A1370" s="248"/>
      <c r="B1370" s="248" t="s">
        <v>5280</v>
      </c>
      <c r="C1370" s="248" t="s">
        <v>4003</v>
      </c>
      <c r="D1370" s="248"/>
      <c r="E1370" s="248"/>
      <c r="F1370" s="248"/>
      <c r="G1370" s="248" t="s">
        <v>3965</v>
      </c>
      <c r="H1370" s="248"/>
      <c r="I1370" s="248"/>
      <c r="J1370" s="248"/>
      <c r="K1370" s="248"/>
      <c r="L1370" s="248"/>
      <c r="M1370" s="248" t="s">
        <v>1849</v>
      </c>
    </row>
    <row r="1371" spans="1:13" ht="20.100000000000001" customHeight="1">
      <c r="A1371" s="248"/>
      <c r="B1371" s="248" t="s">
        <v>5281</v>
      </c>
      <c r="C1371" s="248" t="s">
        <v>4014</v>
      </c>
      <c r="D1371" s="248"/>
      <c r="E1371" s="248"/>
      <c r="F1371" s="248"/>
      <c r="G1371" s="248" t="s">
        <v>1850</v>
      </c>
      <c r="H1371" s="248"/>
      <c r="I1371" s="248"/>
      <c r="J1371" s="248"/>
      <c r="K1371" s="248"/>
      <c r="L1371" s="248"/>
      <c r="M1371" s="248" t="s">
        <v>1851</v>
      </c>
    </row>
    <row r="1372" spans="1:13" ht="20.100000000000001" customHeight="1">
      <c r="A1372" s="248"/>
      <c r="B1372" s="248" t="s">
        <v>6260</v>
      </c>
      <c r="C1372" s="248" t="s">
        <v>4016</v>
      </c>
      <c r="D1372" s="248"/>
      <c r="E1372" s="248"/>
      <c r="F1372" s="248"/>
      <c r="G1372" s="248" t="s">
        <v>6261</v>
      </c>
      <c r="H1372" s="248"/>
      <c r="I1372" s="248"/>
      <c r="J1372" s="248"/>
      <c r="K1372" s="248"/>
      <c r="L1372" s="248"/>
      <c r="M1372" s="248" t="s">
        <v>6262</v>
      </c>
    </row>
    <row r="1373" spans="1:13" ht="20.100000000000001" customHeight="1">
      <c r="A1373" s="248"/>
      <c r="B1373" s="248" t="s">
        <v>5282</v>
      </c>
      <c r="C1373" s="248" t="s">
        <v>4008</v>
      </c>
      <c r="D1373" s="248"/>
      <c r="E1373" s="248"/>
      <c r="F1373" s="248"/>
      <c r="G1373" s="248" t="s">
        <v>1852</v>
      </c>
      <c r="H1373" s="248"/>
      <c r="I1373" s="248"/>
      <c r="J1373" s="248"/>
      <c r="K1373" s="248"/>
      <c r="L1373" s="248"/>
      <c r="M1373" s="248" t="s">
        <v>1853</v>
      </c>
    </row>
    <row r="1374" spans="1:13" ht="20.100000000000001" customHeight="1">
      <c r="A1374" s="248"/>
      <c r="B1374" s="248" t="s">
        <v>5283</v>
      </c>
      <c r="C1374" s="248" t="s">
        <v>4025</v>
      </c>
      <c r="D1374" s="248"/>
      <c r="E1374" s="248"/>
      <c r="F1374" s="248"/>
      <c r="G1374" s="248" t="s">
        <v>1854</v>
      </c>
      <c r="H1374" s="248"/>
      <c r="I1374" s="248"/>
      <c r="J1374" s="248"/>
      <c r="K1374" s="248"/>
      <c r="L1374" s="248"/>
      <c r="M1374" s="248" t="s">
        <v>1855</v>
      </c>
    </row>
    <row r="1375" spans="1:13" ht="20.100000000000001" customHeight="1">
      <c r="A1375" s="248"/>
      <c r="B1375" s="248" t="s">
        <v>5284</v>
      </c>
      <c r="C1375" s="248" t="s">
        <v>4036</v>
      </c>
      <c r="D1375" s="248"/>
      <c r="E1375" s="248"/>
      <c r="F1375" s="248"/>
      <c r="G1375" s="248" t="s">
        <v>1856</v>
      </c>
      <c r="H1375" s="248"/>
      <c r="I1375" s="248"/>
      <c r="J1375" s="248"/>
      <c r="K1375" s="248"/>
      <c r="L1375" s="248"/>
      <c r="M1375" s="248" t="s">
        <v>1857</v>
      </c>
    </row>
    <row r="1376" spans="1:13" ht="20.100000000000001" customHeight="1">
      <c r="A1376" s="248"/>
      <c r="B1376" s="248" t="s">
        <v>5285</v>
      </c>
      <c r="C1376" s="248" t="s">
        <v>4030</v>
      </c>
      <c r="D1376" s="248"/>
      <c r="E1376" s="248"/>
      <c r="F1376" s="248"/>
      <c r="G1376" s="248" t="s">
        <v>3349</v>
      </c>
      <c r="H1376" s="248"/>
      <c r="I1376" s="248"/>
      <c r="J1376" s="248"/>
      <c r="K1376" s="248"/>
      <c r="L1376" s="248"/>
      <c r="M1376" s="248" t="s">
        <v>3350</v>
      </c>
    </row>
    <row r="1377" spans="1:13" ht="20.100000000000001" customHeight="1">
      <c r="A1377" s="248"/>
      <c r="B1377" s="248" t="s">
        <v>5286</v>
      </c>
      <c r="C1377" s="248" t="s">
        <v>4124</v>
      </c>
      <c r="D1377" s="248"/>
      <c r="E1377" s="248"/>
      <c r="F1377" s="248"/>
      <c r="G1377" s="248" t="s">
        <v>1858</v>
      </c>
      <c r="H1377" s="248"/>
      <c r="I1377" s="248"/>
      <c r="J1377" s="248"/>
      <c r="K1377" s="248"/>
      <c r="L1377" s="248"/>
      <c r="M1377" s="248" t="s">
        <v>1859</v>
      </c>
    </row>
    <row r="1378" spans="1:13" ht="20.100000000000001" customHeight="1">
      <c r="A1378" s="248"/>
      <c r="B1378" s="248" t="s">
        <v>5287</v>
      </c>
      <c r="C1378" s="248" t="s">
        <v>4012</v>
      </c>
      <c r="D1378" s="248"/>
      <c r="E1378" s="248"/>
      <c r="F1378" s="248"/>
      <c r="G1378" s="248" t="s">
        <v>1860</v>
      </c>
      <c r="H1378" s="248"/>
      <c r="I1378" s="248"/>
      <c r="J1378" s="248"/>
      <c r="K1378" s="248"/>
      <c r="L1378" s="248"/>
      <c r="M1378" s="248" t="s">
        <v>1861</v>
      </c>
    </row>
    <row r="1379" spans="1:13" ht="20.100000000000001" customHeight="1">
      <c r="A1379" s="248"/>
      <c r="B1379" s="248" t="s">
        <v>5288</v>
      </c>
      <c r="C1379" s="248" t="s">
        <v>4057</v>
      </c>
      <c r="D1379" s="248"/>
      <c r="E1379" s="248"/>
      <c r="F1379" s="248"/>
      <c r="G1379" s="248" t="s">
        <v>1862</v>
      </c>
      <c r="H1379" s="248"/>
      <c r="I1379" s="248"/>
      <c r="J1379" s="248"/>
      <c r="K1379" s="248"/>
      <c r="L1379" s="248"/>
      <c r="M1379" s="248" t="s">
        <v>1863</v>
      </c>
    </row>
    <row r="1380" spans="1:13" ht="20.100000000000001" customHeight="1">
      <c r="A1380" s="248"/>
      <c r="B1380" s="248" t="s">
        <v>5289</v>
      </c>
      <c r="C1380" s="248" t="s">
        <v>4016</v>
      </c>
      <c r="D1380" s="248"/>
      <c r="E1380" s="248"/>
      <c r="F1380" s="248"/>
      <c r="G1380" s="248" t="s">
        <v>1864</v>
      </c>
      <c r="H1380" s="248"/>
      <c r="I1380" s="248"/>
      <c r="J1380" s="248"/>
      <c r="K1380" s="248"/>
      <c r="L1380" s="248"/>
      <c r="M1380" s="248" t="s">
        <v>1865</v>
      </c>
    </row>
    <row r="1381" spans="1:13" ht="20.100000000000001" customHeight="1">
      <c r="A1381" s="248"/>
      <c r="B1381" s="248" t="s">
        <v>5290</v>
      </c>
      <c r="C1381" s="248" t="s">
        <v>4014</v>
      </c>
      <c r="D1381" s="248"/>
      <c r="E1381" s="248"/>
      <c r="F1381" s="248"/>
      <c r="G1381" s="248" t="s">
        <v>1866</v>
      </c>
      <c r="H1381" s="248"/>
      <c r="I1381" s="248"/>
      <c r="J1381" s="248"/>
      <c r="K1381" s="248"/>
      <c r="L1381" s="248"/>
      <c r="M1381" s="248" t="s">
        <v>3550</v>
      </c>
    </row>
    <row r="1382" spans="1:13" ht="20.100000000000001" customHeight="1">
      <c r="A1382" s="248"/>
      <c r="B1382" s="248" t="s">
        <v>5291</v>
      </c>
      <c r="C1382" s="248" t="s">
        <v>4008</v>
      </c>
      <c r="D1382" s="248"/>
      <c r="E1382" s="248"/>
      <c r="F1382" s="248"/>
      <c r="G1382" s="248" t="s">
        <v>1867</v>
      </c>
      <c r="H1382" s="248"/>
      <c r="I1382" s="248"/>
      <c r="J1382" s="248"/>
      <c r="K1382" s="248"/>
      <c r="L1382" s="248"/>
      <c r="M1382" s="248" t="s">
        <v>1868</v>
      </c>
    </row>
    <row r="1383" spans="1:13" ht="20.100000000000001" customHeight="1">
      <c r="A1383" s="248"/>
      <c r="B1383" s="248" t="s">
        <v>5292</v>
      </c>
      <c r="C1383" s="248" t="s">
        <v>4016</v>
      </c>
      <c r="D1383" s="248"/>
      <c r="E1383" s="248"/>
      <c r="F1383" s="248"/>
      <c r="G1383" s="248" t="s">
        <v>1869</v>
      </c>
      <c r="H1383" s="248"/>
      <c r="I1383" s="248"/>
      <c r="J1383" s="248"/>
      <c r="K1383" s="248"/>
      <c r="L1383" s="248"/>
      <c r="M1383" s="248" t="s">
        <v>1870</v>
      </c>
    </row>
    <row r="1384" spans="1:13" ht="20.100000000000001" customHeight="1">
      <c r="A1384" s="248"/>
      <c r="B1384" s="248" t="s">
        <v>5293</v>
      </c>
      <c r="C1384" s="248" t="s">
        <v>4014</v>
      </c>
      <c r="D1384" s="248"/>
      <c r="E1384" s="248"/>
      <c r="F1384" s="248"/>
      <c r="G1384" s="248" t="s">
        <v>1871</v>
      </c>
      <c r="H1384" s="248"/>
      <c r="I1384" s="248"/>
      <c r="J1384" s="248"/>
      <c r="K1384" s="248"/>
      <c r="L1384" s="248"/>
      <c r="M1384" s="248" t="s">
        <v>1872</v>
      </c>
    </row>
    <row r="1385" spans="1:13" ht="20.100000000000001" customHeight="1">
      <c r="A1385" s="248"/>
      <c r="B1385" s="248" t="s">
        <v>5294</v>
      </c>
      <c r="C1385" s="248" t="s">
        <v>4008</v>
      </c>
      <c r="D1385" s="248"/>
      <c r="E1385" s="248"/>
      <c r="F1385" s="248"/>
      <c r="G1385" s="248" t="s">
        <v>1873</v>
      </c>
      <c r="H1385" s="248"/>
      <c r="I1385" s="248"/>
      <c r="J1385" s="248"/>
      <c r="K1385" s="248"/>
      <c r="L1385" s="248"/>
      <c r="M1385" s="248" t="s">
        <v>1874</v>
      </c>
    </row>
    <row r="1386" spans="1:13" ht="20.100000000000001" customHeight="1">
      <c r="A1386" s="248"/>
      <c r="B1386" s="248" t="s">
        <v>5295</v>
      </c>
      <c r="C1386" s="248" t="s">
        <v>4016</v>
      </c>
      <c r="D1386" s="248"/>
      <c r="E1386" s="248"/>
      <c r="F1386" s="248"/>
      <c r="G1386" s="248" t="s">
        <v>414</v>
      </c>
      <c r="H1386" s="248"/>
      <c r="I1386" s="248"/>
      <c r="J1386" s="248"/>
      <c r="K1386" s="248"/>
      <c r="L1386" s="248"/>
      <c r="M1386" s="248" t="s">
        <v>3550</v>
      </c>
    </row>
    <row r="1387" spans="1:13" ht="20.100000000000001" customHeight="1">
      <c r="A1387" s="248"/>
      <c r="B1387" s="248" t="s">
        <v>5296</v>
      </c>
      <c r="C1387" s="248" t="s">
        <v>4025</v>
      </c>
      <c r="D1387" s="248"/>
      <c r="E1387" s="248"/>
      <c r="F1387" s="248"/>
      <c r="G1387" s="248" t="s">
        <v>1875</v>
      </c>
      <c r="H1387" s="248"/>
      <c r="I1387" s="248"/>
      <c r="J1387" s="248"/>
      <c r="K1387" s="248"/>
      <c r="L1387" s="248"/>
      <c r="M1387" s="248" t="s">
        <v>3550</v>
      </c>
    </row>
    <row r="1388" spans="1:13" ht="20.100000000000001" customHeight="1">
      <c r="A1388" s="248"/>
      <c r="B1388" s="248" t="s">
        <v>5297</v>
      </c>
      <c r="C1388" s="248" t="s">
        <v>4030</v>
      </c>
      <c r="D1388" s="248"/>
      <c r="E1388" s="248"/>
      <c r="F1388" s="248"/>
      <c r="G1388" s="248" t="s">
        <v>3795</v>
      </c>
      <c r="H1388" s="248"/>
      <c r="I1388" s="248"/>
      <c r="J1388" s="248"/>
      <c r="K1388" s="248"/>
      <c r="L1388" s="248"/>
      <c r="M1388" s="248" t="s">
        <v>196</v>
      </c>
    </row>
    <row r="1389" spans="1:13" ht="20.100000000000001" customHeight="1">
      <c r="A1389" s="248"/>
      <c r="B1389" s="248" t="s">
        <v>5298</v>
      </c>
      <c r="C1389" s="248" t="s">
        <v>4057</v>
      </c>
      <c r="D1389" s="248"/>
      <c r="E1389" s="248"/>
      <c r="F1389" s="248"/>
      <c r="G1389" s="248" t="s">
        <v>1876</v>
      </c>
      <c r="H1389" s="248"/>
      <c r="I1389" s="248"/>
      <c r="J1389" s="248"/>
      <c r="K1389" s="248"/>
      <c r="L1389" s="248"/>
      <c r="M1389" s="248" t="s">
        <v>1877</v>
      </c>
    </row>
    <row r="1390" spans="1:13" ht="20.100000000000001" customHeight="1">
      <c r="A1390" s="248"/>
      <c r="B1390" s="248" t="s">
        <v>5299</v>
      </c>
      <c r="C1390" s="248" t="s">
        <v>4025</v>
      </c>
      <c r="D1390" s="248"/>
      <c r="E1390" s="248"/>
      <c r="F1390" s="248"/>
      <c r="G1390" s="248" t="s">
        <v>1878</v>
      </c>
      <c r="H1390" s="248"/>
      <c r="I1390" s="248"/>
      <c r="J1390" s="248"/>
      <c r="K1390" s="248"/>
      <c r="L1390" s="248"/>
      <c r="M1390" s="248" t="s">
        <v>1879</v>
      </c>
    </row>
    <row r="1391" spans="1:13" ht="20.100000000000001" customHeight="1">
      <c r="A1391" s="248"/>
      <c r="B1391" s="248" t="s">
        <v>5300</v>
      </c>
      <c r="C1391" s="248" t="s">
        <v>4003</v>
      </c>
      <c r="D1391" s="248"/>
      <c r="E1391" s="248"/>
      <c r="F1391" s="248"/>
      <c r="G1391" s="248" t="s">
        <v>1880</v>
      </c>
      <c r="H1391" s="248"/>
      <c r="I1391" s="248"/>
      <c r="J1391" s="248"/>
      <c r="K1391" s="248"/>
      <c r="L1391" s="248"/>
      <c r="M1391" s="248" t="s">
        <v>1881</v>
      </c>
    </row>
    <row r="1392" spans="1:13" ht="20.100000000000001" customHeight="1">
      <c r="A1392" s="248"/>
      <c r="B1392" s="248" t="s">
        <v>5301</v>
      </c>
      <c r="C1392" s="248" t="s">
        <v>4057</v>
      </c>
      <c r="D1392" s="248"/>
      <c r="E1392" s="248"/>
      <c r="F1392" s="248"/>
      <c r="G1392" s="248" t="s">
        <v>3394</v>
      </c>
      <c r="H1392" s="248"/>
      <c r="I1392" s="248"/>
      <c r="J1392" s="248"/>
      <c r="K1392" s="248"/>
      <c r="L1392" s="248"/>
      <c r="M1392" s="248" t="s">
        <v>3395</v>
      </c>
    </row>
    <row r="1393" spans="1:13" ht="20.100000000000001" customHeight="1">
      <c r="A1393" s="248"/>
      <c r="B1393" s="248" t="s">
        <v>5302</v>
      </c>
      <c r="C1393" s="248" t="s">
        <v>4036</v>
      </c>
      <c r="D1393" s="248"/>
      <c r="E1393" s="248"/>
      <c r="F1393" s="248"/>
      <c r="G1393" s="248" t="s">
        <v>1882</v>
      </c>
      <c r="H1393" s="248"/>
      <c r="I1393" s="248"/>
      <c r="J1393" s="248"/>
      <c r="K1393" s="248"/>
      <c r="L1393" s="248"/>
      <c r="M1393" s="248" t="s">
        <v>1883</v>
      </c>
    </row>
    <row r="1394" spans="1:13" ht="20.100000000000001" customHeight="1">
      <c r="A1394" s="248"/>
      <c r="B1394" s="248" t="s">
        <v>5303</v>
      </c>
      <c r="C1394" s="248" t="s">
        <v>4036</v>
      </c>
      <c r="D1394" s="248"/>
      <c r="E1394" s="248"/>
      <c r="F1394" s="248"/>
      <c r="G1394" s="248" t="s">
        <v>1884</v>
      </c>
      <c r="H1394" s="248"/>
      <c r="I1394" s="248"/>
      <c r="J1394" s="248"/>
      <c r="K1394" s="248"/>
      <c r="L1394" s="248"/>
      <c r="M1394" s="248" t="s">
        <v>1885</v>
      </c>
    </row>
    <row r="1395" spans="1:13" ht="20.100000000000001" customHeight="1">
      <c r="A1395" s="248"/>
      <c r="B1395" s="248" t="s">
        <v>5304</v>
      </c>
      <c r="C1395" s="248" t="s">
        <v>4030</v>
      </c>
      <c r="D1395" s="248"/>
      <c r="E1395" s="248"/>
      <c r="F1395" s="248"/>
      <c r="G1395" s="248" t="s">
        <v>1886</v>
      </c>
      <c r="H1395" s="248"/>
      <c r="I1395" s="248"/>
      <c r="J1395" s="248"/>
      <c r="K1395" s="248"/>
      <c r="L1395" s="248"/>
      <c r="M1395" s="248" t="s">
        <v>3550</v>
      </c>
    </row>
    <row r="1396" spans="1:13" ht="20.100000000000001" customHeight="1">
      <c r="A1396" s="248"/>
      <c r="B1396" s="248" t="s">
        <v>5305</v>
      </c>
      <c r="C1396" s="248" t="s">
        <v>4025</v>
      </c>
      <c r="D1396" s="248"/>
      <c r="E1396" s="248"/>
      <c r="F1396" s="248"/>
      <c r="G1396" s="248" t="s">
        <v>1887</v>
      </c>
      <c r="H1396" s="248"/>
      <c r="I1396" s="248"/>
      <c r="J1396" s="248"/>
      <c r="K1396" s="248"/>
      <c r="L1396" s="248"/>
      <c r="M1396" s="248" t="s">
        <v>1888</v>
      </c>
    </row>
    <row r="1397" spans="1:13" ht="20.100000000000001" customHeight="1">
      <c r="A1397" s="248"/>
      <c r="B1397" s="248" t="s">
        <v>5306</v>
      </c>
      <c r="C1397" s="248" t="s">
        <v>4003</v>
      </c>
      <c r="D1397" s="248"/>
      <c r="E1397" s="248"/>
      <c r="F1397" s="248"/>
      <c r="G1397" s="248" t="s">
        <v>1889</v>
      </c>
      <c r="H1397" s="248"/>
      <c r="I1397" s="248"/>
      <c r="J1397" s="248"/>
      <c r="K1397" s="248"/>
      <c r="L1397" s="248"/>
      <c r="M1397" s="248" t="s">
        <v>1890</v>
      </c>
    </row>
    <row r="1398" spans="1:13" ht="20.100000000000001" customHeight="1">
      <c r="A1398" s="248"/>
      <c r="B1398" s="248" t="s">
        <v>5307</v>
      </c>
      <c r="C1398" s="248" t="s">
        <v>4030</v>
      </c>
      <c r="D1398" s="248"/>
      <c r="E1398" s="248"/>
      <c r="F1398" s="248"/>
      <c r="G1398" s="248" t="s">
        <v>1891</v>
      </c>
      <c r="H1398" s="248"/>
      <c r="I1398" s="248"/>
      <c r="J1398" s="248"/>
      <c r="K1398" s="248"/>
      <c r="L1398" s="248"/>
      <c r="M1398" s="248" t="s">
        <v>1892</v>
      </c>
    </row>
    <row r="1399" spans="1:13" ht="20.100000000000001" customHeight="1">
      <c r="A1399" s="248"/>
      <c r="B1399" s="248" t="s">
        <v>5308</v>
      </c>
      <c r="C1399" s="248" t="s">
        <v>4025</v>
      </c>
      <c r="D1399" s="248"/>
      <c r="E1399" s="248"/>
      <c r="F1399" s="248"/>
      <c r="G1399" s="248" t="s">
        <v>1893</v>
      </c>
      <c r="H1399" s="248"/>
      <c r="I1399" s="248"/>
      <c r="J1399" s="248"/>
      <c r="K1399" s="248"/>
      <c r="L1399" s="248"/>
      <c r="M1399" s="248" t="s">
        <v>1894</v>
      </c>
    </row>
    <row r="1400" spans="1:13" ht="20.100000000000001" customHeight="1">
      <c r="A1400" s="249"/>
      <c r="B1400" s="249" t="s">
        <v>6186</v>
      </c>
      <c r="C1400" s="250" t="s">
        <v>4014</v>
      </c>
      <c r="D1400" s="249"/>
      <c r="E1400" s="249"/>
      <c r="F1400" s="249"/>
      <c r="G1400" s="249" t="s">
        <v>6187</v>
      </c>
      <c r="H1400" s="249"/>
      <c r="I1400" s="249"/>
      <c r="J1400" s="249"/>
      <c r="K1400" s="249"/>
      <c r="L1400" s="249"/>
      <c r="M1400" s="249" t="s">
        <v>6188</v>
      </c>
    </row>
    <row r="1401" spans="1:13" ht="20.100000000000001" customHeight="1">
      <c r="A1401" s="248"/>
      <c r="B1401" s="248" t="s">
        <v>5309</v>
      </c>
      <c r="C1401" s="248" t="s">
        <v>4025</v>
      </c>
      <c r="D1401" s="248"/>
      <c r="E1401" s="248"/>
      <c r="F1401" s="248"/>
      <c r="G1401" s="248" t="s">
        <v>1895</v>
      </c>
      <c r="H1401" s="248"/>
      <c r="I1401" s="248"/>
      <c r="J1401" s="248"/>
      <c r="K1401" s="248"/>
      <c r="L1401" s="248"/>
      <c r="M1401" s="248" t="s">
        <v>1896</v>
      </c>
    </row>
    <row r="1402" spans="1:13" ht="20.100000000000001" customHeight="1">
      <c r="A1402" s="248"/>
      <c r="B1402" s="248" t="s">
        <v>5310</v>
      </c>
      <c r="C1402" s="248" t="s">
        <v>4014</v>
      </c>
      <c r="D1402" s="248"/>
      <c r="E1402" s="248"/>
      <c r="F1402" s="248"/>
      <c r="G1402" s="248" t="s">
        <v>1897</v>
      </c>
      <c r="H1402" s="248"/>
      <c r="I1402" s="248"/>
      <c r="J1402" s="248"/>
      <c r="K1402" s="248"/>
      <c r="L1402" s="248"/>
      <c r="M1402" s="248" t="s">
        <v>1898</v>
      </c>
    </row>
    <row r="1403" spans="1:13" ht="20.100000000000001" customHeight="1">
      <c r="A1403" s="248"/>
      <c r="B1403" s="248" t="s">
        <v>5311</v>
      </c>
      <c r="C1403" s="248" t="s">
        <v>4025</v>
      </c>
      <c r="D1403" s="248"/>
      <c r="E1403" s="248"/>
      <c r="F1403" s="248"/>
      <c r="G1403" s="248" t="s">
        <v>3572</v>
      </c>
      <c r="H1403" s="248"/>
      <c r="I1403" s="248"/>
      <c r="J1403" s="248"/>
      <c r="K1403" s="248"/>
      <c r="L1403" s="248"/>
      <c r="M1403" s="248" t="s">
        <v>3573</v>
      </c>
    </row>
    <row r="1404" spans="1:13" ht="20.100000000000001" customHeight="1">
      <c r="A1404" s="248"/>
      <c r="B1404" s="248" t="s">
        <v>5312</v>
      </c>
      <c r="C1404" s="248" t="s">
        <v>4030</v>
      </c>
      <c r="D1404" s="248"/>
      <c r="E1404" s="248"/>
      <c r="F1404" s="248"/>
      <c r="G1404" s="248" t="s">
        <v>2496</v>
      </c>
      <c r="H1404" s="248"/>
      <c r="I1404" s="248"/>
      <c r="J1404" s="248"/>
      <c r="K1404" s="248"/>
      <c r="L1404" s="248"/>
      <c r="M1404" s="248" t="s">
        <v>3550</v>
      </c>
    </row>
    <row r="1405" spans="1:13" ht="20.100000000000001" customHeight="1">
      <c r="A1405" s="248"/>
      <c r="B1405" s="248" t="s">
        <v>5313</v>
      </c>
      <c r="C1405" s="248" t="s">
        <v>4003</v>
      </c>
      <c r="D1405" s="248"/>
      <c r="E1405" s="248"/>
      <c r="F1405" s="248"/>
      <c r="G1405" s="248" t="s">
        <v>6509</v>
      </c>
      <c r="H1405" s="248"/>
      <c r="I1405" s="248"/>
      <c r="J1405" s="248"/>
      <c r="K1405" s="248"/>
      <c r="L1405" s="248"/>
      <c r="M1405" s="248" t="s">
        <v>1899</v>
      </c>
    </row>
    <row r="1406" spans="1:13" ht="20.100000000000001" customHeight="1">
      <c r="A1406" s="248"/>
      <c r="B1406" s="248" t="s">
        <v>5314</v>
      </c>
      <c r="C1406" s="248" t="s">
        <v>4174</v>
      </c>
      <c r="D1406" s="248"/>
      <c r="E1406" s="248"/>
      <c r="F1406" s="248"/>
      <c r="G1406" s="248" t="s">
        <v>1900</v>
      </c>
      <c r="H1406" s="248"/>
      <c r="I1406" s="248"/>
      <c r="J1406" s="248"/>
      <c r="K1406" s="248"/>
      <c r="L1406" s="248"/>
      <c r="M1406" s="248" t="s">
        <v>3550</v>
      </c>
    </row>
    <row r="1407" spans="1:13" ht="20.100000000000001" customHeight="1">
      <c r="A1407" s="248"/>
      <c r="B1407" s="248" t="s">
        <v>6510</v>
      </c>
      <c r="C1407" s="248" t="s">
        <v>4008</v>
      </c>
      <c r="D1407" s="248"/>
      <c r="E1407" s="248"/>
      <c r="F1407" s="248"/>
      <c r="G1407" s="248" t="s">
        <v>6511</v>
      </c>
      <c r="H1407" s="248"/>
      <c r="I1407" s="248"/>
      <c r="J1407" s="248"/>
      <c r="K1407" s="248"/>
      <c r="L1407" s="248"/>
      <c r="M1407" s="248" t="s">
        <v>6512</v>
      </c>
    </row>
    <row r="1408" spans="1:13" ht="20.100000000000001" customHeight="1">
      <c r="A1408" s="248"/>
      <c r="B1408" s="248" t="s">
        <v>5315</v>
      </c>
      <c r="C1408" s="248" t="s">
        <v>4036</v>
      </c>
      <c r="D1408" s="248"/>
      <c r="E1408" s="248"/>
      <c r="F1408" s="248"/>
      <c r="G1408" s="248" t="s">
        <v>1901</v>
      </c>
      <c r="H1408" s="248"/>
      <c r="I1408" s="248"/>
      <c r="J1408" s="248"/>
      <c r="K1408" s="248"/>
      <c r="L1408" s="248"/>
      <c r="M1408" s="248" t="s">
        <v>1902</v>
      </c>
    </row>
    <row r="1409" spans="1:13" ht="20.100000000000001" customHeight="1">
      <c r="A1409" s="248"/>
      <c r="B1409" s="248" t="s">
        <v>5316</v>
      </c>
      <c r="C1409" s="248" t="s">
        <v>4014</v>
      </c>
      <c r="D1409" s="248"/>
      <c r="E1409" s="248"/>
      <c r="F1409" s="248"/>
      <c r="G1409" s="248" t="s">
        <v>1903</v>
      </c>
      <c r="H1409" s="248"/>
      <c r="I1409" s="248"/>
      <c r="J1409" s="248"/>
      <c r="K1409" s="248"/>
      <c r="L1409" s="248"/>
      <c r="M1409" s="248" t="s">
        <v>1904</v>
      </c>
    </row>
    <row r="1410" spans="1:13" ht="20.100000000000001" customHeight="1">
      <c r="A1410" s="248"/>
      <c r="B1410" s="248" t="s">
        <v>5317</v>
      </c>
      <c r="C1410" s="248" t="s">
        <v>4057</v>
      </c>
      <c r="D1410" s="248"/>
      <c r="E1410" s="248"/>
      <c r="F1410" s="248"/>
      <c r="G1410" s="248" t="s">
        <v>3084</v>
      </c>
      <c r="H1410" s="248"/>
      <c r="I1410" s="248"/>
      <c r="J1410" s="248"/>
      <c r="K1410" s="248"/>
      <c r="L1410" s="248"/>
      <c r="M1410" s="248" t="s">
        <v>3080</v>
      </c>
    </row>
    <row r="1411" spans="1:13" ht="20.100000000000001" customHeight="1">
      <c r="A1411" s="248"/>
      <c r="B1411" s="248" t="s">
        <v>5318</v>
      </c>
      <c r="C1411" s="248" t="s">
        <v>4008</v>
      </c>
      <c r="D1411" s="248"/>
      <c r="E1411" s="248"/>
      <c r="F1411" s="248"/>
      <c r="G1411" s="248" t="s">
        <v>3507</v>
      </c>
      <c r="H1411" s="248"/>
      <c r="I1411" s="248"/>
      <c r="J1411" s="248"/>
      <c r="K1411" s="248"/>
      <c r="L1411" s="248"/>
      <c r="M1411" s="248" t="s">
        <v>3508</v>
      </c>
    </row>
    <row r="1412" spans="1:13" ht="20.100000000000001" customHeight="1">
      <c r="A1412" s="248"/>
      <c r="B1412" s="248" t="s">
        <v>5319</v>
      </c>
      <c r="C1412" s="248" t="s">
        <v>4014</v>
      </c>
      <c r="D1412" s="248"/>
      <c r="E1412" s="248"/>
      <c r="F1412" s="248"/>
      <c r="G1412" s="248" t="s">
        <v>1905</v>
      </c>
      <c r="H1412" s="248"/>
      <c r="I1412" s="248"/>
      <c r="J1412" s="248"/>
      <c r="K1412" s="248"/>
      <c r="L1412" s="248"/>
      <c r="M1412" s="248" t="s">
        <v>1906</v>
      </c>
    </row>
    <row r="1413" spans="1:13" ht="20.100000000000001" customHeight="1">
      <c r="A1413" s="248"/>
      <c r="B1413" s="248" t="s">
        <v>5320</v>
      </c>
      <c r="C1413" s="248" t="s">
        <v>4008</v>
      </c>
      <c r="D1413" s="248"/>
      <c r="E1413" s="248"/>
      <c r="F1413" s="248"/>
      <c r="G1413" s="248" t="s">
        <v>1907</v>
      </c>
      <c r="H1413" s="248"/>
      <c r="I1413" s="248"/>
      <c r="J1413" s="248"/>
      <c r="K1413" s="248"/>
      <c r="L1413" s="248"/>
      <c r="M1413" s="248" t="s">
        <v>3550</v>
      </c>
    </row>
    <row r="1414" spans="1:13" ht="20.100000000000001" customHeight="1">
      <c r="A1414" s="248"/>
      <c r="B1414" s="248" t="s">
        <v>5321</v>
      </c>
      <c r="C1414" s="248" t="s">
        <v>4036</v>
      </c>
      <c r="D1414" s="248"/>
      <c r="E1414" s="248"/>
      <c r="F1414" s="248"/>
      <c r="G1414" s="248" t="s">
        <v>3574</v>
      </c>
      <c r="H1414" s="248"/>
      <c r="I1414" s="248"/>
      <c r="J1414" s="248"/>
      <c r="K1414" s="248"/>
      <c r="L1414" s="248"/>
      <c r="M1414" s="248" t="s">
        <v>3575</v>
      </c>
    </row>
    <row r="1415" spans="1:13" ht="20.100000000000001" customHeight="1">
      <c r="A1415" s="248"/>
      <c r="B1415" s="248" t="s">
        <v>5322</v>
      </c>
      <c r="C1415" s="248" t="s">
        <v>4036</v>
      </c>
      <c r="D1415" s="248"/>
      <c r="E1415" s="248"/>
      <c r="F1415" s="248"/>
      <c r="G1415" s="248" t="s">
        <v>3855</v>
      </c>
      <c r="H1415" s="248"/>
      <c r="I1415" s="248"/>
      <c r="J1415" s="248"/>
      <c r="K1415" s="248"/>
      <c r="L1415" s="248"/>
      <c r="M1415" s="248" t="s">
        <v>3856</v>
      </c>
    </row>
    <row r="1416" spans="1:13" ht="20.100000000000001" customHeight="1">
      <c r="A1416" s="248"/>
      <c r="B1416" s="248" t="s">
        <v>5323</v>
      </c>
      <c r="C1416" s="248" t="s">
        <v>4008</v>
      </c>
      <c r="D1416" s="248"/>
      <c r="E1416" s="248"/>
      <c r="F1416" s="248"/>
      <c r="G1416" s="248" t="s">
        <v>3619</v>
      </c>
      <c r="H1416" s="248"/>
      <c r="I1416" s="248"/>
      <c r="J1416" s="248"/>
      <c r="K1416" s="248"/>
      <c r="L1416" s="248"/>
      <c r="M1416" s="248" t="s">
        <v>3620</v>
      </c>
    </row>
    <row r="1417" spans="1:13" ht="20.100000000000001" customHeight="1">
      <c r="A1417" s="248"/>
      <c r="B1417" s="248" t="s">
        <v>5324</v>
      </c>
      <c r="C1417" s="248" t="s">
        <v>4012</v>
      </c>
      <c r="D1417" s="248"/>
      <c r="E1417" s="248"/>
      <c r="F1417" s="248"/>
      <c r="G1417" s="248" t="s">
        <v>3703</v>
      </c>
      <c r="H1417" s="248"/>
      <c r="I1417" s="248"/>
      <c r="J1417" s="248"/>
      <c r="K1417" s="248"/>
      <c r="L1417" s="248"/>
      <c r="M1417" s="248" t="s">
        <v>1908</v>
      </c>
    </row>
    <row r="1418" spans="1:13" ht="20.100000000000001" customHeight="1">
      <c r="A1418" s="248"/>
      <c r="B1418" s="248" t="s">
        <v>5325</v>
      </c>
      <c r="C1418" s="248" t="s">
        <v>4025</v>
      </c>
      <c r="D1418" s="248"/>
      <c r="E1418" s="248"/>
      <c r="F1418" s="248"/>
      <c r="G1418" s="248" t="s">
        <v>1909</v>
      </c>
      <c r="H1418" s="248"/>
      <c r="I1418" s="248"/>
      <c r="J1418" s="248"/>
      <c r="K1418" s="248"/>
      <c r="L1418" s="248"/>
      <c r="M1418" s="248" t="s">
        <v>1908</v>
      </c>
    </row>
    <row r="1419" spans="1:13" ht="20.100000000000001" customHeight="1">
      <c r="A1419" s="248"/>
      <c r="B1419" s="248" t="s">
        <v>5326</v>
      </c>
      <c r="C1419" s="248" t="s">
        <v>4003</v>
      </c>
      <c r="D1419" s="248"/>
      <c r="E1419" s="248"/>
      <c r="F1419" s="248"/>
      <c r="G1419" s="248" t="s">
        <v>1910</v>
      </c>
      <c r="H1419" s="248"/>
      <c r="I1419" s="248"/>
      <c r="J1419" s="248"/>
      <c r="K1419" s="248"/>
      <c r="L1419" s="248"/>
      <c r="M1419" s="248" t="s">
        <v>1911</v>
      </c>
    </row>
    <row r="1420" spans="1:13" ht="20.100000000000001" customHeight="1">
      <c r="A1420" s="248"/>
      <c r="B1420" s="248" t="s">
        <v>5327</v>
      </c>
      <c r="C1420" s="248" t="s">
        <v>4030</v>
      </c>
      <c r="D1420" s="248"/>
      <c r="E1420" s="248"/>
      <c r="F1420" s="248"/>
      <c r="G1420" s="248" t="s">
        <v>1912</v>
      </c>
      <c r="H1420" s="248"/>
      <c r="I1420" s="248"/>
      <c r="J1420" s="248"/>
      <c r="K1420" s="248"/>
      <c r="L1420" s="248"/>
      <c r="M1420" s="248" t="s">
        <v>1913</v>
      </c>
    </row>
    <row r="1421" spans="1:13" ht="20.100000000000001" customHeight="1">
      <c r="A1421" s="248"/>
      <c r="B1421" s="248" t="s">
        <v>6151</v>
      </c>
      <c r="C1421" s="248" t="s">
        <v>4016</v>
      </c>
      <c r="D1421" s="248"/>
      <c r="E1421" s="248"/>
      <c r="F1421" s="248"/>
      <c r="G1421" s="248" t="s">
        <v>6152</v>
      </c>
      <c r="H1421" s="248"/>
      <c r="I1421" s="248"/>
      <c r="J1421" s="248"/>
      <c r="K1421" s="248"/>
      <c r="L1421" s="248"/>
      <c r="M1421" s="248" t="s">
        <v>6153</v>
      </c>
    </row>
    <row r="1422" spans="1:13" ht="20.100000000000001" customHeight="1">
      <c r="A1422" s="248"/>
      <c r="B1422" s="248" t="s">
        <v>5328</v>
      </c>
      <c r="C1422" s="248" t="s">
        <v>4030</v>
      </c>
      <c r="D1422" s="248"/>
      <c r="E1422" s="248"/>
      <c r="F1422" s="248"/>
      <c r="G1422" s="248" t="s">
        <v>3796</v>
      </c>
      <c r="H1422" s="248"/>
      <c r="I1422" s="248"/>
      <c r="J1422" s="248"/>
      <c r="K1422" s="248"/>
      <c r="L1422" s="248"/>
      <c r="M1422" s="248" t="s">
        <v>3797</v>
      </c>
    </row>
    <row r="1423" spans="1:13" ht="20.100000000000001" customHeight="1">
      <c r="A1423" s="248"/>
      <c r="B1423" s="248" t="s">
        <v>5329</v>
      </c>
      <c r="C1423" s="248" t="s">
        <v>4003</v>
      </c>
      <c r="D1423" s="248"/>
      <c r="E1423" s="248"/>
      <c r="F1423" s="248"/>
      <c r="G1423" s="248" t="s">
        <v>3430</v>
      </c>
      <c r="H1423" s="248"/>
      <c r="I1423" s="248"/>
      <c r="J1423" s="248"/>
      <c r="K1423" s="248"/>
      <c r="L1423" s="248"/>
      <c r="M1423" s="248" t="s">
        <v>3431</v>
      </c>
    </row>
    <row r="1424" spans="1:13" ht="20.100000000000001" customHeight="1">
      <c r="A1424" s="248"/>
      <c r="B1424" s="248" t="s">
        <v>5330</v>
      </c>
      <c r="C1424" s="248" t="s">
        <v>4003</v>
      </c>
      <c r="D1424" s="248"/>
      <c r="E1424" s="248"/>
      <c r="F1424" s="248"/>
      <c r="G1424" s="248" t="s">
        <v>1916</v>
      </c>
      <c r="H1424" s="248"/>
      <c r="I1424" s="248"/>
      <c r="J1424" s="248"/>
      <c r="K1424" s="248"/>
      <c r="L1424" s="248"/>
      <c r="M1424" s="248" t="s">
        <v>1737</v>
      </c>
    </row>
    <row r="1425" spans="1:13" ht="20.100000000000001" customHeight="1">
      <c r="A1425" s="248"/>
      <c r="B1425" s="248" t="s">
        <v>5331</v>
      </c>
      <c r="C1425" s="248" t="s">
        <v>4016</v>
      </c>
      <c r="D1425" s="248"/>
      <c r="E1425" s="248"/>
      <c r="F1425" s="248"/>
      <c r="G1425" s="248" t="s">
        <v>3342</v>
      </c>
      <c r="H1425" s="248"/>
      <c r="I1425" s="248"/>
      <c r="J1425" s="248"/>
      <c r="K1425" s="248"/>
      <c r="L1425" s="248"/>
      <c r="M1425" s="248" t="s">
        <v>3343</v>
      </c>
    </row>
    <row r="1426" spans="1:13" ht="20.100000000000001" customHeight="1">
      <c r="A1426" s="248"/>
      <c r="B1426" s="248" t="s">
        <v>5332</v>
      </c>
      <c r="C1426" s="248" t="s">
        <v>4012</v>
      </c>
      <c r="D1426" s="248"/>
      <c r="E1426" s="248"/>
      <c r="F1426" s="248"/>
      <c r="G1426" s="248" t="s">
        <v>3355</v>
      </c>
      <c r="H1426" s="248"/>
      <c r="I1426" s="248"/>
      <c r="J1426" s="248"/>
      <c r="K1426" s="248"/>
      <c r="L1426" s="248"/>
      <c r="M1426" s="248" t="s">
        <v>3356</v>
      </c>
    </row>
    <row r="1427" spans="1:13" ht="20.100000000000001" customHeight="1">
      <c r="A1427" s="248"/>
      <c r="B1427" s="248" t="s">
        <v>5333</v>
      </c>
      <c r="C1427" s="248" t="s">
        <v>4030</v>
      </c>
      <c r="D1427" s="248"/>
      <c r="E1427" s="248"/>
      <c r="F1427" s="248"/>
      <c r="G1427" s="248" t="s">
        <v>1917</v>
      </c>
      <c r="H1427" s="248"/>
      <c r="I1427" s="248"/>
      <c r="J1427" s="248"/>
      <c r="K1427" s="248"/>
      <c r="L1427" s="248"/>
      <c r="M1427" s="248" t="s">
        <v>1918</v>
      </c>
    </row>
    <row r="1428" spans="1:13" ht="20.100000000000001" customHeight="1">
      <c r="A1428" s="248"/>
      <c r="B1428" s="248" t="s">
        <v>5334</v>
      </c>
      <c r="C1428" s="248" t="s">
        <v>4003</v>
      </c>
      <c r="D1428" s="248"/>
      <c r="E1428" s="248"/>
      <c r="F1428" s="248"/>
      <c r="G1428" s="248" t="s">
        <v>3530</v>
      </c>
      <c r="H1428" s="248"/>
      <c r="I1428" s="248"/>
      <c r="J1428" s="248"/>
      <c r="K1428" s="248"/>
      <c r="L1428" s="248"/>
      <c r="M1428" s="248" t="s">
        <v>3531</v>
      </c>
    </row>
    <row r="1429" spans="1:13" ht="20.100000000000001" customHeight="1">
      <c r="A1429" s="248"/>
      <c r="B1429" s="248" t="s">
        <v>5335</v>
      </c>
      <c r="C1429" s="248" t="s">
        <v>4030</v>
      </c>
      <c r="D1429" s="248"/>
      <c r="E1429" s="248"/>
      <c r="F1429" s="248"/>
      <c r="G1429" s="248" t="s">
        <v>1919</v>
      </c>
      <c r="H1429" s="248"/>
      <c r="I1429" s="248"/>
      <c r="J1429" s="248"/>
      <c r="K1429" s="248"/>
      <c r="L1429" s="248"/>
      <c r="M1429" s="248" t="s">
        <v>3550</v>
      </c>
    </row>
    <row r="1430" spans="1:13" ht="20.100000000000001" customHeight="1">
      <c r="A1430" s="248"/>
      <c r="B1430" s="248" t="s">
        <v>6189</v>
      </c>
      <c r="C1430" s="248" t="s">
        <v>4008</v>
      </c>
      <c r="D1430" s="248"/>
      <c r="E1430" s="248"/>
      <c r="F1430" s="248"/>
      <c r="G1430" s="248" t="s">
        <v>6190</v>
      </c>
      <c r="H1430" s="248"/>
      <c r="I1430" s="248"/>
      <c r="J1430" s="248"/>
      <c r="K1430" s="248"/>
      <c r="L1430" s="248"/>
      <c r="M1430" s="248" t="s">
        <v>6191</v>
      </c>
    </row>
    <row r="1431" spans="1:13" ht="20.100000000000001" customHeight="1">
      <c r="A1431" s="248"/>
      <c r="B1431" s="248" t="s">
        <v>6192</v>
      </c>
      <c r="C1431" s="248" t="s">
        <v>4014</v>
      </c>
      <c r="D1431" s="248"/>
      <c r="E1431" s="248"/>
      <c r="F1431" s="248"/>
      <c r="G1431" s="248" t="s">
        <v>6193</v>
      </c>
      <c r="H1431" s="248"/>
      <c r="I1431" s="248"/>
      <c r="J1431" s="248"/>
      <c r="K1431" s="248"/>
      <c r="L1431" s="248"/>
      <c r="M1431" s="248" t="s">
        <v>3550</v>
      </c>
    </row>
    <row r="1432" spans="1:13" ht="20.100000000000001" customHeight="1">
      <c r="A1432" s="248"/>
      <c r="B1432" s="248" t="s">
        <v>5336</v>
      </c>
      <c r="C1432" s="248" t="s">
        <v>4016</v>
      </c>
      <c r="D1432" s="248"/>
      <c r="E1432" s="248"/>
      <c r="F1432" s="248"/>
      <c r="G1432" s="248" t="s">
        <v>1920</v>
      </c>
      <c r="H1432" s="248"/>
      <c r="I1432" s="248"/>
      <c r="J1432" s="248"/>
      <c r="K1432" s="248"/>
      <c r="L1432" s="248"/>
      <c r="M1432" s="248" t="s">
        <v>3550</v>
      </c>
    </row>
    <row r="1433" spans="1:13" ht="20.100000000000001" customHeight="1">
      <c r="A1433" s="248"/>
      <c r="B1433" s="248" t="s">
        <v>5337</v>
      </c>
      <c r="C1433" s="248" t="s">
        <v>4030</v>
      </c>
      <c r="D1433" s="248"/>
      <c r="E1433" s="248"/>
      <c r="F1433" s="248"/>
      <c r="G1433" s="248" t="s">
        <v>3171</v>
      </c>
      <c r="H1433" s="248"/>
      <c r="I1433" s="248"/>
      <c r="J1433" s="248"/>
      <c r="K1433" s="248"/>
      <c r="L1433" s="248"/>
      <c r="M1433" s="248" t="s">
        <v>3172</v>
      </c>
    </row>
    <row r="1434" spans="1:13" ht="20.100000000000001" customHeight="1">
      <c r="A1434" s="248"/>
      <c r="B1434" s="248" t="s">
        <v>5338</v>
      </c>
      <c r="C1434" s="248" t="s">
        <v>4012</v>
      </c>
      <c r="D1434" s="248"/>
      <c r="E1434" s="248"/>
      <c r="F1434" s="248"/>
      <c r="G1434" s="248" t="s">
        <v>1921</v>
      </c>
      <c r="H1434" s="248"/>
      <c r="I1434" s="248"/>
      <c r="J1434" s="248"/>
      <c r="K1434" s="248"/>
      <c r="L1434" s="248"/>
      <c r="M1434" s="248" t="s">
        <v>1922</v>
      </c>
    </row>
    <row r="1435" spans="1:13" ht="20.100000000000001" customHeight="1">
      <c r="A1435" s="248"/>
      <c r="B1435" s="248" t="s">
        <v>5339</v>
      </c>
      <c r="C1435" s="248" t="s">
        <v>4008</v>
      </c>
      <c r="D1435" s="248"/>
      <c r="E1435" s="248"/>
      <c r="F1435" s="248"/>
      <c r="G1435" s="248" t="s">
        <v>3432</v>
      </c>
      <c r="H1435" s="248"/>
      <c r="I1435" s="248"/>
      <c r="J1435" s="248"/>
      <c r="K1435" s="248"/>
      <c r="L1435" s="248"/>
      <c r="M1435" s="248" t="s">
        <v>3433</v>
      </c>
    </row>
    <row r="1436" spans="1:13" ht="20.100000000000001" customHeight="1">
      <c r="A1436" s="248"/>
      <c r="B1436" s="248" t="s">
        <v>5340</v>
      </c>
      <c r="C1436" s="248" t="s">
        <v>4025</v>
      </c>
      <c r="D1436" s="248"/>
      <c r="E1436" s="248"/>
      <c r="F1436" s="248"/>
      <c r="G1436" s="248" t="s">
        <v>1923</v>
      </c>
      <c r="H1436" s="248"/>
      <c r="I1436" s="248"/>
      <c r="J1436" s="248"/>
      <c r="K1436" s="248"/>
      <c r="L1436" s="248"/>
      <c r="M1436" s="248" t="s">
        <v>1924</v>
      </c>
    </row>
    <row r="1437" spans="1:13" ht="20.100000000000001" customHeight="1">
      <c r="A1437" s="248"/>
      <c r="B1437" s="248" t="s">
        <v>5341</v>
      </c>
      <c r="C1437" s="248" t="s">
        <v>4008</v>
      </c>
      <c r="D1437" s="248"/>
      <c r="E1437" s="248"/>
      <c r="F1437" s="248"/>
      <c r="G1437" s="248" t="s">
        <v>1925</v>
      </c>
      <c r="H1437" s="248"/>
      <c r="I1437" s="248"/>
      <c r="J1437" s="248"/>
      <c r="K1437" s="248"/>
      <c r="L1437" s="248"/>
      <c r="M1437" s="248" t="s">
        <v>1926</v>
      </c>
    </row>
    <row r="1438" spans="1:13" ht="20.100000000000001" customHeight="1">
      <c r="A1438" s="248"/>
      <c r="B1438" s="248" t="s">
        <v>5342</v>
      </c>
      <c r="C1438" s="248" t="s">
        <v>4025</v>
      </c>
      <c r="D1438" s="248"/>
      <c r="E1438" s="248"/>
      <c r="F1438" s="248"/>
      <c r="G1438" s="248" t="s">
        <v>1927</v>
      </c>
      <c r="H1438" s="248"/>
      <c r="I1438" s="248"/>
      <c r="J1438" s="248"/>
      <c r="K1438" s="248"/>
      <c r="L1438" s="248"/>
      <c r="M1438" s="248" t="s">
        <v>1928</v>
      </c>
    </row>
    <row r="1439" spans="1:13" ht="20.100000000000001" customHeight="1">
      <c r="A1439" s="248"/>
      <c r="B1439" s="248" t="s">
        <v>5343</v>
      </c>
      <c r="C1439" s="248" t="s">
        <v>4036</v>
      </c>
      <c r="D1439" s="248"/>
      <c r="E1439" s="248"/>
      <c r="F1439" s="248"/>
      <c r="G1439" s="248" t="s">
        <v>1929</v>
      </c>
      <c r="H1439" s="248"/>
      <c r="I1439" s="248"/>
      <c r="J1439" s="248"/>
      <c r="K1439" s="248"/>
      <c r="L1439" s="248"/>
      <c r="M1439" s="248" t="s">
        <v>1238</v>
      </c>
    </row>
    <row r="1440" spans="1:13" ht="20.100000000000001" customHeight="1">
      <c r="A1440" s="248"/>
      <c r="B1440" s="248" t="s">
        <v>5344</v>
      </c>
      <c r="C1440" s="248" t="s">
        <v>4016</v>
      </c>
      <c r="D1440" s="248"/>
      <c r="E1440" s="248"/>
      <c r="F1440" s="248"/>
      <c r="G1440" s="248" t="s">
        <v>1930</v>
      </c>
      <c r="H1440" s="248"/>
      <c r="I1440" s="248"/>
      <c r="J1440" s="248"/>
      <c r="K1440" s="248"/>
      <c r="L1440" s="248"/>
      <c r="M1440" s="248" t="s">
        <v>3550</v>
      </c>
    </row>
    <row r="1441" spans="1:13" ht="20.100000000000001" customHeight="1">
      <c r="A1441" s="248"/>
      <c r="B1441" s="248" t="s">
        <v>5345</v>
      </c>
      <c r="C1441" s="248" t="s">
        <v>4146</v>
      </c>
      <c r="D1441" s="248"/>
      <c r="E1441" s="248"/>
      <c r="F1441" s="248"/>
      <c r="G1441" s="248" t="s">
        <v>1931</v>
      </c>
      <c r="H1441" s="248"/>
      <c r="I1441" s="248"/>
      <c r="J1441" s="248"/>
      <c r="K1441" s="248"/>
      <c r="L1441" s="248"/>
      <c r="M1441" s="248" t="s">
        <v>1932</v>
      </c>
    </row>
    <row r="1442" spans="1:13" ht="20.100000000000001" customHeight="1">
      <c r="A1442" s="248"/>
      <c r="B1442" s="248" t="s">
        <v>5346</v>
      </c>
      <c r="C1442" s="248" t="s">
        <v>4025</v>
      </c>
      <c r="D1442" s="248"/>
      <c r="E1442" s="248"/>
      <c r="F1442" s="248"/>
      <c r="G1442" s="248" t="s">
        <v>3532</v>
      </c>
      <c r="H1442" s="248"/>
      <c r="I1442" s="248"/>
      <c r="J1442" s="248"/>
      <c r="K1442" s="248"/>
      <c r="L1442" s="248"/>
      <c r="M1442" s="248" t="s">
        <v>3533</v>
      </c>
    </row>
    <row r="1443" spans="1:13" ht="20.100000000000001" customHeight="1">
      <c r="A1443" s="248"/>
      <c r="B1443" s="248" t="s">
        <v>5347</v>
      </c>
      <c r="C1443" s="248" t="s">
        <v>4008</v>
      </c>
      <c r="D1443" s="248"/>
      <c r="E1443" s="248"/>
      <c r="F1443" s="248"/>
      <c r="G1443" s="248" t="s">
        <v>3857</v>
      </c>
      <c r="H1443" s="248"/>
      <c r="I1443" s="248"/>
      <c r="J1443" s="248"/>
      <c r="K1443" s="248"/>
      <c r="L1443" s="248"/>
      <c r="M1443" s="248" t="s">
        <v>3550</v>
      </c>
    </row>
    <row r="1444" spans="1:13" ht="20.100000000000001" customHeight="1">
      <c r="A1444" s="248"/>
      <c r="B1444" s="248" t="s">
        <v>5348</v>
      </c>
      <c r="C1444" s="248" t="s">
        <v>4014</v>
      </c>
      <c r="D1444" s="248"/>
      <c r="E1444" s="248"/>
      <c r="F1444" s="248"/>
      <c r="G1444" s="248" t="s">
        <v>1933</v>
      </c>
      <c r="H1444" s="248"/>
      <c r="I1444" s="248"/>
      <c r="J1444" s="248"/>
      <c r="K1444" s="248"/>
      <c r="L1444" s="248"/>
      <c r="M1444" s="248" t="s">
        <v>1934</v>
      </c>
    </row>
    <row r="1445" spans="1:13" ht="20.100000000000001" customHeight="1">
      <c r="A1445" s="248"/>
      <c r="B1445" s="248" t="s">
        <v>5349</v>
      </c>
      <c r="C1445" s="248" t="s">
        <v>4016</v>
      </c>
      <c r="D1445" s="248"/>
      <c r="E1445" s="248"/>
      <c r="F1445" s="248"/>
      <c r="G1445" s="248" t="s">
        <v>1935</v>
      </c>
      <c r="H1445" s="248"/>
      <c r="I1445" s="248"/>
      <c r="J1445" s="248"/>
      <c r="K1445" s="248"/>
      <c r="L1445" s="248"/>
      <c r="M1445" s="248" t="s">
        <v>3550</v>
      </c>
    </row>
    <row r="1446" spans="1:13" ht="20.100000000000001" customHeight="1">
      <c r="A1446" s="248"/>
      <c r="B1446" s="248" t="s">
        <v>5350</v>
      </c>
      <c r="C1446" s="248" t="s">
        <v>4025</v>
      </c>
      <c r="D1446" s="248"/>
      <c r="E1446" s="248"/>
      <c r="F1446" s="248"/>
      <c r="G1446" s="248" t="s">
        <v>1936</v>
      </c>
      <c r="H1446" s="248"/>
      <c r="I1446" s="248"/>
      <c r="J1446" s="248"/>
      <c r="K1446" s="248"/>
      <c r="L1446" s="248"/>
      <c r="M1446" s="248" t="s">
        <v>1937</v>
      </c>
    </row>
    <row r="1447" spans="1:13" ht="20.100000000000001" customHeight="1">
      <c r="A1447" s="248"/>
      <c r="B1447" s="248" t="s">
        <v>5351</v>
      </c>
      <c r="C1447" s="248" t="s">
        <v>4030</v>
      </c>
      <c r="D1447" s="248"/>
      <c r="E1447" s="248"/>
      <c r="F1447" s="248"/>
      <c r="G1447" s="248" t="s">
        <v>1938</v>
      </c>
      <c r="H1447" s="248"/>
      <c r="I1447" s="248"/>
      <c r="J1447" s="248"/>
      <c r="K1447" s="248"/>
      <c r="L1447" s="248"/>
      <c r="M1447" s="248" t="s">
        <v>1939</v>
      </c>
    </row>
    <row r="1448" spans="1:13" ht="20.100000000000001" customHeight="1">
      <c r="A1448" s="248"/>
      <c r="B1448" s="248" t="s">
        <v>5352</v>
      </c>
      <c r="C1448" s="248" t="s">
        <v>4012</v>
      </c>
      <c r="D1448" s="248"/>
      <c r="E1448" s="248"/>
      <c r="F1448" s="248"/>
      <c r="G1448" s="248" t="s">
        <v>1940</v>
      </c>
      <c r="H1448" s="248"/>
      <c r="I1448" s="248"/>
      <c r="J1448" s="248"/>
      <c r="K1448" s="248"/>
      <c r="L1448" s="248"/>
      <c r="M1448" s="248" t="s">
        <v>3550</v>
      </c>
    </row>
    <row r="1449" spans="1:13" ht="20.100000000000001" customHeight="1">
      <c r="A1449" s="248"/>
      <c r="B1449" s="248" t="s">
        <v>5353</v>
      </c>
      <c r="C1449" s="248" t="s">
        <v>4014</v>
      </c>
      <c r="D1449" s="248"/>
      <c r="E1449" s="248"/>
      <c r="F1449" s="248"/>
      <c r="G1449" s="248" t="s">
        <v>1941</v>
      </c>
      <c r="H1449" s="248"/>
      <c r="I1449" s="248"/>
      <c r="J1449" s="248"/>
      <c r="K1449" s="248"/>
      <c r="L1449" s="248"/>
      <c r="M1449" s="248" t="s">
        <v>1942</v>
      </c>
    </row>
    <row r="1450" spans="1:13" ht="20.100000000000001" customHeight="1">
      <c r="A1450" s="248"/>
      <c r="B1450" s="248" t="s">
        <v>5354</v>
      </c>
      <c r="C1450" s="248" t="s">
        <v>4014</v>
      </c>
      <c r="D1450" s="248"/>
      <c r="E1450" s="248"/>
      <c r="F1450" s="248"/>
      <c r="G1450" s="248" t="s">
        <v>3121</v>
      </c>
      <c r="H1450" s="248"/>
      <c r="I1450" s="248"/>
      <c r="J1450" s="248"/>
      <c r="K1450" s="248"/>
      <c r="L1450" s="248"/>
      <c r="M1450" s="248" t="s">
        <v>3122</v>
      </c>
    </row>
    <row r="1451" spans="1:13" ht="20.100000000000001" customHeight="1">
      <c r="A1451" s="248"/>
      <c r="B1451" s="248" t="s">
        <v>5355</v>
      </c>
      <c r="C1451" s="248" t="s">
        <v>4036</v>
      </c>
      <c r="D1451" s="248"/>
      <c r="E1451" s="248"/>
      <c r="F1451" s="248"/>
      <c r="G1451" s="248" t="s">
        <v>3271</v>
      </c>
      <c r="H1451" s="248"/>
      <c r="I1451" s="248"/>
      <c r="J1451" s="248"/>
      <c r="K1451" s="248"/>
      <c r="L1451" s="248"/>
      <c r="M1451" s="248" t="s">
        <v>1943</v>
      </c>
    </row>
    <row r="1452" spans="1:13" ht="20.100000000000001" customHeight="1">
      <c r="A1452" s="248"/>
      <c r="B1452" s="248" t="s">
        <v>5356</v>
      </c>
      <c r="C1452" s="248" t="s">
        <v>4036</v>
      </c>
      <c r="D1452" s="248"/>
      <c r="E1452" s="248"/>
      <c r="F1452" s="248"/>
      <c r="G1452" s="248" t="s">
        <v>1944</v>
      </c>
      <c r="H1452" s="248"/>
      <c r="I1452" s="248"/>
      <c r="J1452" s="248"/>
      <c r="K1452" s="248"/>
      <c r="L1452" s="248"/>
      <c r="M1452" s="248" t="s">
        <v>1945</v>
      </c>
    </row>
    <row r="1453" spans="1:13" ht="20.100000000000001" customHeight="1">
      <c r="A1453" s="248"/>
      <c r="B1453" s="248" t="s">
        <v>5357</v>
      </c>
      <c r="C1453" s="248" t="s">
        <v>4012</v>
      </c>
      <c r="D1453" s="248"/>
      <c r="E1453" s="248"/>
      <c r="F1453" s="248"/>
      <c r="G1453" s="248" t="s">
        <v>1946</v>
      </c>
      <c r="H1453" s="248"/>
      <c r="I1453" s="248"/>
      <c r="J1453" s="248"/>
      <c r="K1453" s="248"/>
      <c r="L1453" s="248"/>
      <c r="M1453" s="248" t="s">
        <v>3550</v>
      </c>
    </row>
    <row r="1454" spans="1:13" ht="20.100000000000001" customHeight="1">
      <c r="A1454" s="248"/>
      <c r="B1454" s="248" t="s">
        <v>5358</v>
      </c>
      <c r="C1454" s="248" t="s">
        <v>4003</v>
      </c>
      <c r="D1454" s="248"/>
      <c r="E1454" s="248"/>
      <c r="F1454" s="248"/>
      <c r="G1454" s="248" t="s">
        <v>3329</v>
      </c>
      <c r="H1454" s="248"/>
      <c r="I1454" s="248"/>
      <c r="J1454" s="248"/>
      <c r="K1454" s="248"/>
      <c r="L1454" s="248"/>
      <c r="M1454" s="248" t="s">
        <v>3330</v>
      </c>
    </row>
    <row r="1455" spans="1:13" ht="20.100000000000001" customHeight="1">
      <c r="A1455" s="248"/>
      <c r="B1455" s="248" t="s">
        <v>6455</v>
      </c>
      <c r="C1455" s="248" t="s">
        <v>4008</v>
      </c>
      <c r="D1455" s="248"/>
      <c r="E1455" s="248"/>
      <c r="F1455" s="248"/>
      <c r="G1455" s="248" t="s">
        <v>6456</v>
      </c>
      <c r="H1455" s="248"/>
      <c r="I1455" s="248"/>
      <c r="J1455" s="248"/>
      <c r="K1455" s="248"/>
      <c r="L1455" s="248"/>
      <c r="M1455" s="248" t="s">
        <v>6457</v>
      </c>
    </row>
    <row r="1456" spans="1:13" ht="20.100000000000001" customHeight="1">
      <c r="A1456" s="248"/>
      <c r="B1456" s="248" t="s">
        <v>5359</v>
      </c>
      <c r="C1456" s="248" t="s">
        <v>4016</v>
      </c>
      <c r="D1456" s="248"/>
      <c r="E1456" s="248"/>
      <c r="F1456" s="248"/>
      <c r="G1456" s="248" t="s">
        <v>1947</v>
      </c>
      <c r="H1456" s="248"/>
      <c r="I1456" s="248"/>
      <c r="J1456" s="248"/>
      <c r="K1456" s="248"/>
      <c r="L1456" s="248"/>
      <c r="M1456" s="248" t="s">
        <v>1948</v>
      </c>
    </row>
    <row r="1457" spans="1:13" ht="20.100000000000001" customHeight="1">
      <c r="A1457" s="248"/>
      <c r="B1457" s="248" t="s">
        <v>5360</v>
      </c>
      <c r="C1457" s="248" t="s">
        <v>4014</v>
      </c>
      <c r="D1457" s="248"/>
      <c r="E1457" s="248"/>
      <c r="F1457" s="248"/>
      <c r="G1457" s="248" t="s">
        <v>1949</v>
      </c>
      <c r="H1457" s="248"/>
      <c r="I1457" s="248"/>
      <c r="J1457" s="248"/>
      <c r="K1457" s="248"/>
      <c r="L1457" s="248"/>
      <c r="M1457" s="248" t="s">
        <v>1950</v>
      </c>
    </row>
    <row r="1458" spans="1:13" ht="20.100000000000001" customHeight="1">
      <c r="A1458" s="248"/>
      <c r="B1458" s="248" t="s">
        <v>5361</v>
      </c>
      <c r="C1458" s="248" t="s">
        <v>4008</v>
      </c>
      <c r="D1458" s="248"/>
      <c r="E1458" s="248"/>
      <c r="F1458" s="248"/>
      <c r="G1458" s="248" t="s">
        <v>1951</v>
      </c>
      <c r="H1458" s="248"/>
      <c r="I1458" s="248"/>
      <c r="J1458" s="248"/>
      <c r="K1458" s="248"/>
      <c r="L1458" s="248"/>
      <c r="M1458" s="248" t="s">
        <v>1952</v>
      </c>
    </row>
    <row r="1459" spans="1:13" ht="20.100000000000001" customHeight="1">
      <c r="A1459" s="248"/>
      <c r="B1459" s="248" t="s">
        <v>5362</v>
      </c>
      <c r="C1459" s="248" t="s">
        <v>4025</v>
      </c>
      <c r="D1459" s="248"/>
      <c r="E1459" s="248"/>
      <c r="F1459" s="248"/>
      <c r="G1459" s="248" t="s">
        <v>1953</v>
      </c>
      <c r="H1459" s="248"/>
      <c r="I1459" s="248"/>
      <c r="J1459" s="248"/>
      <c r="K1459" s="248"/>
      <c r="L1459" s="248"/>
      <c r="M1459" s="248" t="s">
        <v>1954</v>
      </c>
    </row>
    <row r="1460" spans="1:13" ht="20.100000000000001" customHeight="1">
      <c r="A1460" s="248"/>
      <c r="B1460" s="248" t="s">
        <v>5363</v>
      </c>
      <c r="C1460" s="248" t="s">
        <v>4025</v>
      </c>
      <c r="D1460" s="248"/>
      <c r="E1460" s="248"/>
      <c r="F1460" s="248"/>
      <c r="G1460" s="248" t="s">
        <v>1955</v>
      </c>
      <c r="H1460" s="248"/>
      <c r="I1460" s="248"/>
      <c r="J1460" s="248"/>
      <c r="K1460" s="248"/>
      <c r="L1460" s="248"/>
      <c r="M1460" s="248" t="s">
        <v>1956</v>
      </c>
    </row>
    <row r="1461" spans="1:13" ht="20.100000000000001" customHeight="1">
      <c r="A1461" s="248"/>
      <c r="B1461" s="248" t="s">
        <v>6570</v>
      </c>
      <c r="C1461" s="248" t="s">
        <v>4036</v>
      </c>
      <c r="D1461" s="248"/>
      <c r="E1461" s="248"/>
      <c r="F1461" s="248"/>
      <c r="G1461" s="248" t="s">
        <v>6571</v>
      </c>
      <c r="H1461" s="248"/>
      <c r="I1461" s="248"/>
      <c r="J1461" s="248"/>
      <c r="K1461" s="248"/>
      <c r="L1461" s="248"/>
      <c r="M1461" s="248" t="s">
        <v>6572</v>
      </c>
    </row>
    <row r="1462" spans="1:13" ht="20.100000000000001" customHeight="1">
      <c r="A1462" s="248"/>
      <c r="B1462" s="248" t="s">
        <v>5364</v>
      </c>
      <c r="C1462" s="248" t="s">
        <v>4036</v>
      </c>
      <c r="D1462" s="248"/>
      <c r="E1462" s="248"/>
      <c r="F1462" s="248"/>
      <c r="G1462" s="248" t="s">
        <v>3877</v>
      </c>
      <c r="H1462" s="248"/>
      <c r="I1462" s="248"/>
      <c r="J1462" s="248"/>
      <c r="K1462" s="248"/>
      <c r="L1462" s="248"/>
      <c r="M1462" s="248" t="s">
        <v>3878</v>
      </c>
    </row>
    <row r="1463" spans="1:13" ht="20.100000000000001" customHeight="1">
      <c r="A1463" s="248"/>
      <c r="B1463" s="248" t="s">
        <v>5365</v>
      </c>
      <c r="C1463" s="248" t="s">
        <v>4030</v>
      </c>
      <c r="D1463" s="248"/>
      <c r="E1463" s="248"/>
      <c r="F1463" s="248"/>
      <c r="G1463" s="248" t="s">
        <v>1957</v>
      </c>
      <c r="H1463" s="248"/>
      <c r="I1463" s="248"/>
      <c r="J1463" s="248"/>
      <c r="K1463" s="248"/>
      <c r="L1463" s="248"/>
      <c r="M1463" s="248" t="s">
        <v>1958</v>
      </c>
    </row>
    <row r="1464" spans="1:13" ht="20.100000000000001" customHeight="1">
      <c r="A1464" s="248"/>
      <c r="B1464" s="248" t="s">
        <v>5366</v>
      </c>
      <c r="C1464" s="248" t="s">
        <v>4057</v>
      </c>
      <c r="D1464" s="248"/>
      <c r="E1464" s="248"/>
      <c r="F1464" s="248"/>
      <c r="G1464" s="248" t="s">
        <v>1959</v>
      </c>
      <c r="H1464" s="248"/>
      <c r="I1464" s="248"/>
      <c r="J1464" s="248"/>
      <c r="K1464" s="248"/>
      <c r="L1464" s="248"/>
      <c r="M1464" s="248" t="s">
        <v>1960</v>
      </c>
    </row>
    <row r="1465" spans="1:13" ht="20.100000000000001" customHeight="1">
      <c r="A1465" s="248"/>
      <c r="B1465" s="248" t="s">
        <v>6376</v>
      </c>
      <c r="C1465" s="248"/>
      <c r="D1465" s="248"/>
      <c r="E1465" s="248"/>
      <c r="F1465" s="248"/>
      <c r="G1465" s="248" t="s">
        <v>3509</v>
      </c>
      <c r="H1465" s="248"/>
      <c r="I1465" s="248"/>
      <c r="J1465" s="248"/>
      <c r="K1465" s="248"/>
      <c r="L1465" s="248"/>
      <c r="M1465" s="248" t="s">
        <v>196</v>
      </c>
    </row>
    <row r="1466" spans="1:13" ht="20.100000000000001" customHeight="1">
      <c r="A1466" s="248"/>
      <c r="B1466" s="248" t="s">
        <v>5367</v>
      </c>
      <c r="C1466" s="248" t="s">
        <v>4003</v>
      </c>
      <c r="D1466" s="248"/>
      <c r="E1466" s="248"/>
      <c r="F1466" s="248"/>
      <c r="G1466" s="248" t="s">
        <v>1961</v>
      </c>
      <c r="H1466" s="248"/>
      <c r="I1466" s="248"/>
      <c r="J1466" s="248"/>
      <c r="K1466" s="248"/>
      <c r="L1466" s="248"/>
      <c r="M1466" s="248" t="s">
        <v>1962</v>
      </c>
    </row>
    <row r="1467" spans="1:13" ht="20.100000000000001" customHeight="1">
      <c r="A1467" s="248"/>
      <c r="B1467" s="248" t="s">
        <v>5368</v>
      </c>
      <c r="C1467" s="248" t="s">
        <v>4012</v>
      </c>
      <c r="D1467" s="248"/>
      <c r="E1467" s="248"/>
      <c r="F1467" s="248"/>
      <c r="G1467" s="248" t="s">
        <v>1963</v>
      </c>
      <c r="H1467" s="248"/>
      <c r="I1467" s="248"/>
      <c r="J1467" s="248"/>
      <c r="K1467" s="248"/>
      <c r="L1467" s="248"/>
      <c r="M1467" s="248" t="s">
        <v>3550</v>
      </c>
    </row>
    <row r="1468" spans="1:13" ht="20.100000000000001" customHeight="1">
      <c r="A1468" s="248"/>
      <c r="B1468" s="248" t="s">
        <v>5369</v>
      </c>
      <c r="C1468" s="248" t="s">
        <v>4016</v>
      </c>
      <c r="D1468" s="248"/>
      <c r="E1468" s="248"/>
      <c r="F1468" s="248"/>
      <c r="G1468" s="248" t="s">
        <v>1964</v>
      </c>
      <c r="H1468" s="248"/>
      <c r="I1468" s="248"/>
      <c r="J1468" s="248"/>
      <c r="K1468" s="248"/>
      <c r="L1468" s="248"/>
      <c r="M1468" s="248" t="s">
        <v>1965</v>
      </c>
    </row>
    <row r="1469" spans="1:13" ht="20.100000000000001" customHeight="1">
      <c r="A1469" s="248"/>
      <c r="B1469" s="248" t="s">
        <v>5370</v>
      </c>
      <c r="C1469" s="248" t="s">
        <v>4014</v>
      </c>
      <c r="D1469" s="248"/>
      <c r="E1469" s="248"/>
      <c r="F1469" s="248"/>
      <c r="G1469" s="248" t="s">
        <v>1966</v>
      </c>
      <c r="H1469" s="248"/>
      <c r="I1469" s="248"/>
      <c r="J1469" s="248"/>
      <c r="K1469" s="248"/>
      <c r="L1469" s="248"/>
      <c r="M1469" s="248" t="s">
        <v>1967</v>
      </c>
    </row>
    <row r="1470" spans="1:13" ht="20.100000000000001" customHeight="1">
      <c r="A1470" s="248"/>
      <c r="B1470" s="248" t="s">
        <v>5371</v>
      </c>
      <c r="C1470" s="248" t="s">
        <v>4016</v>
      </c>
      <c r="D1470" s="248"/>
      <c r="E1470" s="248"/>
      <c r="F1470" s="248"/>
      <c r="G1470" s="248" t="s">
        <v>3704</v>
      </c>
      <c r="H1470" s="248"/>
      <c r="I1470" s="248"/>
      <c r="J1470" s="248"/>
      <c r="K1470" s="248"/>
      <c r="L1470" s="248"/>
      <c r="M1470" s="248" t="s">
        <v>3550</v>
      </c>
    </row>
    <row r="1471" spans="1:13" ht="20.100000000000001" customHeight="1">
      <c r="A1471" s="248"/>
      <c r="B1471" s="248" t="s">
        <v>5372</v>
      </c>
      <c r="C1471" s="248" t="s">
        <v>4008</v>
      </c>
      <c r="D1471" s="248"/>
      <c r="E1471" s="248"/>
      <c r="F1471" s="248"/>
      <c r="G1471" s="248" t="s">
        <v>1968</v>
      </c>
      <c r="H1471" s="248"/>
      <c r="I1471" s="248"/>
      <c r="J1471" s="248"/>
      <c r="K1471" s="248"/>
      <c r="L1471" s="248"/>
      <c r="M1471" s="248" t="s">
        <v>1969</v>
      </c>
    </row>
    <row r="1472" spans="1:13" ht="20.100000000000001" customHeight="1">
      <c r="A1472" s="248"/>
      <c r="B1472" s="248" t="s">
        <v>5373</v>
      </c>
      <c r="C1472" s="248" t="s">
        <v>4025</v>
      </c>
      <c r="D1472" s="248"/>
      <c r="E1472" s="248"/>
      <c r="F1472" s="248"/>
      <c r="G1472" s="248" t="s">
        <v>1970</v>
      </c>
      <c r="H1472" s="248"/>
      <c r="I1472" s="248"/>
      <c r="J1472" s="248"/>
      <c r="K1472" s="248"/>
      <c r="L1472" s="248"/>
      <c r="M1472" s="248" t="s">
        <v>3550</v>
      </c>
    </row>
    <row r="1473" spans="1:13" ht="20.100000000000001" customHeight="1">
      <c r="A1473" s="248"/>
      <c r="B1473" s="248" t="s">
        <v>5374</v>
      </c>
      <c r="C1473" s="248" t="s">
        <v>4030</v>
      </c>
      <c r="D1473" s="248"/>
      <c r="E1473" s="248"/>
      <c r="F1473" s="248"/>
      <c r="G1473" s="248" t="s">
        <v>1971</v>
      </c>
      <c r="H1473" s="248"/>
      <c r="I1473" s="248"/>
      <c r="J1473" s="248"/>
      <c r="K1473" s="248"/>
      <c r="L1473" s="248"/>
      <c r="M1473" s="248" t="s">
        <v>3550</v>
      </c>
    </row>
    <row r="1474" spans="1:13" ht="20.100000000000001" customHeight="1">
      <c r="A1474" s="248"/>
      <c r="B1474" s="248" t="s">
        <v>5375</v>
      </c>
      <c r="C1474" s="248" t="s">
        <v>4014</v>
      </c>
      <c r="D1474" s="248"/>
      <c r="E1474" s="248"/>
      <c r="F1474" s="248"/>
      <c r="G1474" s="248" t="s">
        <v>3434</v>
      </c>
      <c r="H1474" s="248"/>
      <c r="I1474" s="248"/>
      <c r="J1474" s="248"/>
      <c r="K1474" s="248"/>
      <c r="L1474" s="248"/>
      <c r="M1474" s="248" t="s">
        <v>3435</v>
      </c>
    </row>
    <row r="1475" spans="1:13" ht="20.100000000000001" customHeight="1">
      <c r="A1475" s="248"/>
      <c r="B1475" s="248" t="s">
        <v>5376</v>
      </c>
      <c r="C1475" s="248" t="s">
        <v>4016</v>
      </c>
      <c r="D1475" s="248"/>
      <c r="E1475" s="248"/>
      <c r="F1475" s="248"/>
      <c r="G1475" s="248" t="s">
        <v>1972</v>
      </c>
      <c r="H1475" s="248"/>
      <c r="I1475" s="248"/>
      <c r="J1475" s="248"/>
      <c r="K1475" s="248"/>
      <c r="L1475" s="248"/>
      <c r="M1475" s="248" t="s">
        <v>1973</v>
      </c>
    </row>
    <row r="1476" spans="1:13" ht="20.100000000000001" customHeight="1">
      <c r="A1476" s="248"/>
      <c r="B1476" s="248" t="s">
        <v>5377</v>
      </c>
      <c r="C1476" s="248" t="s">
        <v>4012</v>
      </c>
      <c r="D1476" s="248"/>
      <c r="E1476" s="248"/>
      <c r="F1476" s="248"/>
      <c r="G1476" s="248" t="s">
        <v>1974</v>
      </c>
      <c r="H1476" s="248"/>
      <c r="I1476" s="248"/>
      <c r="J1476" s="248"/>
      <c r="K1476" s="248"/>
      <c r="L1476" s="248"/>
      <c r="M1476" s="248" t="s">
        <v>3550</v>
      </c>
    </row>
    <row r="1477" spans="1:13" ht="20.100000000000001" customHeight="1">
      <c r="A1477" s="248"/>
      <c r="B1477" s="248" t="s">
        <v>5378</v>
      </c>
      <c r="C1477" s="248" t="s">
        <v>4003</v>
      </c>
      <c r="D1477" s="248"/>
      <c r="E1477" s="248"/>
      <c r="F1477" s="248"/>
      <c r="G1477" s="248" t="s">
        <v>1975</v>
      </c>
      <c r="H1477" s="248"/>
      <c r="I1477" s="248"/>
      <c r="J1477" s="248"/>
      <c r="K1477" s="248"/>
      <c r="L1477" s="248"/>
      <c r="M1477" s="248" t="s">
        <v>1976</v>
      </c>
    </row>
    <row r="1478" spans="1:13" ht="20.100000000000001" customHeight="1">
      <c r="A1478" s="248"/>
      <c r="B1478" s="248" t="s">
        <v>5379</v>
      </c>
      <c r="C1478" s="248" t="s">
        <v>4030</v>
      </c>
      <c r="D1478" s="248"/>
      <c r="E1478" s="248"/>
      <c r="F1478" s="248"/>
      <c r="G1478" s="248" t="s">
        <v>1977</v>
      </c>
      <c r="H1478" s="248"/>
      <c r="I1478" s="248"/>
      <c r="J1478" s="248"/>
      <c r="K1478" s="248"/>
      <c r="L1478" s="248"/>
      <c r="M1478" s="248" t="s">
        <v>1978</v>
      </c>
    </row>
    <row r="1479" spans="1:13" ht="20.100000000000001" customHeight="1">
      <c r="A1479" s="248"/>
      <c r="B1479" s="248" t="s">
        <v>5380</v>
      </c>
      <c r="C1479" s="248" t="s">
        <v>4030</v>
      </c>
      <c r="D1479" s="248"/>
      <c r="E1479" s="248"/>
      <c r="F1479" s="248"/>
      <c r="G1479" s="248" t="s">
        <v>1979</v>
      </c>
      <c r="H1479" s="248"/>
      <c r="I1479" s="248"/>
      <c r="J1479" s="248"/>
      <c r="K1479" s="248"/>
      <c r="L1479" s="248"/>
      <c r="M1479" s="248" t="s">
        <v>1980</v>
      </c>
    </row>
    <row r="1480" spans="1:13" ht="20.100000000000001" customHeight="1">
      <c r="A1480" s="248"/>
      <c r="B1480" s="248" t="s">
        <v>5381</v>
      </c>
      <c r="C1480" s="248" t="s">
        <v>4008</v>
      </c>
      <c r="D1480" s="248"/>
      <c r="E1480" s="248"/>
      <c r="F1480" s="248"/>
      <c r="G1480" s="248" t="s">
        <v>1981</v>
      </c>
      <c r="H1480" s="248"/>
      <c r="I1480" s="248"/>
      <c r="J1480" s="248"/>
      <c r="K1480" s="248"/>
      <c r="L1480" s="248"/>
      <c r="M1480" s="248" t="s">
        <v>1982</v>
      </c>
    </row>
    <row r="1481" spans="1:13" ht="20.100000000000001" customHeight="1">
      <c r="A1481" s="248"/>
      <c r="B1481" s="248" t="s">
        <v>5382</v>
      </c>
      <c r="C1481" s="248" t="s">
        <v>4036</v>
      </c>
      <c r="D1481" s="248"/>
      <c r="E1481" s="248"/>
      <c r="F1481" s="248"/>
      <c r="G1481" s="248" t="s">
        <v>3576</v>
      </c>
      <c r="H1481" s="248"/>
      <c r="I1481" s="248"/>
      <c r="J1481" s="248"/>
      <c r="K1481" s="248"/>
      <c r="L1481" s="248"/>
      <c r="M1481" s="248" t="s">
        <v>3577</v>
      </c>
    </row>
    <row r="1482" spans="1:13" ht="20.100000000000001" customHeight="1">
      <c r="A1482" s="248"/>
      <c r="B1482" s="248" t="s">
        <v>5383</v>
      </c>
      <c r="C1482" s="248" t="s">
        <v>4025</v>
      </c>
      <c r="D1482" s="248"/>
      <c r="E1482" s="248"/>
      <c r="F1482" s="248"/>
      <c r="G1482" s="248" t="s">
        <v>1983</v>
      </c>
      <c r="H1482" s="248"/>
      <c r="I1482" s="248"/>
      <c r="J1482" s="248"/>
      <c r="K1482" s="248"/>
      <c r="L1482" s="248"/>
      <c r="M1482" s="248" t="s">
        <v>3550</v>
      </c>
    </row>
    <row r="1483" spans="1:13" ht="20.100000000000001" customHeight="1">
      <c r="A1483" s="248"/>
      <c r="B1483" s="248" t="s">
        <v>5384</v>
      </c>
      <c r="C1483" s="248" t="s">
        <v>4012</v>
      </c>
      <c r="D1483" s="248"/>
      <c r="E1483" s="248"/>
      <c r="F1483" s="248"/>
      <c r="G1483" s="248" t="s">
        <v>3879</v>
      </c>
      <c r="H1483" s="248"/>
      <c r="I1483" s="248"/>
      <c r="J1483" s="248"/>
      <c r="K1483" s="248"/>
      <c r="L1483" s="248"/>
      <c r="M1483" s="248" t="s">
        <v>3880</v>
      </c>
    </row>
    <row r="1484" spans="1:13" ht="20.100000000000001" customHeight="1">
      <c r="A1484" s="248"/>
      <c r="B1484" s="248" t="s">
        <v>5385</v>
      </c>
      <c r="C1484" s="248" t="s">
        <v>4030</v>
      </c>
      <c r="D1484" s="248"/>
      <c r="E1484" s="248"/>
      <c r="F1484" s="248"/>
      <c r="G1484" s="248" t="s">
        <v>3798</v>
      </c>
      <c r="H1484" s="248"/>
      <c r="I1484" s="248"/>
      <c r="J1484" s="248"/>
      <c r="K1484" s="248"/>
      <c r="L1484" s="248"/>
      <c r="M1484" s="248" t="s">
        <v>3799</v>
      </c>
    </row>
    <row r="1485" spans="1:13" ht="20.100000000000001" customHeight="1">
      <c r="A1485" s="248"/>
      <c r="B1485" s="248" t="s">
        <v>5386</v>
      </c>
      <c r="C1485" s="248" t="s">
        <v>4008</v>
      </c>
      <c r="D1485" s="248"/>
      <c r="E1485" s="248"/>
      <c r="F1485" s="248"/>
      <c r="G1485" s="248" t="s">
        <v>3705</v>
      </c>
      <c r="H1485" s="248"/>
      <c r="I1485" s="248"/>
      <c r="J1485" s="248"/>
      <c r="K1485" s="248"/>
      <c r="L1485" s="248"/>
      <c r="M1485" s="248" t="s">
        <v>3706</v>
      </c>
    </row>
    <row r="1486" spans="1:13" ht="20.100000000000001" customHeight="1">
      <c r="A1486" s="248"/>
      <c r="B1486" s="248" t="s">
        <v>5387</v>
      </c>
      <c r="C1486" s="248" t="s">
        <v>4008</v>
      </c>
      <c r="D1486" s="248"/>
      <c r="E1486" s="248"/>
      <c r="F1486" s="248"/>
      <c r="G1486" s="248" t="s">
        <v>1984</v>
      </c>
      <c r="H1486" s="248"/>
      <c r="I1486" s="248"/>
      <c r="J1486" s="248"/>
      <c r="K1486" s="248"/>
      <c r="L1486" s="248"/>
      <c r="M1486" s="248" t="s">
        <v>1985</v>
      </c>
    </row>
    <row r="1487" spans="1:13" ht="20.100000000000001" customHeight="1">
      <c r="A1487" s="248"/>
      <c r="B1487" s="248" t="s">
        <v>5388</v>
      </c>
      <c r="C1487" s="248" t="s">
        <v>4036</v>
      </c>
      <c r="D1487" s="248"/>
      <c r="E1487" s="248"/>
      <c r="F1487" s="248"/>
      <c r="G1487" s="248" t="s">
        <v>1986</v>
      </c>
      <c r="H1487" s="248"/>
      <c r="I1487" s="248"/>
      <c r="J1487" s="248"/>
      <c r="K1487" s="248"/>
      <c r="L1487" s="248"/>
      <c r="M1487" s="248" t="s">
        <v>1987</v>
      </c>
    </row>
    <row r="1488" spans="1:13" ht="20.100000000000001" customHeight="1">
      <c r="A1488" s="248"/>
      <c r="B1488" s="248" t="s">
        <v>5389</v>
      </c>
      <c r="C1488" s="248" t="s">
        <v>4014</v>
      </c>
      <c r="D1488" s="248"/>
      <c r="E1488" s="248"/>
      <c r="F1488" s="248"/>
      <c r="G1488" s="248" t="s">
        <v>1988</v>
      </c>
      <c r="H1488" s="248"/>
      <c r="I1488" s="248"/>
      <c r="J1488" s="248"/>
      <c r="K1488" s="248"/>
      <c r="L1488" s="248"/>
      <c r="M1488" s="248" t="s">
        <v>3550</v>
      </c>
    </row>
    <row r="1489" spans="1:13" ht="20.100000000000001" customHeight="1">
      <c r="A1489" s="248"/>
      <c r="B1489" s="248" t="s">
        <v>6573</v>
      </c>
      <c r="C1489" s="248" t="s">
        <v>4030</v>
      </c>
      <c r="D1489" s="248"/>
      <c r="E1489" s="248"/>
      <c r="F1489" s="248"/>
      <c r="G1489" s="248" t="s">
        <v>1989</v>
      </c>
      <c r="H1489" s="248"/>
      <c r="I1489" s="248"/>
      <c r="J1489" s="248"/>
      <c r="K1489" s="248"/>
      <c r="L1489" s="248"/>
      <c r="M1489" s="248" t="s">
        <v>1990</v>
      </c>
    </row>
    <row r="1490" spans="1:13" ht="20.100000000000001" customHeight="1">
      <c r="A1490" s="248"/>
      <c r="B1490" s="248" t="s">
        <v>5390</v>
      </c>
      <c r="C1490" s="248" t="s">
        <v>4003</v>
      </c>
      <c r="D1490" s="248"/>
      <c r="E1490" s="248"/>
      <c r="F1490" s="248"/>
      <c r="G1490" s="248" t="s">
        <v>1991</v>
      </c>
      <c r="H1490" s="248"/>
      <c r="I1490" s="248"/>
      <c r="J1490" s="248"/>
      <c r="K1490" s="248"/>
      <c r="L1490" s="248"/>
      <c r="M1490" s="248" t="s">
        <v>3550</v>
      </c>
    </row>
    <row r="1491" spans="1:13" ht="20.100000000000001" customHeight="1">
      <c r="A1491" s="248"/>
      <c r="B1491" s="248" t="s">
        <v>6574</v>
      </c>
      <c r="C1491" s="248" t="s">
        <v>4036</v>
      </c>
      <c r="D1491" s="248"/>
      <c r="E1491" s="248"/>
      <c r="F1491" s="248"/>
      <c r="G1491" s="248" t="s">
        <v>6575</v>
      </c>
      <c r="H1491" s="248"/>
      <c r="I1491" s="248"/>
      <c r="J1491" s="248"/>
      <c r="K1491" s="248"/>
      <c r="L1491" s="248"/>
      <c r="M1491" s="248" t="s">
        <v>6576</v>
      </c>
    </row>
    <row r="1492" spans="1:13" ht="20.100000000000001" customHeight="1">
      <c r="A1492" s="248"/>
      <c r="B1492" s="248" t="s">
        <v>5391</v>
      </c>
      <c r="C1492" s="248" t="s">
        <v>4012</v>
      </c>
      <c r="D1492" s="248"/>
      <c r="E1492" s="248"/>
      <c r="F1492" s="248"/>
      <c r="G1492" s="248" t="s">
        <v>3578</v>
      </c>
      <c r="H1492" s="248"/>
      <c r="I1492" s="248"/>
      <c r="J1492" s="248"/>
      <c r="K1492" s="248"/>
      <c r="L1492" s="248"/>
      <c r="M1492" s="248" t="s">
        <v>3579</v>
      </c>
    </row>
    <row r="1493" spans="1:13" ht="20.100000000000001" customHeight="1">
      <c r="A1493" s="248"/>
      <c r="B1493" s="248" t="s">
        <v>6577</v>
      </c>
      <c r="C1493" s="248" t="s">
        <v>4016</v>
      </c>
      <c r="D1493" s="248"/>
      <c r="E1493" s="248"/>
      <c r="F1493" s="248"/>
      <c r="G1493" s="248" t="s">
        <v>3277</v>
      </c>
      <c r="H1493" s="248"/>
      <c r="I1493" s="248"/>
      <c r="J1493" s="248"/>
      <c r="K1493" s="248"/>
      <c r="L1493" s="248"/>
      <c r="M1493" s="248" t="s">
        <v>2579</v>
      </c>
    </row>
    <row r="1494" spans="1:13" ht="20.100000000000001" customHeight="1">
      <c r="A1494" s="248"/>
      <c r="B1494" s="248" t="s">
        <v>5392</v>
      </c>
      <c r="C1494" s="248" t="s">
        <v>4014</v>
      </c>
      <c r="D1494" s="248"/>
      <c r="E1494" s="248"/>
      <c r="F1494" s="248"/>
      <c r="G1494" s="248" t="s">
        <v>3117</v>
      </c>
      <c r="H1494" s="248"/>
      <c r="I1494" s="248"/>
      <c r="J1494" s="248"/>
      <c r="K1494" s="248"/>
      <c r="L1494" s="248"/>
      <c r="M1494" s="248" t="s">
        <v>3118</v>
      </c>
    </row>
    <row r="1495" spans="1:13" ht="20.100000000000001" customHeight="1">
      <c r="A1495" s="248"/>
      <c r="B1495" s="248" t="s">
        <v>5393</v>
      </c>
      <c r="C1495" s="248" t="s">
        <v>4014</v>
      </c>
      <c r="D1495" s="248"/>
      <c r="E1495" s="248"/>
      <c r="F1495" s="248"/>
      <c r="G1495" s="248" t="s">
        <v>1992</v>
      </c>
      <c r="H1495" s="248"/>
      <c r="I1495" s="248"/>
      <c r="J1495" s="248"/>
      <c r="K1495" s="248"/>
      <c r="L1495" s="248"/>
      <c r="M1495" s="248" t="s">
        <v>1993</v>
      </c>
    </row>
    <row r="1496" spans="1:13" ht="20.100000000000001" customHeight="1">
      <c r="A1496" s="249"/>
      <c r="B1496" s="249" t="s">
        <v>5394</v>
      </c>
      <c r="C1496" s="250" t="s">
        <v>4008</v>
      </c>
      <c r="D1496" s="249"/>
      <c r="E1496" s="249"/>
      <c r="F1496" s="249"/>
      <c r="G1496" s="249" t="s">
        <v>1994</v>
      </c>
      <c r="H1496" s="249"/>
      <c r="I1496" s="249"/>
      <c r="J1496" s="249"/>
      <c r="K1496" s="249"/>
      <c r="L1496" s="249"/>
      <c r="M1496" s="249" t="s">
        <v>1995</v>
      </c>
    </row>
    <row r="1497" spans="1:13" ht="20.100000000000001" customHeight="1">
      <c r="A1497" s="248"/>
      <c r="B1497" s="248" t="s">
        <v>5395</v>
      </c>
      <c r="C1497" s="248" t="s">
        <v>4008</v>
      </c>
      <c r="D1497" s="248"/>
      <c r="E1497" s="248"/>
      <c r="F1497" s="248"/>
      <c r="G1497" s="248" t="s">
        <v>3396</v>
      </c>
      <c r="H1497" s="248"/>
      <c r="I1497" s="248"/>
      <c r="J1497" s="248"/>
      <c r="K1497" s="248"/>
      <c r="L1497" s="248"/>
      <c r="M1497" s="248" t="s">
        <v>3397</v>
      </c>
    </row>
    <row r="1498" spans="1:13" ht="20.100000000000001" customHeight="1">
      <c r="A1498" s="248"/>
      <c r="B1498" s="248" t="s">
        <v>5396</v>
      </c>
      <c r="C1498" s="248" t="s">
        <v>4025</v>
      </c>
      <c r="D1498" s="248"/>
      <c r="E1498" s="248"/>
      <c r="F1498" s="248"/>
      <c r="G1498" s="248" t="s">
        <v>1996</v>
      </c>
      <c r="H1498" s="248"/>
      <c r="I1498" s="248"/>
      <c r="J1498" s="248"/>
      <c r="K1498" s="248"/>
      <c r="L1498" s="248"/>
      <c r="M1498" s="248" t="s">
        <v>1997</v>
      </c>
    </row>
    <row r="1499" spans="1:13" ht="20.100000000000001" customHeight="1">
      <c r="A1499" s="248"/>
      <c r="B1499" s="248" t="s">
        <v>5397</v>
      </c>
      <c r="C1499" s="248" t="s">
        <v>4036</v>
      </c>
      <c r="D1499" s="248"/>
      <c r="E1499" s="248"/>
      <c r="F1499" s="248"/>
      <c r="G1499" s="248" t="s">
        <v>3918</v>
      </c>
      <c r="H1499" s="248"/>
      <c r="I1499" s="248"/>
      <c r="J1499" s="248"/>
      <c r="K1499" s="248"/>
      <c r="L1499" s="248"/>
      <c r="M1499" s="248" t="s">
        <v>1998</v>
      </c>
    </row>
    <row r="1500" spans="1:13" ht="20.100000000000001" customHeight="1">
      <c r="A1500" s="248"/>
      <c r="B1500" s="248" t="s">
        <v>5398</v>
      </c>
      <c r="C1500" s="248" t="s">
        <v>4030</v>
      </c>
      <c r="D1500" s="248"/>
      <c r="E1500" s="248"/>
      <c r="F1500" s="248"/>
      <c r="G1500" s="248" t="s">
        <v>1999</v>
      </c>
      <c r="H1500" s="248"/>
      <c r="I1500" s="248"/>
      <c r="J1500" s="248"/>
      <c r="K1500" s="248"/>
      <c r="L1500" s="248"/>
      <c r="M1500" s="248" t="s">
        <v>2000</v>
      </c>
    </row>
    <row r="1501" spans="1:13" ht="20.100000000000001" customHeight="1">
      <c r="A1501" s="248"/>
      <c r="B1501" s="248" t="s">
        <v>5399</v>
      </c>
      <c r="C1501" s="248" t="s">
        <v>4012</v>
      </c>
      <c r="D1501" s="248"/>
      <c r="E1501" s="248"/>
      <c r="F1501" s="248"/>
      <c r="G1501" s="248" t="s">
        <v>2001</v>
      </c>
      <c r="H1501" s="248"/>
      <c r="I1501" s="248"/>
      <c r="J1501" s="248"/>
      <c r="K1501" s="248"/>
      <c r="L1501" s="248"/>
      <c r="M1501" s="248" t="s">
        <v>2002</v>
      </c>
    </row>
    <row r="1502" spans="1:13" ht="20.100000000000001" customHeight="1">
      <c r="A1502" s="248"/>
      <c r="B1502" s="248" t="s">
        <v>5400</v>
      </c>
      <c r="C1502" s="248" t="s">
        <v>4008</v>
      </c>
      <c r="D1502" s="248"/>
      <c r="E1502" s="248"/>
      <c r="F1502" s="248"/>
      <c r="G1502" s="248" t="s">
        <v>2003</v>
      </c>
      <c r="H1502" s="248"/>
      <c r="I1502" s="248"/>
      <c r="J1502" s="248"/>
      <c r="K1502" s="248"/>
      <c r="L1502" s="248"/>
      <c r="M1502" s="248" t="s">
        <v>3550</v>
      </c>
    </row>
    <row r="1503" spans="1:13" ht="20.100000000000001" customHeight="1">
      <c r="A1503" s="248"/>
      <c r="B1503" s="248" t="s">
        <v>5401</v>
      </c>
      <c r="C1503" s="248" t="s">
        <v>4012</v>
      </c>
      <c r="D1503" s="248"/>
      <c r="E1503" s="248"/>
      <c r="F1503" s="248"/>
      <c r="G1503" s="248" t="s">
        <v>3012</v>
      </c>
      <c r="H1503" s="248"/>
      <c r="I1503" s="248"/>
      <c r="J1503" s="248"/>
      <c r="K1503" s="248"/>
      <c r="L1503" s="248"/>
      <c r="M1503" s="248" t="s">
        <v>3013</v>
      </c>
    </row>
    <row r="1504" spans="1:13" ht="20.100000000000001" customHeight="1">
      <c r="A1504" s="249"/>
      <c r="B1504" s="249" t="s">
        <v>5402</v>
      </c>
      <c r="C1504" s="250" t="s">
        <v>4025</v>
      </c>
      <c r="D1504" s="249"/>
      <c r="E1504" s="249"/>
      <c r="F1504" s="249"/>
      <c r="G1504" s="249" t="s">
        <v>2004</v>
      </c>
      <c r="H1504" s="249"/>
      <c r="I1504" s="249"/>
      <c r="J1504" s="249"/>
      <c r="K1504" s="249"/>
      <c r="L1504" s="249"/>
      <c r="M1504" s="249" t="s">
        <v>2005</v>
      </c>
    </row>
    <row r="1505" spans="1:13" ht="20.100000000000001" customHeight="1">
      <c r="A1505" s="248"/>
      <c r="B1505" s="248" t="s">
        <v>6377</v>
      </c>
      <c r="C1505" s="248" t="s">
        <v>4025</v>
      </c>
      <c r="D1505" s="248"/>
      <c r="E1505" s="248"/>
      <c r="F1505" s="248"/>
      <c r="G1505" s="248" t="s">
        <v>6378</v>
      </c>
      <c r="H1505" s="248"/>
      <c r="I1505" s="248"/>
      <c r="J1505" s="248"/>
      <c r="K1505" s="248"/>
      <c r="L1505" s="248"/>
      <c r="M1505" s="248" t="s">
        <v>6379</v>
      </c>
    </row>
    <row r="1506" spans="1:13" ht="20.100000000000001" customHeight="1">
      <c r="A1506" s="248"/>
      <c r="B1506" s="248" t="s">
        <v>5403</v>
      </c>
      <c r="C1506" s="248" t="s">
        <v>4016</v>
      </c>
      <c r="D1506" s="248"/>
      <c r="E1506" s="248"/>
      <c r="F1506" s="248"/>
      <c r="G1506" s="248" t="s">
        <v>2006</v>
      </c>
      <c r="H1506" s="248"/>
      <c r="I1506" s="248"/>
      <c r="J1506" s="248"/>
      <c r="K1506" s="248"/>
      <c r="L1506" s="248"/>
      <c r="M1506" s="248" t="s">
        <v>2007</v>
      </c>
    </row>
    <row r="1507" spans="1:13" ht="20.100000000000001" customHeight="1">
      <c r="A1507" s="248"/>
      <c r="B1507" s="248" t="s">
        <v>5404</v>
      </c>
      <c r="C1507" s="248" t="s">
        <v>4124</v>
      </c>
      <c r="D1507" s="248"/>
      <c r="E1507" s="248"/>
      <c r="F1507" s="248"/>
      <c r="G1507" s="248" t="s">
        <v>2008</v>
      </c>
      <c r="H1507" s="248"/>
      <c r="I1507" s="248"/>
      <c r="J1507" s="248"/>
      <c r="K1507" s="248"/>
      <c r="L1507" s="248"/>
      <c r="M1507" s="248" t="s">
        <v>3550</v>
      </c>
    </row>
    <row r="1508" spans="1:13" ht="20.100000000000001" customHeight="1">
      <c r="A1508" s="248"/>
      <c r="B1508" s="248" t="s">
        <v>5405</v>
      </c>
      <c r="C1508" s="248" t="s">
        <v>4012</v>
      </c>
      <c r="D1508" s="248"/>
      <c r="E1508" s="248"/>
      <c r="F1508" s="248"/>
      <c r="G1508" s="248" t="s">
        <v>2009</v>
      </c>
      <c r="H1508" s="248"/>
      <c r="I1508" s="248"/>
      <c r="J1508" s="248"/>
      <c r="K1508" s="248"/>
      <c r="L1508" s="248"/>
      <c r="M1508" s="248" t="s">
        <v>1811</v>
      </c>
    </row>
    <row r="1509" spans="1:13" ht="20.100000000000001" customHeight="1">
      <c r="A1509" s="248"/>
      <c r="B1509" s="248" t="s">
        <v>5406</v>
      </c>
      <c r="C1509" s="248" t="s">
        <v>4016</v>
      </c>
      <c r="D1509" s="248"/>
      <c r="E1509" s="248"/>
      <c r="F1509" s="248"/>
      <c r="G1509" s="248" t="s">
        <v>2010</v>
      </c>
      <c r="H1509" s="248"/>
      <c r="I1509" s="248"/>
      <c r="J1509" s="248"/>
      <c r="K1509" s="248"/>
      <c r="L1509" s="248"/>
      <c r="M1509" s="248" t="s">
        <v>2011</v>
      </c>
    </row>
    <row r="1510" spans="1:13" ht="20.100000000000001" customHeight="1">
      <c r="A1510" s="248"/>
      <c r="B1510" s="248" t="s">
        <v>5407</v>
      </c>
      <c r="C1510" s="248" t="s">
        <v>4008</v>
      </c>
      <c r="D1510" s="248"/>
      <c r="E1510" s="248"/>
      <c r="F1510" s="248"/>
      <c r="G1510" s="248" t="s">
        <v>3015</v>
      </c>
      <c r="H1510" s="248"/>
      <c r="I1510" s="248"/>
      <c r="J1510" s="248"/>
      <c r="K1510" s="248"/>
      <c r="L1510" s="248"/>
      <c r="M1510" s="248" t="s">
        <v>3016</v>
      </c>
    </row>
    <row r="1511" spans="1:13" ht="20.100000000000001" customHeight="1">
      <c r="A1511" s="248"/>
      <c r="B1511" s="248" t="s">
        <v>5408</v>
      </c>
      <c r="C1511" s="248" t="s">
        <v>4014</v>
      </c>
      <c r="D1511" s="248"/>
      <c r="E1511" s="248"/>
      <c r="F1511" s="248"/>
      <c r="G1511" s="248" t="s">
        <v>2012</v>
      </c>
      <c r="H1511" s="248"/>
      <c r="I1511" s="248"/>
      <c r="J1511" s="248"/>
      <c r="K1511" s="248"/>
      <c r="L1511" s="248"/>
      <c r="M1511" s="248" t="s">
        <v>2013</v>
      </c>
    </row>
    <row r="1512" spans="1:13" ht="20.100000000000001" customHeight="1">
      <c r="A1512" s="248"/>
      <c r="B1512" s="248" t="s">
        <v>5409</v>
      </c>
      <c r="C1512" s="248" t="s">
        <v>4012</v>
      </c>
      <c r="D1512" s="248"/>
      <c r="E1512" s="248"/>
      <c r="F1512" s="248"/>
      <c r="G1512" s="248" t="s">
        <v>3580</v>
      </c>
      <c r="H1512" s="248"/>
      <c r="I1512" s="248"/>
      <c r="J1512" s="248"/>
      <c r="K1512" s="248"/>
      <c r="L1512" s="248"/>
      <c r="M1512" s="248" t="s">
        <v>2014</v>
      </c>
    </row>
    <row r="1513" spans="1:13" ht="20.100000000000001" customHeight="1">
      <c r="A1513" s="248"/>
      <c r="B1513" s="248" t="s">
        <v>5410</v>
      </c>
      <c r="C1513" s="248" t="s">
        <v>4014</v>
      </c>
      <c r="D1513" s="248"/>
      <c r="E1513" s="248"/>
      <c r="F1513" s="248"/>
      <c r="G1513" s="248" t="s">
        <v>2015</v>
      </c>
      <c r="H1513" s="248"/>
      <c r="I1513" s="248"/>
      <c r="J1513" s="248"/>
      <c r="K1513" s="248"/>
      <c r="L1513" s="248"/>
      <c r="M1513" s="248" t="s">
        <v>2016</v>
      </c>
    </row>
    <row r="1514" spans="1:13" ht="20.100000000000001" customHeight="1">
      <c r="A1514" s="248"/>
      <c r="B1514" s="248" t="s">
        <v>5411</v>
      </c>
      <c r="C1514" s="248" t="s">
        <v>4036</v>
      </c>
      <c r="D1514" s="248"/>
      <c r="E1514" s="248"/>
      <c r="F1514" s="248"/>
      <c r="G1514" s="248" t="s">
        <v>2017</v>
      </c>
      <c r="H1514" s="248"/>
      <c r="I1514" s="248"/>
      <c r="J1514" s="248"/>
      <c r="K1514" s="248"/>
      <c r="L1514" s="248"/>
      <c r="M1514" s="248" t="s">
        <v>2018</v>
      </c>
    </row>
    <row r="1515" spans="1:13" ht="20.100000000000001" customHeight="1">
      <c r="A1515" s="248"/>
      <c r="B1515" s="248" t="s">
        <v>5412</v>
      </c>
      <c r="C1515" s="248" t="s">
        <v>4271</v>
      </c>
      <c r="D1515" s="248"/>
      <c r="E1515" s="248"/>
      <c r="F1515" s="248"/>
      <c r="G1515" s="248" t="s">
        <v>2019</v>
      </c>
      <c r="H1515" s="248"/>
      <c r="I1515" s="248"/>
      <c r="J1515" s="248"/>
      <c r="K1515" s="248"/>
      <c r="L1515" s="248"/>
      <c r="M1515" s="248" t="s">
        <v>2020</v>
      </c>
    </row>
    <row r="1516" spans="1:13" ht="20.100000000000001" customHeight="1">
      <c r="A1516" s="248"/>
      <c r="B1516" s="248" t="s">
        <v>5413</v>
      </c>
      <c r="C1516" s="248" t="s">
        <v>4025</v>
      </c>
      <c r="D1516" s="248"/>
      <c r="E1516" s="248"/>
      <c r="F1516" s="248"/>
      <c r="G1516" s="248" t="s">
        <v>2021</v>
      </c>
      <c r="H1516" s="248"/>
      <c r="I1516" s="248"/>
      <c r="J1516" s="248"/>
      <c r="K1516" s="248"/>
      <c r="L1516" s="248"/>
      <c r="M1516" s="248" t="s">
        <v>2022</v>
      </c>
    </row>
    <row r="1517" spans="1:13" ht="20.100000000000001" customHeight="1">
      <c r="A1517" s="248"/>
      <c r="B1517" s="248" t="s">
        <v>5414</v>
      </c>
      <c r="C1517" s="248" t="s">
        <v>4016</v>
      </c>
      <c r="D1517" s="248"/>
      <c r="E1517" s="248"/>
      <c r="F1517" s="248"/>
      <c r="G1517" s="248" t="s">
        <v>2023</v>
      </c>
      <c r="H1517" s="248"/>
      <c r="I1517" s="248"/>
      <c r="J1517" s="248"/>
      <c r="K1517" s="248"/>
      <c r="L1517" s="248"/>
      <c r="M1517" s="248" t="s">
        <v>2024</v>
      </c>
    </row>
    <row r="1518" spans="1:13" ht="20.100000000000001" customHeight="1">
      <c r="A1518" s="248"/>
      <c r="B1518" s="248" t="s">
        <v>5415</v>
      </c>
      <c r="C1518" s="248" t="s">
        <v>4016</v>
      </c>
      <c r="D1518" s="248"/>
      <c r="E1518" s="248"/>
      <c r="F1518" s="248"/>
      <c r="G1518" s="248" t="s">
        <v>2025</v>
      </c>
      <c r="H1518" s="248"/>
      <c r="I1518" s="248"/>
      <c r="J1518" s="248"/>
      <c r="K1518" s="248"/>
      <c r="L1518" s="248"/>
      <c r="M1518" s="248" t="s">
        <v>3324</v>
      </c>
    </row>
    <row r="1519" spans="1:13" ht="20.100000000000001" customHeight="1">
      <c r="A1519" s="248"/>
      <c r="B1519" s="248" t="s">
        <v>5416</v>
      </c>
      <c r="C1519" s="248" t="s">
        <v>4036</v>
      </c>
      <c r="D1519" s="248"/>
      <c r="E1519" s="248"/>
      <c r="F1519" s="248"/>
      <c r="G1519" s="248" t="s">
        <v>2026</v>
      </c>
      <c r="H1519" s="248"/>
      <c r="I1519" s="248"/>
      <c r="J1519" s="248"/>
      <c r="K1519" s="248"/>
      <c r="L1519" s="248"/>
      <c r="M1519" s="248" t="s">
        <v>3550</v>
      </c>
    </row>
    <row r="1520" spans="1:13" ht="20.100000000000001" customHeight="1">
      <c r="A1520" s="248"/>
      <c r="B1520" s="248" t="s">
        <v>5417</v>
      </c>
      <c r="C1520" s="248" t="s">
        <v>4016</v>
      </c>
      <c r="D1520" s="248"/>
      <c r="E1520" s="248"/>
      <c r="F1520" s="248"/>
      <c r="G1520" s="248" t="s">
        <v>2027</v>
      </c>
      <c r="H1520" s="248"/>
      <c r="I1520" s="248"/>
      <c r="J1520" s="248"/>
      <c r="K1520" s="248"/>
      <c r="L1520" s="248"/>
      <c r="M1520" s="248" t="s">
        <v>3550</v>
      </c>
    </row>
    <row r="1521" spans="1:13" ht="20.100000000000001" customHeight="1">
      <c r="A1521" s="248"/>
      <c r="B1521" s="248" t="s">
        <v>5418</v>
      </c>
      <c r="C1521" s="248" t="s">
        <v>4030</v>
      </c>
      <c r="D1521" s="248"/>
      <c r="E1521" s="248"/>
      <c r="F1521" s="248"/>
      <c r="G1521" s="248" t="s">
        <v>2028</v>
      </c>
      <c r="H1521" s="248"/>
      <c r="I1521" s="248"/>
      <c r="J1521" s="248"/>
      <c r="K1521" s="248"/>
      <c r="L1521" s="248"/>
      <c r="M1521" s="248" t="s">
        <v>2029</v>
      </c>
    </row>
    <row r="1522" spans="1:13" ht="20.100000000000001" customHeight="1">
      <c r="A1522" s="248"/>
      <c r="B1522" s="248" t="s">
        <v>6513</v>
      </c>
      <c r="C1522" s="248" t="s">
        <v>4012</v>
      </c>
      <c r="D1522" s="248"/>
      <c r="E1522" s="248"/>
      <c r="F1522" s="248"/>
      <c r="G1522" s="248" t="s">
        <v>6514</v>
      </c>
      <c r="H1522" s="248"/>
      <c r="I1522" s="248"/>
      <c r="J1522" s="248"/>
      <c r="K1522" s="248"/>
      <c r="L1522" s="248"/>
      <c r="M1522" s="248" t="s">
        <v>6515</v>
      </c>
    </row>
    <row r="1523" spans="1:13" ht="20.100000000000001" customHeight="1">
      <c r="A1523" s="248"/>
      <c r="B1523" s="248" t="s">
        <v>6194</v>
      </c>
      <c r="C1523" s="248" t="s">
        <v>4008</v>
      </c>
      <c r="D1523" s="248"/>
      <c r="E1523" s="248"/>
      <c r="F1523" s="248"/>
      <c r="G1523" s="248" t="s">
        <v>6195</v>
      </c>
      <c r="H1523" s="248"/>
      <c r="I1523" s="248"/>
      <c r="J1523" s="248"/>
      <c r="K1523" s="248"/>
      <c r="L1523" s="248"/>
      <c r="M1523" s="248" t="s">
        <v>6196</v>
      </c>
    </row>
    <row r="1524" spans="1:13" ht="20.100000000000001" customHeight="1">
      <c r="A1524" s="248"/>
      <c r="B1524" s="248" t="s">
        <v>5419</v>
      </c>
      <c r="C1524" s="248" t="s">
        <v>4036</v>
      </c>
      <c r="D1524" s="248"/>
      <c r="E1524" s="248"/>
      <c r="F1524" s="248"/>
      <c r="G1524" s="248" t="s">
        <v>2030</v>
      </c>
      <c r="H1524" s="248"/>
      <c r="I1524" s="248"/>
      <c r="J1524" s="248"/>
      <c r="K1524" s="248"/>
      <c r="L1524" s="248"/>
      <c r="M1524" s="248" t="s">
        <v>2031</v>
      </c>
    </row>
    <row r="1525" spans="1:13" ht="20.100000000000001" customHeight="1">
      <c r="A1525" s="248"/>
      <c r="B1525" s="248" t="s">
        <v>5420</v>
      </c>
      <c r="C1525" s="248" t="s">
        <v>4036</v>
      </c>
      <c r="D1525" s="248"/>
      <c r="E1525" s="248"/>
      <c r="F1525" s="248"/>
      <c r="G1525" s="248" t="s">
        <v>2032</v>
      </c>
      <c r="H1525" s="248"/>
      <c r="I1525" s="248"/>
      <c r="J1525" s="248"/>
      <c r="K1525" s="248"/>
      <c r="L1525" s="248"/>
      <c r="M1525" s="248" t="s">
        <v>2033</v>
      </c>
    </row>
    <row r="1526" spans="1:13" ht="20.100000000000001" customHeight="1">
      <c r="A1526" s="248"/>
      <c r="B1526" s="248" t="s">
        <v>5421</v>
      </c>
      <c r="C1526" s="248" t="s">
        <v>4012</v>
      </c>
      <c r="D1526" s="248"/>
      <c r="E1526" s="248"/>
      <c r="F1526" s="248"/>
      <c r="G1526" s="248" t="s">
        <v>3020</v>
      </c>
      <c r="H1526" s="248"/>
      <c r="I1526" s="248"/>
      <c r="J1526" s="248"/>
      <c r="K1526" s="248"/>
      <c r="L1526" s="248"/>
      <c r="M1526" s="248" t="s">
        <v>3021</v>
      </c>
    </row>
    <row r="1527" spans="1:13" ht="20.100000000000001" customHeight="1">
      <c r="A1527" s="248"/>
      <c r="B1527" s="248" t="s">
        <v>5422</v>
      </c>
      <c r="C1527" s="248" t="s">
        <v>4012</v>
      </c>
      <c r="D1527" s="248"/>
      <c r="E1527" s="248"/>
      <c r="F1527" s="248"/>
      <c r="G1527" s="248" t="s">
        <v>2034</v>
      </c>
      <c r="H1527" s="248"/>
      <c r="I1527" s="248"/>
      <c r="J1527" s="248"/>
      <c r="K1527" s="248"/>
      <c r="L1527" s="248"/>
      <c r="M1527" s="248" t="s">
        <v>2035</v>
      </c>
    </row>
    <row r="1528" spans="1:13" ht="20.100000000000001" customHeight="1">
      <c r="A1528" s="248"/>
      <c r="B1528" s="248" t="s">
        <v>5423</v>
      </c>
      <c r="C1528" s="248" t="s">
        <v>4030</v>
      </c>
      <c r="D1528" s="248"/>
      <c r="E1528" s="248"/>
      <c r="F1528" s="248"/>
      <c r="G1528" s="248" t="s">
        <v>3707</v>
      </c>
      <c r="H1528" s="248"/>
      <c r="I1528" s="248"/>
      <c r="J1528" s="248"/>
      <c r="K1528" s="248"/>
      <c r="L1528" s="248"/>
      <c r="M1528" s="248" t="s">
        <v>3708</v>
      </c>
    </row>
    <row r="1529" spans="1:13" ht="20.100000000000001" customHeight="1">
      <c r="A1529" s="248"/>
      <c r="B1529" s="248" t="s">
        <v>5424</v>
      </c>
      <c r="C1529" s="248" t="s">
        <v>4008</v>
      </c>
      <c r="D1529" s="248"/>
      <c r="E1529" s="248"/>
      <c r="F1529" s="248"/>
      <c r="G1529" s="248" t="s">
        <v>2036</v>
      </c>
      <c r="H1529" s="248"/>
      <c r="I1529" s="248"/>
      <c r="J1529" s="248"/>
      <c r="K1529" s="248"/>
      <c r="L1529" s="248"/>
      <c r="M1529" s="248" t="s">
        <v>2037</v>
      </c>
    </row>
    <row r="1530" spans="1:13" ht="20.100000000000001" customHeight="1">
      <c r="A1530" s="248"/>
      <c r="B1530" s="248" t="s">
        <v>5425</v>
      </c>
      <c r="C1530" s="248" t="s">
        <v>4012</v>
      </c>
      <c r="D1530" s="248"/>
      <c r="E1530" s="248"/>
      <c r="F1530" s="248"/>
      <c r="G1530" s="248" t="s">
        <v>2038</v>
      </c>
      <c r="H1530" s="248"/>
      <c r="I1530" s="248"/>
      <c r="J1530" s="248"/>
      <c r="K1530" s="248"/>
      <c r="L1530" s="248"/>
      <c r="M1530" s="248" t="s">
        <v>2039</v>
      </c>
    </row>
    <row r="1531" spans="1:13" ht="20.100000000000001" customHeight="1">
      <c r="A1531" s="248"/>
      <c r="B1531" s="248" t="s">
        <v>5426</v>
      </c>
      <c r="C1531" s="248" t="s">
        <v>4025</v>
      </c>
      <c r="D1531" s="248"/>
      <c r="E1531" s="248"/>
      <c r="F1531" s="248"/>
      <c r="G1531" s="248" t="s">
        <v>3049</v>
      </c>
      <c r="H1531" s="248"/>
      <c r="I1531" s="248"/>
      <c r="J1531" s="248"/>
      <c r="K1531" s="248"/>
      <c r="L1531" s="248"/>
      <c r="M1531" s="248" t="s">
        <v>2040</v>
      </c>
    </row>
    <row r="1532" spans="1:13" ht="20.100000000000001" customHeight="1">
      <c r="A1532" s="248"/>
      <c r="B1532" s="248" t="s">
        <v>5427</v>
      </c>
      <c r="C1532" s="248" t="s">
        <v>4030</v>
      </c>
      <c r="D1532" s="248"/>
      <c r="E1532" s="248"/>
      <c r="F1532" s="248"/>
      <c r="G1532" s="248" t="s">
        <v>2041</v>
      </c>
      <c r="H1532" s="248"/>
      <c r="I1532" s="248"/>
      <c r="J1532" s="248"/>
      <c r="K1532" s="248"/>
      <c r="L1532" s="248"/>
      <c r="M1532" s="248" t="s">
        <v>1914</v>
      </c>
    </row>
    <row r="1533" spans="1:13" ht="20.100000000000001" customHeight="1">
      <c r="A1533" s="248"/>
      <c r="B1533" s="248" t="s">
        <v>5428</v>
      </c>
      <c r="C1533" s="248" t="s">
        <v>4036</v>
      </c>
      <c r="D1533" s="248"/>
      <c r="E1533" s="248"/>
      <c r="F1533" s="248"/>
      <c r="G1533" s="248" t="s">
        <v>2042</v>
      </c>
      <c r="H1533" s="248"/>
      <c r="I1533" s="248"/>
      <c r="J1533" s="248"/>
      <c r="K1533" s="248"/>
      <c r="L1533" s="248"/>
      <c r="M1533" s="248" t="s">
        <v>2043</v>
      </c>
    </row>
    <row r="1534" spans="1:13" ht="20.100000000000001" customHeight="1">
      <c r="A1534" s="248"/>
      <c r="B1534" s="248" t="s">
        <v>5429</v>
      </c>
      <c r="C1534" s="248" t="s">
        <v>4008</v>
      </c>
      <c r="D1534" s="248"/>
      <c r="E1534" s="248"/>
      <c r="F1534" s="248"/>
      <c r="G1534" s="248" t="s">
        <v>3162</v>
      </c>
      <c r="H1534" s="248"/>
      <c r="I1534" s="248"/>
      <c r="J1534" s="248"/>
      <c r="K1534" s="248"/>
      <c r="L1534" s="248"/>
      <c r="M1534" s="248" t="s">
        <v>3163</v>
      </c>
    </row>
    <row r="1535" spans="1:13" ht="20.100000000000001" customHeight="1">
      <c r="A1535" s="248"/>
      <c r="B1535" s="248" t="s">
        <v>5430</v>
      </c>
      <c r="C1535" s="248" t="s">
        <v>4036</v>
      </c>
      <c r="D1535" s="248"/>
      <c r="E1535" s="248"/>
      <c r="F1535" s="248"/>
      <c r="G1535" s="248" t="s">
        <v>2044</v>
      </c>
      <c r="H1535" s="248"/>
      <c r="I1535" s="248"/>
      <c r="J1535" s="248"/>
      <c r="K1535" s="248"/>
      <c r="L1535" s="248"/>
      <c r="M1535" s="248" t="s">
        <v>2045</v>
      </c>
    </row>
    <row r="1536" spans="1:13" ht="20.100000000000001" customHeight="1">
      <c r="A1536" s="248"/>
      <c r="B1536" s="248" t="s">
        <v>5431</v>
      </c>
      <c r="C1536" s="248" t="s">
        <v>4036</v>
      </c>
      <c r="D1536" s="248"/>
      <c r="E1536" s="248"/>
      <c r="F1536" s="248"/>
      <c r="G1536" s="248" t="s">
        <v>3226</v>
      </c>
      <c r="H1536" s="248"/>
      <c r="I1536" s="248"/>
      <c r="J1536" s="248"/>
      <c r="K1536" s="248"/>
      <c r="L1536" s="248"/>
      <c r="M1536" s="248" t="s">
        <v>3227</v>
      </c>
    </row>
    <row r="1537" spans="1:13" ht="20.100000000000001" customHeight="1">
      <c r="A1537" s="248"/>
      <c r="B1537" s="248" t="s">
        <v>5432</v>
      </c>
      <c r="C1537" s="248" t="s">
        <v>4014</v>
      </c>
      <c r="D1537" s="248"/>
      <c r="E1537" s="248"/>
      <c r="F1537" s="248"/>
      <c r="G1537" s="248" t="s">
        <v>3598</v>
      </c>
      <c r="H1537" s="248"/>
      <c r="I1537" s="248"/>
      <c r="J1537" s="248"/>
      <c r="K1537" s="248"/>
      <c r="L1537" s="248"/>
      <c r="M1537" s="248" t="s">
        <v>196</v>
      </c>
    </row>
    <row r="1538" spans="1:13" ht="20.100000000000001" customHeight="1">
      <c r="A1538" s="248"/>
      <c r="B1538" s="248" t="s">
        <v>5433</v>
      </c>
      <c r="C1538" s="248" t="s">
        <v>4016</v>
      </c>
      <c r="D1538" s="248"/>
      <c r="E1538" s="248"/>
      <c r="F1538" s="248"/>
      <c r="G1538" s="248" t="s">
        <v>3881</v>
      </c>
      <c r="H1538" s="248"/>
      <c r="I1538" s="248"/>
      <c r="J1538" s="248"/>
      <c r="K1538" s="248"/>
      <c r="L1538" s="248"/>
      <c r="M1538" s="248" t="s">
        <v>2046</v>
      </c>
    </row>
    <row r="1539" spans="1:13" ht="20.100000000000001" customHeight="1">
      <c r="A1539" s="248"/>
      <c r="B1539" s="248" t="s">
        <v>5434</v>
      </c>
      <c r="C1539" s="248" t="s">
        <v>4036</v>
      </c>
      <c r="D1539" s="248"/>
      <c r="E1539" s="248"/>
      <c r="F1539" s="248"/>
      <c r="G1539" s="248" t="s">
        <v>3800</v>
      </c>
      <c r="H1539" s="248"/>
      <c r="I1539" s="248"/>
      <c r="J1539" s="248"/>
      <c r="K1539" s="248"/>
      <c r="L1539" s="248"/>
      <c r="M1539" s="248" t="s">
        <v>196</v>
      </c>
    </row>
    <row r="1540" spans="1:13" ht="20.100000000000001" customHeight="1">
      <c r="A1540" s="248"/>
      <c r="B1540" s="248" t="s">
        <v>5435</v>
      </c>
      <c r="C1540" s="248" t="s">
        <v>4016</v>
      </c>
      <c r="D1540" s="248"/>
      <c r="E1540" s="248"/>
      <c r="F1540" s="248"/>
      <c r="G1540" s="248" t="s">
        <v>2047</v>
      </c>
      <c r="H1540" s="248"/>
      <c r="I1540" s="248"/>
      <c r="J1540" s="248"/>
      <c r="K1540" s="248"/>
      <c r="L1540" s="248"/>
      <c r="M1540" s="248" t="s">
        <v>2048</v>
      </c>
    </row>
    <row r="1541" spans="1:13" ht="20.100000000000001" customHeight="1">
      <c r="A1541" s="248"/>
      <c r="B1541" s="248" t="s">
        <v>5436</v>
      </c>
      <c r="C1541" s="248" t="s">
        <v>4030</v>
      </c>
      <c r="D1541" s="248"/>
      <c r="E1541" s="248"/>
      <c r="F1541" s="248"/>
      <c r="G1541" s="248" t="s">
        <v>3436</v>
      </c>
      <c r="H1541" s="248"/>
      <c r="I1541" s="248"/>
      <c r="J1541" s="248"/>
      <c r="K1541" s="248"/>
      <c r="L1541" s="248"/>
      <c r="M1541" s="248" t="s">
        <v>3437</v>
      </c>
    </row>
    <row r="1542" spans="1:13" ht="20.100000000000001" customHeight="1">
      <c r="A1542" s="248"/>
      <c r="B1542" s="248" t="s">
        <v>5437</v>
      </c>
      <c r="C1542" s="248" t="s">
        <v>4030</v>
      </c>
      <c r="D1542" s="248"/>
      <c r="E1542" s="248"/>
      <c r="F1542" s="248"/>
      <c r="G1542" s="248" t="s">
        <v>2049</v>
      </c>
      <c r="H1542" s="248"/>
      <c r="I1542" s="248"/>
      <c r="J1542" s="248"/>
      <c r="K1542" s="248"/>
      <c r="L1542" s="248"/>
      <c r="M1542" s="248" t="s">
        <v>2050</v>
      </c>
    </row>
    <row r="1543" spans="1:13" ht="20.100000000000001" customHeight="1">
      <c r="A1543" s="248"/>
      <c r="B1543" s="248" t="s">
        <v>6578</v>
      </c>
      <c r="C1543" s="248" t="s">
        <v>4014</v>
      </c>
      <c r="D1543" s="248"/>
      <c r="E1543" s="248"/>
      <c r="F1543" s="248"/>
      <c r="G1543" s="248" t="s">
        <v>6579</v>
      </c>
      <c r="H1543" s="248"/>
      <c r="I1543" s="248"/>
      <c r="J1543" s="248"/>
      <c r="K1543" s="248"/>
      <c r="L1543" s="248"/>
      <c r="M1543" s="248" t="s">
        <v>3550</v>
      </c>
    </row>
    <row r="1544" spans="1:13" ht="20.100000000000001" customHeight="1">
      <c r="A1544" s="248"/>
      <c r="B1544" s="248" t="s">
        <v>6321</v>
      </c>
      <c r="C1544" s="248" t="s">
        <v>4014</v>
      </c>
      <c r="D1544" s="248"/>
      <c r="E1544" s="248"/>
      <c r="F1544" s="248"/>
      <c r="G1544" s="248" t="s">
        <v>6322</v>
      </c>
      <c r="H1544" s="248"/>
      <c r="I1544" s="248"/>
      <c r="J1544" s="248"/>
      <c r="K1544" s="248"/>
      <c r="L1544" s="248"/>
      <c r="M1544" s="248" t="s">
        <v>6323</v>
      </c>
    </row>
    <row r="1545" spans="1:13" ht="20.100000000000001" customHeight="1">
      <c r="A1545" s="248"/>
      <c r="B1545" s="248" t="s">
        <v>5438</v>
      </c>
      <c r="C1545" s="248" t="s">
        <v>4016</v>
      </c>
      <c r="D1545" s="248"/>
      <c r="E1545" s="248"/>
      <c r="F1545" s="248"/>
      <c r="G1545" s="248" t="s">
        <v>2051</v>
      </c>
      <c r="H1545" s="248"/>
      <c r="I1545" s="248"/>
      <c r="J1545" s="248"/>
      <c r="K1545" s="248"/>
      <c r="L1545" s="248"/>
      <c r="M1545" s="248" t="s">
        <v>2052</v>
      </c>
    </row>
    <row r="1546" spans="1:13" ht="20.100000000000001" customHeight="1">
      <c r="A1546" s="248"/>
      <c r="B1546" s="248" t="s">
        <v>5439</v>
      </c>
      <c r="C1546" s="248" t="s">
        <v>4003</v>
      </c>
      <c r="D1546" s="248"/>
      <c r="E1546" s="248"/>
      <c r="F1546" s="248"/>
      <c r="G1546" s="248" t="s">
        <v>2053</v>
      </c>
      <c r="H1546" s="248"/>
      <c r="I1546" s="248"/>
      <c r="J1546" s="248"/>
      <c r="K1546" s="248"/>
      <c r="L1546" s="248"/>
      <c r="M1546" s="248" t="s">
        <v>2054</v>
      </c>
    </row>
    <row r="1547" spans="1:13" ht="20.100000000000001" customHeight="1">
      <c r="A1547" s="248"/>
      <c r="B1547" s="248" t="s">
        <v>5440</v>
      </c>
      <c r="C1547" s="248" t="s">
        <v>4014</v>
      </c>
      <c r="D1547" s="248"/>
      <c r="E1547" s="248"/>
      <c r="F1547" s="248"/>
      <c r="G1547" s="248" t="s">
        <v>2055</v>
      </c>
      <c r="H1547" s="248"/>
      <c r="I1547" s="248"/>
      <c r="J1547" s="248"/>
      <c r="K1547" s="248"/>
      <c r="L1547" s="248"/>
      <c r="M1547" s="248" t="s">
        <v>2056</v>
      </c>
    </row>
    <row r="1548" spans="1:13" ht="20.100000000000001" customHeight="1">
      <c r="A1548" s="248"/>
      <c r="B1548" s="248" t="s">
        <v>5441</v>
      </c>
      <c r="C1548" s="248" t="s">
        <v>4003</v>
      </c>
      <c r="D1548" s="248"/>
      <c r="E1548" s="248"/>
      <c r="F1548" s="248"/>
      <c r="G1548" s="248" t="s">
        <v>2057</v>
      </c>
      <c r="H1548" s="248"/>
      <c r="I1548" s="248"/>
      <c r="J1548" s="248"/>
      <c r="K1548" s="248"/>
      <c r="L1548" s="248"/>
      <c r="M1548" s="248" t="s">
        <v>2058</v>
      </c>
    </row>
    <row r="1549" spans="1:13" ht="20.100000000000001" customHeight="1">
      <c r="A1549" s="248"/>
      <c r="B1549" s="248" t="s">
        <v>5442</v>
      </c>
      <c r="C1549" s="248" t="s">
        <v>4014</v>
      </c>
      <c r="D1549" s="248"/>
      <c r="E1549" s="248"/>
      <c r="F1549" s="248"/>
      <c r="G1549" s="248" t="s">
        <v>2059</v>
      </c>
      <c r="H1549" s="248"/>
      <c r="I1549" s="248"/>
      <c r="J1549" s="248"/>
      <c r="K1549" s="248"/>
      <c r="L1549" s="248"/>
      <c r="M1549" s="248" t="s">
        <v>2060</v>
      </c>
    </row>
    <row r="1550" spans="1:13" ht="20.100000000000001" customHeight="1">
      <c r="A1550" s="248"/>
      <c r="B1550" s="248" t="s">
        <v>5443</v>
      </c>
      <c r="C1550" s="248" t="s">
        <v>4005</v>
      </c>
      <c r="D1550" s="248"/>
      <c r="E1550" s="248"/>
      <c r="F1550" s="248"/>
      <c r="G1550" s="248" t="s">
        <v>2061</v>
      </c>
      <c r="H1550" s="248"/>
      <c r="I1550" s="248"/>
      <c r="J1550" s="248"/>
      <c r="K1550" s="248"/>
      <c r="L1550" s="248"/>
      <c r="M1550" s="248" t="s">
        <v>2062</v>
      </c>
    </row>
    <row r="1551" spans="1:13" ht="20.100000000000001" customHeight="1">
      <c r="A1551" s="248"/>
      <c r="B1551" s="248" t="s">
        <v>5444</v>
      </c>
      <c r="C1551" s="248" t="s">
        <v>4146</v>
      </c>
      <c r="D1551" s="248"/>
      <c r="E1551" s="248"/>
      <c r="F1551" s="248"/>
      <c r="G1551" s="248" t="s">
        <v>2063</v>
      </c>
      <c r="H1551" s="248"/>
      <c r="I1551" s="248"/>
      <c r="J1551" s="248"/>
      <c r="K1551" s="248"/>
      <c r="L1551" s="248"/>
      <c r="M1551" s="248" t="s">
        <v>2064</v>
      </c>
    </row>
    <row r="1552" spans="1:13" ht="20.100000000000001" customHeight="1">
      <c r="A1552" s="248"/>
      <c r="B1552" s="248" t="s">
        <v>5445</v>
      </c>
      <c r="C1552" s="248" t="s">
        <v>4008</v>
      </c>
      <c r="D1552" s="248"/>
      <c r="E1552" s="248"/>
      <c r="F1552" s="248"/>
      <c r="G1552" s="248" t="s">
        <v>2065</v>
      </c>
      <c r="H1552" s="248"/>
      <c r="I1552" s="248"/>
      <c r="J1552" s="248"/>
      <c r="K1552" s="248"/>
      <c r="L1552" s="248"/>
      <c r="M1552" s="248" t="s">
        <v>2066</v>
      </c>
    </row>
    <row r="1553" spans="1:13" ht="20.100000000000001" customHeight="1">
      <c r="A1553" s="248"/>
      <c r="B1553" s="248" t="s">
        <v>5446</v>
      </c>
      <c r="C1553" s="248" t="s">
        <v>4853</v>
      </c>
      <c r="D1553" s="248"/>
      <c r="E1553" s="248"/>
      <c r="F1553" s="248"/>
      <c r="G1553" s="248" t="s">
        <v>2067</v>
      </c>
      <c r="H1553" s="248"/>
      <c r="I1553" s="248"/>
      <c r="J1553" s="248"/>
      <c r="K1553" s="248"/>
      <c r="L1553" s="248"/>
      <c r="M1553" s="248" t="s">
        <v>2068</v>
      </c>
    </row>
    <row r="1554" spans="1:13" ht="20.100000000000001" customHeight="1">
      <c r="A1554" s="248"/>
      <c r="B1554" s="248" t="s">
        <v>5447</v>
      </c>
      <c r="C1554" s="248" t="s">
        <v>4025</v>
      </c>
      <c r="D1554" s="248"/>
      <c r="E1554" s="248"/>
      <c r="F1554" s="248"/>
      <c r="G1554" s="248" t="s">
        <v>2069</v>
      </c>
      <c r="H1554" s="248"/>
      <c r="I1554" s="248"/>
      <c r="J1554" s="248"/>
      <c r="K1554" s="248"/>
      <c r="L1554" s="248"/>
      <c r="M1554" s="248" t="s">
        <v>2070</v>
      </c>
    </row>
    <row r="1555" spans="1:13" ht="20.100000000000001" customHeight="1">
      <c r="A1555" s="248"/>
      <c r="B1555" s="248" t="s">
        <v>5448</v>
      </c>
      <c r="C1555" s="248" t="s">
        <v>4014</v>
      </c>
      <c r="D1555" s="248"/>
      <c r="E1555" s="248"/>
      <c r="F1555" s="248"/>
      <c r="G1555" s="248" t="s">
        <v>3581</v>
      </c>
      <c r="H1555" s="248"/>
      <c r="I1555" s="248"/>
      <c r="J1555" s="248"/>
      <c r="K1555" s="248"/>
      <c r="L1555" s="248"/>
      <c r="M1555" s="248" t="s">
        <v>3582</v>
      </c>
    </row>
    <row r="1556" spans="1:13" ht="20.100000000000001" customHeight="1">
      <c r="A1556" s="248"/>
      <c r="B1556" s="248" t="s">
        <v>5449</v>
      </c>
      <c r="C1556" s="248" t="s">
        <v>4030</v>
      </c>
      <c r="D1556" s="248"/>
      <c r="E1556" s="248"/>
      <c r="F1556" s="248"/>
      <c r="G1556" s="248" t="s">
        <v>2071</v>
      </c>
      <c r="H1556" s="248"/>
      <c r="I1556" s="248"/>
      <c r="J1556" s="248"/>
      <c r="K1556" s="248"/>
      <c r="L1556" s="248"/>
      <c r="M1556" s="248" t="s">
        <v>732</v>
      </c>
    </row>
    <row r="1557" spans="1:13" ht="20.100000000000001" customHeight="1">
      <c r="A1557" s="248"/>
      <c r="B1557" s="248" t="s">
        <v>6324</v>
      </c>
      <c r="C1557" s="248" t="s">
        <v>4012</v>
      </c>
      <c r="D1557" s="248"/>
      <c r="E1557" s="248"/>
      <c r="F1557" s="248"/>
      <c r="G1557" s="248" t="s">
        <v>3478</v>
      </c>
      <c r="H1557" s="248"/>
      <c r="I1557" s="248"/>
      <c r="J1557" s="248"/>
      <c r="K1557" s="248"/>
      <c r="L1557" s="248"/>
      <c r="M1557" s="248" t="s">
        <v>3479</v>
      </c>
    </row>
    <row r="1558" spans="1:13" ht="20.100000000000001" customHeight="1">
      <c r="A1558" s="248"/>
      <c r="B1558" s="248" t="s">
        <v>5450</v>
      </c>
      <c r="C1558" s="248" t="s">
        <v>4016</v>
      </c>
      <c r="D1558" s="248"/>
      <c r="E1558" s="248"/>
      <c r="F1558" s="248"/>
      <c r="G1558" s="248" t="s">
        <v>3510</v>
      </c>
      <c r="H1558" s="248"/>
      <c r="I1558" s="248"/>
      <c r="J1558" s="248"/>
      <c r="K1558" s="248"/>
      <c r="L1558" s="248"/>
      <c r="M1558" s="248" t="s">
        <v>3919</v>
      </c>
    </row>
    <row r="1559" spans="1:13" ht="20.100000000000001" customHeight="1">
      <c r="A1559" s="248"/>
      <c r="B1559" s="248" t="s">
        <v>5451</v>
      </c>
      <c r="C1559" s="248" t="s">
        <v>4014</v>
      </c>
      <c r="D1559" s="248"/>
      <c r="E1559" s="248"/>
      <c r="F1559" s="248"/>
      <c r="G1559" s="248" t="s">
        <v>2072</v>
      </c>
      <c r="H1559" s="248"/>
      <c r="I1559" s="248"/>
      <c r="J1559" s="248"/>
      <c r="K1559" s="248"/>
      <c r="L1559" s="248"/>
      <c r="M1559" s="248" t="s">
        <v>2073</v>
      </c>
    </row>
    <row r="1560" spans="1:13" ht="20.100000000000001" customHeight="1">
      <c r="A1560" s="248"/>
      <c r="B1560" s="248" t="s">
        <v>6325</v>
      </c>
      <c r="C1560" s="248" t="s">
        <v>4057</v>
      </c>
      <c r="D1560" s="248"/>
      <c r="E1560" s="248"/>
      <c r="F1560" s="248"/>
      <c r="G1560" s="248" t="s">
        <v>6326</v>
      </c>
      <c r="H1560" s="248"/>
      <c r="I1560" s="248"/>
      <c r="J1560" s="248"/>
      <c r="K1560" s="248"/>
      <c r="L1560" s="248"/>
      <c r="M1560" s="248" t="s">
        <v>3550</v>
      </c>
    </row>
    <row r="1561" spans="1:13" ht="20.100000000000001" customHeight="1">
      <c r="A1561" s="248"/>
      <c r="B1561" s="248" t="s">
        <v>5452</v>
      </c>
      <c r="C1561" s="248" t="s">
        <v>4012</v>
      </c>
      <c r="D1561" s="248"/>
      <c r="E1561" s="248"/>
      <c r="F1561" s="248"/>
      <c r="G1561" s="248" t="s">
        <v>2074</v>
      </c>
      <c r="H1561" s="248"/>
      <c r="I1561" s="248"/>
      <c r="J1561" s="248"/>
      <c r="K1561" s="248"/>
      <c r="L1561" s="248"/>
      <c r="M1561" s="248" t="s">
        <v>2075</v>
      </c>
    </row>
    <row r="1562" spans="1:13" ht="20.100000000000001" customHeight="1">
      <c r="A1562" s="248"/>
      <c r="B1562" s="248" t="s">
        <v>5453</v>
      </c>
      <c r="C1562" s="248" t="s">
        <v>4008</v>
      </c>
      <c r="D1562" s="248"/>
      <c r="E1562" s="248"/>
      <c r="F1562" s="248"/>
      <c r="G1562" s="248" t="s">
        <v>2076</v>
      </c>
      <c r="H1562" s="248"/>
      <c r="I1562" s="248"/>
      <c r="J1562" s="248"/>
      <c r="K1562" s="248"/>
      <c r="L1562" s="248"/>
      <c r="M1562" s="248" t="s">
        <v>2077</v>
      </c>
    </row>
    <row r="1563" spans="1:13" ht="20.100000000000001" customHeight="1">
      <c r="A1563" s="248"/>
      <c r="B1563" s="248" t="s">
        <v>5454</v>
      </c>
      <c r="C1563" s="248" t="s">
        <v>4025</v>
      </c>
      <c r="D1563" s="248"/>
      <c r="E1563" s="248"/>
      <c r="F1563" s="248"/>
      <c r="G1563" s="248" t="s">
        <v>2078</v>
      </c>
      <c r="H1563" s="248"/>
      <c r="I1563" s="248"/>
      <c r="J1563" s="248"/>
      <c r="K1563" s="248"/>
      <c r="L1563" s="248"/>
      <c r="M1563" s="248" t="s">
        <v>2079</v>
      </c>
    </row>
    <row r="1564" spans="1:13" ht="20.100000000000001" customHeight="1">
      <c r="A1564" s="248"/>
      <c r="B1564" s="248" t="s">
        <v>5455</v>
      </c>
      <c r="C1564" s="248" t="s">
        <v>4003</v>
      </c>
      <c r="D1564" s="248"/>
      <c r="E1564" s="248"/>
      <c r="F1564" s="248"/>
      <c r="G1564" s="248" t="s">
        <v>2080</v>
      </c>
      <c r="H1564" s="248"/>
      <c r="I1564" s="248"/>
      <c r="J1564" s="248"/>
      <c r="K1564" s="248"/>
      <c r="L1564" s="248"/>
      <c r="M1564" s="248" t="s">
        <v>2081</v>
      </c>
    </row>
    <row r="1565" spans="1:13" ht="20.100000000000001" customHeight="1">
      <c r="A1565" s="248"/>
      <c r="B1565" s="248" t="s">
        <v>5456</v>
      </c>
      <c r="C1565" s="248" t="s">
        <v>4008</v>
      </c>
      <c r="D1565" s="248"/>
      <c r="E1565" s="248"/>
      <c r="F1565" s="248"/>
      <c r="G1565" s="248" t="s">
        <v>3858</v>
      </c>
      <c r="H1565" s="248"/>
      <c r="I1565" s="248"/>
      <c r="J1565" s="248"/>
      <c r="K1565" s="248"/>
      <c r="L1565" s="248"/>
      <c r="M1565" s="248" t="s">
        <v>3859</v>
      </c>
    </row>
    <row r="1566" spans="1:13" ht="20.100000000000001" customHeight="1">
      <c r="A1566" s="248"/>
      <c r="B1566" s="248" t="s">
        <v>5457</v>
      </c>
      <c r="C1566" s="248" t="s">
        <v>4008</v>
      </c>
      <c r="D1566" s="248"/>
      <c r="E1566" s="248"/>
      <c r="F1566" s="248"/>
      <c r="G1566" s="248" t="s">
        <v>3398</v>
      </c>
      <c r="H1566" s="248"/>
      <c r="I1566" s="248"/>
      <c r="J1566" s="248"/>
      <c r="K1566" s="248"/>
      <c r="L1566" s="248"/>
      <c r="M1566" s="248" t="s">
        <v>3399</v>
      </c>
    </row>
    <row r="1567" spans="1:13" ht="20.100000000000001" customHeight="1">
      <c r="A1567" s="248"/>
      <c r="B1567" s="248" t="s">
        <v>6263</v>
      </c>
      <c r="C1567" s="248" t="s">
        <v>4005</v>
      </c>
      <c r="D1567" s="248"/>
      <c r="E1567" s="248"/>
      <c r="F1567" s="248"/>
      <c r="G1567" s="248" t="s">
        <v>6264</v>
      </c>
      <c r="H1567" s="248"/>
      <c r="I1567" s="248"/>
      <c r="J1567" s="248"/>
      <c r="K1567" s="248"/>
      <c r="L1567" s="248"/>
      <c r="M1567" s="248" t="s">
        <v>6265</v>
      </c>
    </row>
    <row r="1568" spans="1:13" ht="20.100000000000001" customHeight="1">
      <c r="A1568" s="248"/>
      <c r="B1568" s="248" t="s">
        <v>5458</v>
      </c>
      <c r="C1568" s="248" t="s">
        <v>4014</v>
      </c>
      <c r="D1568" s="248"/>
      <c r="E1568" s="248"/>
      <c r="F1568" s="248"/>
      <c r="G1568" s="248" t="s">
        <v>2082</v>
      </c>
      <c r="H1568" s="248"/>
      <c r="I1568" s="248"/>
      <c r="J1568" s="248"/>
      <c r="K1568" s="248"/>
      <c r="L1568" s="248"/>
      <c r="M1568" s="248" t="s">
        <v>3550</v>
      </c>
    </row>
    <row r="1569" spans="1:13" ht="20.100000000000001" customHeight="1">
      <c r="A1569" s="248"/>
      <c r="B1569" s="248" t="s">
        <v>5459</v>
      </c>
      <c r="C1569" s="248" t="s">
        <v>4036</v>
      </c>
      <c r="D1569" s="248"/>
      <c r="E1569" s="248"/>
      <c r="F1569" s="248"/>
      <c r="G1569" s="248" t="s">
        <v>2083</v>
      </c>
      <c r="H1569" s="248"/>
      <c r="I1569" s="248"/>
      <c r="J1569" s="248"/>
      <c r="K1569" s="248"/>
      <c r="L1569" s="248"/>
      <c r="M1569" s="248" t="s">
        <v>2084</v>
      </c>
    </row>
    <row r="1570" spans="1:13" ht="20.100000000000001" customHeight="1">
      <c r="A1570" s="248"/>
      <c r="B1570" s="248" t="s">
        <v>5460</v>
      </c>
      <c r="C1570" s="248" t="s">
        <v>4030</v>
      </c>
      <c r="D1570" s="248"/>
      <c r="E1570" s="248"/>
      <c r="F1570" s="248"/>
      <c r="G1570" s="248" t="s">
        <v>2085</v>
      </c>
      <c r="H1570" s="248"/>
      <c r="I1570" s="248"/>
      <c r="J1570" s="248"/>
      <c r="K1570" s="248"/>
      <c r="L1570" s="248"/>
      <c r="M1570" s="248" t="s">
        <v>2086</v>
      </c>
    </row>
    <row r="1571" spans="1:13" ht="20.100000000000001" customHeight="1">
      <c r="A1571" s="248"/>
      <c r="B1571" s="248" t="s">
        <v>5461</v>
      </c>
      <c r="C1571" s="248" t="s">
        <v>4030</v>
      </c>
      <c r="D1571" s="248"/>
      <c r="E1571" s="248"/>
      <c r="F1571" s="248"/>
      <c r="G1571" s="248" t="s">
        <v>2087</v>
      </c>
      <c r="H1571" s="248"/>
      <c r="I1571" s="248"/>
      <c r="J1571" s="248"/>
      <c r="K1571" s="248"/>
      <c r="L1571" s="248"/>
      <c r="M1571" s="248" t="s">
        <v>2088</v>
      </c>
    </row>
    <row r="1572" spans="1:13" ht="20.100000000000001" customHeight="1">
      <c r="A1572" s="248"/>
      <c r="B1572" s="248" t="s">
        <v>5462</v>
      </c>
      <c r="C1572" s="248" t="s">
        <v>4036</v>
      </c>
      <c r="D1572" s="248"/>
      <c r="E1572" s="248"/>
      <c r="F1572" s="248"/>
      <c r="G1572" s="248" t="s">
        <v>2089</v>
      </c>
      <c r="H1572" s="248"/>
      <c r="I1572" s="248"/>
      <c r="J1572" s="248"/>
      <c r="K1572" s="248"/>
      <c r="L1572" s="248"/>
      <c r="M1572" s="248" t="s">
        <v>3550</v>
      </c>
    </row>
    <row r="1573" spans="1:13" ht="20.100000000000001" customHeight="1">
      <c r="A1573" s="248"/>
      <c r="B1573" s="248" t="s">
        <v>5463</v>
      </c>
      <c r="C1573" s="248" t="s">
        <v>4014</v>
      </c>
      <c r="D1573" s="248"/>
      <c r="E1573" s="248"/>
      <c r="F1573" s="248"/>
      <c r="G1573" s="248" t="s">
        <v>3291</v>
      </c>
      <c r="H1573" s="248"/>
      <c r="I1573" s="248"/>
      <c r="J1573" s="248"/>
      <c r="K1573" s="248"/>
      <c r="L1573" s="248"/>
      <c r="M1573" s="248" t="s">
        <v>3292</v>
      </c>
    </row>
    <row r="1574" spans="1:13" ht="20.100000000000001" customHeight="1">
      <c r="A1574" s="248"/>
      <c r="B1574" s="248" t="s">
        <v>5464</v>
      </c>
      <c r="C1574" s="248" t="s">
        <v>4012</v>
      </c>
      <c r="D1574" s="248"/>
      <c r="E1574" s="248"/>
      <c r="F1574" s="248"/>
      <c r="G1574" s="248" t="s">
        <v>2090</v>
      </c>
      <c r="H1574" s="248"/>
      <c r="I1574" s="248"/>
      <c r="J1574" s="248"/>
      <c r="K1574" s="248"/>
      <c r="L1574" s="248"/>
      <c r="M1574" s="248" t="s">
        <v>2091</v>
      </c>
    </row>
    <row r="1575" spans="1:13" ht="20.100000000000001" customHeight="1">
      <c r="A1575" s="248"/>
      <c r="B1575" s="248" t="s">
        <v>5465</v>
      </c>
      <c r="C1575" s="248" t="s">
        <v>4008</v>
      </c>
      <c r="D1575" s="248"/>
      <c r="E1575" s="248"/>
      <c r="F1575" s="248"/>
      <c r="G1575" s="248" t="s">
        <v>2092</v>
      </c>
      <c r="H1575" s="248"/>
      <c r="I1575" s="248"/>
      <c r="J1575" s="248"/>
      <c r="K1575" s="248"/>
      <c r="L1575" s="248"/>
      <c r="M1575" s="248" t="s">
        <v>2093</v>
      </c>
    </row>
    <row r="1576" spans="1:13" ht="20.100000000000001" customHeight="1">
      <c r="A1576" s="248"/>
      <c r="B1576" s="248" t="s">
        <v>5466</v>
      </c>
      <c r="C1576" s="248" t="s">
        <v>4016</v>
      </c>
      <c r="D1576" s="248"/>
      <c r="E1576" s="248"/>
      <c r="F1576" s="248"/>
      <c r="G1576" s="248" t="s">
        <v>2094</v>
      </c>
      <c r="H1576" s="248"/>
      <c r="I1576" s="248"/>
      <c r="J1576" s="248"/>
      <c r="K1576" s="248"/>
      <c r="L1576" s="248"/>
      <c r="M1576" s="248" t="s">
        <v>2095</v>
      </c>
    </row>
    <row r="1577" spans="1:13" ht="20.100000000000001" customHeight="1">
      <c r="A1577" s="248"/>
      <c r="B1577" s="248" t="s">
        <v>5467</v>
      </c>
      <c r="C1577" s="248" t="s">
        <v>4003</v>
      </c>
      <c r="D1577" s="248"/>
      <c r="E1577" s="248"/>
      <c r="F1577" s="248"/>
      <c r="G1577" s="248" t="s">
        <v>2096</v>
      </c>
      <c r="H1577" s="248"/>
      <c r="I1577" s="248"/>
      <c r="J1577" s="248"/>
      <c r="K1577" s="248"/>
      <c r="L1577" s="248"/>
      <c r="M1577" s="248" t="s">
        <v>2097</v>
      </c>
    </row>
    <row r="1578" spans="1:13" ht="20.100000000000001" customHeight="1">
      <c r="A1578" s="248"/>
      <c r="B1578" s="248" t="s">
        <v>5468</v>
      </c>
      <c r="C1578" s="248" t="s">
        <v>4012</v>
      </c>
      <c r="D1578" s="248"/>
      <c r="E1578" s="248"/>
      <c r="F1578" s="248"/>
      <c r="G1578" s="248" t="s">
        <v>6458</v>
      </c>
      <c r="H1578" s="248"/>
      <c r="I1578" s="248"/>
      <c r="J1578" s="248"/>
      <c r="K1578" s="248"/>
      <c r="L1578" s="248"/>
      <c r="M1578" s="248" t="s">
        <v>2091</v>
      </c>
    </row>
    <row r="1579" spans="1:13" ht="20.100000000000001" customHeight="1">
      <c r="A1579" s="248"/>
      <c r="B1579" s="248" t="s">
        <v>5469</v>
      </c>
      <c r="C1579" s="248" t="s">
        <v>4016</v>
      </c>
      <c r="D1579" s="248"/>
      <c r="E1579" s="248"/>
      <c r="F1579" s="248"/>
      <c r="G1579" s="248" t="s">
        <v>3043</v>
      </c>
      <c r="H1579" s="248"/>
      <c r="I1579" s="248"/>
      <c r="J1579" s="248"/>
      <c r="K1579" s="248"/>
      <c r="L1579" s="248"/>
      <c r="M1579" s="248" t="s">
        <v>3044</v>
      </c>
    </row>
    <row r="1580" spans="1:13" ht="20.100000000000001" customHeight="1">
      <c r="A1580" s="248"/>
      <c r="B1580" s="248" t="s">
        <v>5470</v>
      </c>
      <c r="C1580" s="248" t="s">
        <v>4008</v>
      </c>
      <c r="D1580" s="248"/>
      <c r="E1580" s="248"/>
      <c r="F1580" s="248"/>
      <c r="G1580" s="248" t="s">
        <v>2098</v>
      </c>
      <c r="H1580" s="248"/>
      <c r="I1580" s="248"/>
      <c r="J1580" s="248"/>
      <c r="K1580" s="248"/>
      <c r="L1580" s="248"/>
      <c r="M1580" s="248" t="s">
        <v>2099</v>
      </c>
    </row>
    <row r="1581" spans="1:13" ht="20.100000000000001" customHeight="1">
      <c r="A1581" s="248"/>
      <c r="B1581" s="248" t="s">
        <v>5471</v>
      </c>
      <c r="C1581" s="248" t="s">
        <v>4025</v>
      </c>
      <c r="D1581" s="248"/>
      <c r="E1581" s="248"/>
      <c r="F1581" s="248"/>
      <c r="G1581" s="248" t="s">
        <v>2100</v>
      </c>
      <c r="H1581" s="248"/>
      <c r="I1581" s="248"/>
      <c r="J1581" s="248"/>
      <c r="K1581" s="248"/>
      <c r="L1581" s="248"/>
      <c r="M1581" s="248" t="s">
        <v>2101</v>
      </c>
    </row>
    <row r="1582" spans="1:13" ht="20.100000000000001" customHeight="1">
      <c r="A1582" s="248"/>
      <c r="B1582" s="248" t="s">
        <v>5472</v>
      </c>
      <c r="C1582" s="248" t="s">
        <v>4036</v>
      </c>
      <c r="D1582" s="248"/>
      <c r="E1582" s="248"/>
      <c r="F1582" s="248"/>
      <c r="G1582" s="248" t="s">
        <v>2102</v>
      </c>
      <c r="H1582" s="248"/>
      <c r="I1582" s="248"/>
      <c r="J1582" s="248"/>
      <c r="K1582" s="248"/>
      <c r="L1582" s="248"/>
      <c r="M1582" s="248" t="s">
        <v>2103</v>
      </c>
    </row>
    <row r="1583" spans="1:13" ht="20.100000000000001" customHeight="1">
      <c r="A1583" s="248"/>
      <c r="B1583" s="248" t="s">
        <v>5473</v>
      </c>
      <c r="C1583" s="248" t="s">
        <v>4030</v>
      </c>
      <c r="D1583" s="248"/>
      <c r="E1583" s="248"/>
      <c r="F1583" s="248"/>
      <c r="G1583" s="248" t="s">
        <v>2104</v>
      </c>
      <c r="H1583" s="248"/>
      <c r="I1583" s="248"/>
      <c r="J1583" s="248"/>
      <c r="K1583" s="248"/>
      <c r="L1583" s="248"/>
      <c r="M1583" s="248" t="s">
        <v>2105</v>
      </c>
    </row>
    <row r="1584" spans="1:13" ht="20.100000000000001" customHeight="1">
      <c r="A1584" s="249"/>
      <c r="B1584" s="249" t="s">
        <v>5474</v>
      </c>
      <c r="C1584" s="250" t="s">
        <v>4190</v>
      </c>
      <c r="D1584" s="249"/>
      <c r="E1584" s="249"/>
      <c r="F1584" s="249"/>
      <c r="G1584" s="249" t="s">
        <v>2106</v>
      </c>
      <c r="H1584" s="249"/>
      <c r="I1584" s="249"/>
      <c r="J1584" s="249"/>
      <c r="K1584" s="249"/>
      <c r="L1584" s="249"/>
      <c r="M1584" s="249" t="s">
        <v>2107</v>
      </c>
    </row>
    <row r="1585" spans="1:13" ht="20.100000000000001" customHeight="1">
      <c r="A1585" s="248"/>
      <c r="B1585" s="248" t="s">
        <v>5475</v>
      </c>
      <c r="C1585" s="248" t="s">
        <v>4003</v>
      </c>
      <c r="D1585" s="248"/>
      <c r="E1585" s="248"/>
      <c r="F1585" s="248"/>
      <c r="G1585" s="248" t="s">
        <v>3882</v>
      </c>
      <c r="H1585" s="248"/>
      <c r="I1585" s="248"/>
      <c r="J1585" s="248"/>
      <c r="K1585" s="248"/>
      <c r="L1585" s="248"/>
      <c r="M1585" s="248" t="s">
        <v>3883</v>
      </c>
    </row>
    <row r="1586" spans="1:13" ht="20.100000000000001" customHeight="1">
      <c r="A1586" s="248"/>
      <c r="B1586" s="248" t="s">
        <v>5476</v>
      </c>
      <c r="C1586" s="248" t="s">
        <v>4008</v>
      </c>
      <c r="D1586" s="248"/>
      <c r="E1586" s="248"/>
      <c r="F1586" s="248"/>
      <c r="G1586" s="248" t="s">
        <v>3884</v>
      </c>
      <c r="H1586" s="248"/>
      <c r="I1586" s="248"/>
      <c r="J1586" s="248"/>
      <c r="K1586" s="248"/>
      <c r="L1586" s="248"/>
      <c r="M1586" s="248" t="s">
        <v>3885</v>
      </c>
    </row>
    <row r="1587" spans="1:13" ht="20.100000000000001" customHeight="1">
      <c r="A1587" s="248"/>
      <c r="B1587" s="248" t="s">
        <v>6327</v>
      </c>
      <c r="C1587" s="248" t="s">
        <v>4036</v>
      </c>
      <c r="D1587" s="248"/>
      <c r="E1587" s="248"/>
      <c r="F1587" s="248"/>
      <c r="G1587" s="248" t="s">
        <v>6328</v>
      </c>
      <c r="H1587" s="248"/>
      <c r="I1587" s="248"/>
      <c r="J1587" s="248"/>
      <c r="K1587" s="248"/>
      <c r="L1587" s="248"/>
      <c r="M1587" s="248" t="s">
        <v>6329</v>
      </c>
    </row>
    <row r="1588" spans="1:13" ht="20.100000000000001" customHeight="1">
      <c r="A1588" s="248"/>
      <c r="B1588" s="248" t="s">
        <v>5477</v>
      </c>
      <c r="C1588" s="248" t="s">
        <v>4030</v>
      </c>
      <c r="D1588" s="248"/>
      <c r="E1588" s="248"/>
      <c r="F1588" s="248"/>
      <c r="G1588" s="248" t="s">
        <v>3347</v>
      </c>
      <c r="H1588" s="248"/>
      <c r="I1588" s="248"/>
      <c r="J1588" s="248"/>
      <c r="K1588" s="248"/>
      <c r="L1588" s="248"/>
      <c r="M1588" s="248" t="s">
        <v>2108</v>
      </c>
    </row>
    <row r="1589" spans="1:13" ht="20.100000000000001" customHeight="1">
      <c r="A1589" s="248"/>
      <c r="B1589" s="248" t="s">
        <v>5478</v>
      </c>
      <c r="C1589" s="248" t="s">
        <v>4030</v>
      </c>
      <c r="D1589" s="248"/>
      <c r="E1589" s="248"/>
      <c r="F1589" s="248"/>
      <c r="G1589" s="248" t="s">
        <v>3347</v>
      </c>
      <c r="H1589" s="248"/>
      <c r="I1589" s="248"/>
      <c r="J1589" s="248"/>
      <c r="K1589" s="248"/>
      <c r="L1589" s="248"/>
      <c r="M1589" s="248" t="s">
        <v>2108</v>
      </c>
    </row>
    <row r="1590" spans="1:13" ht="20.100000000000001" customHeight="1">
      <c r="A1590" s="248"/>
      <c r="B1590" s="248" t="s">
        <v>5479</v>
      </c>
      <c r="C1590" s="248" t="s">
        <v>4014</v>
      </c>
      <c r="D1590" s="248"/>
      <c r="E1590" s="248"/>
      <c r="F1590" s="248"/>
      <c r="G1590" s="248" t="s">
        <v>2109</v>
      </c>
      <c r="H1590" s="248"/>
      <c r="I1590" s="248"/>
      <c r="J1590" s="248"/>
      <c r="K1590" s="248"/>
      <c r="L1590" s="248"/>
      <c r="M1590" s="248" t="s">
        <v>2110</v>
      </c>
    </row>
    <row r="1591" spans="1:13" ht="20.100000000000001" customHeight="1">
      <c r="A1591" s="248"/>
      <c r="B1591" s="248" t="s">
        <v>5480</v>
      </c>
      <c r="C1591" s="248" t="s">
        <v>4016</v>
      </c>
      <c r="D1591" s="248"/>
      <c r="E1591" s="248"/>
      <c r="F1591" s="248"/>
      <c r="G1591" s="248" t="s">
        <v>2111</v>
      </c>
      <c r="H1591" s="248"/>
      <c r="I1591" s="248"/>
      <c r="J1591" s="248"/>
      <c r="K1591" s="248"/>
      <c r="L1591" s="248"/>
      <c r="M1591" s="248" t="s">
        <v>2112</v>
      </c>
    </row>
    <row r="1592" spans="1:13" ht="20.100000000000001" customHeight="1">
      <c r="A1592" s="248"/>
      <c r="B1592" s="248" t="s">
        <v>6633</v>
      </c>
      <c r="C1592" s="248" t="s">
        <v>4003</v>
      </c>
      <c r="D1592" s="248"/>
      <c r="E1592" s="248"/>
      <c r="F1592" s="248"/>
      <c r="G1592" s="248" t="s">
        <v>6634</v>
      </c>
      <c r="H1592" s="248"/>
      <c r="I1592" s="248"/>
      <c r="J1592" s="248"/>
      <c r="K1592" s="248"/>
      <c r="L1592" s="248"/>
      <c r="M1592" s="248" t="s">
        <v>2297</v>
      </c>
    </row>
    <row r="1593" spans="1:13" ht="20.100000000000001" customHeight="1">
      <c r="A1593" s="248"/>
      <c r="B1593" s="248" t="s">
        <v>5481</v>
      </c>
      <c r="C1593" s="248" t="s">
        <v>4016</v>
      </c>
      <c r="D1593" s="248"/>
      <c r="E1593" s="248"/>
      <c r="F1593" s="248"/>
      <c r="G1593" s="248" t="s">
        <v>584</v>
      </c>
      <c r="H1593" s="248"/>
      <c r="I1593" s="248"/>
      <c r="J1593" s="248"/>
      <c r="K1593" s="248"/>
      <c r="L1593" s="248"/>
      <c r="M1593" s="248" t="s">
        <v>3550</v>
      </c>
    </row>
    <row r="1594" spans="1:13" ht="20.100000000000001" customHeight="1">
      <c r="A1594" s="248"/>
      <c r="B1594" s="248" t="s">
        <v>5482</v>
      </c>
      <c r="C1594" s="248" t="s">
        <v>4003</v>
      </c>
      <c r="D1594" s="248"/>
      <c r="E1594" s="248"/>
      <c r="F1594" s="248"/>
      <c r="G1594" s="248" t="s">
        <v>2113</v>
      </c>
      <c r="H1594" s="248"/>
      <c r="I1594" s="248"/>
      <c r="J1594" s="248"/>
      <c r="K1594" s="248"/>
      <c r="L1594" s="248"/>
      <c r="M1594" s="248" t="s">
        <v>2114</v>
      </c>
    </row>
    <row r="1595" spans="1:13" ht="20.100000000000001" customHeight="1">
      <c r="A1595" s="248"/>
      <c r="B1595" s="248" t="s">
        <v>6580</v>
      </c>
      <c r="C1595" s="248" t="s">
        <v>4008</v>
      </c>
      <c r="D1595" s="248"/>
      <c r="E1595" s="248"/>
      <c r="F1595" s="248"/>
      <c r="G1595" s="248" t="s">
        <v>6581</v>
      </c>
      <c r="H1595" s="248"/>
      <c r="I1595" s="248"/>
      <c r="J1595" s="248"/>
      <c r="K1595" s="248"/>
      <c r="L1595" s="248"/>
      <c r="M1595" s="248" t="s">
        <v>6582</v>
      </c>
    </row>
    <row r="1596" spans="1:13" ht="20.100000000000001" customHeight="1">
      <c r="A1596" s="248"/>
      <c r="B1596" s="248" t="s">
        <v>5483</v>
      </c>
      <c r="C1596" s="248" t="s">
        <v>4003</v>
      </c>
      <c r="D1596" s="248"/>
      <c r="E1596" s="248"/>
      <c r="F1596" s="248"/>
      <c r="G1596" s="248" t="s">
        <v>2115</v>
      </c>
      <c r="H1596" s="248"/>
      <c r="I1596" s="248"/>
      <c r="J1596" s="248"/>
      <c r="K1596" s="248"/>
      <c r="L1596" s="248"/>
      <c r="M1596" s="248" t="s">
        <v>3550</v>
      </c>
    </row>
    <row r="1597" spans="1:13" ht="20.100000000000001" customHeight="1">
      <c r="A1597" s="248"/>
      <c r="B1597" s="248" t="s">
        <v>5484</v>
      </c>
      <c r="C1597" s="248" t="s">
        <v>4003</v>
      </c>
      <c r="D1597" s="248"/>
      <c r="E1597" s="248"/>
      <c r="F1597" s="248"/>
      <c r="G1597" s="248" t="s">
        <v>2116</v>
      </c>
      <c r="H1597" s="248"/>
      <c r="I1597" s="248"/>
      <c r="J1597" s="248"/>
      <c r="K1597" s="248"/>
      <c r="L1597" s="248"/>
      <c r="M1597" s="248" t="s">
        <v>2117</v>
      </c>
    </row>
    <row r="1598" spans="1:13" ht="20.100000000000001" customHeight="1">
      <c r="A1598" s="248"/>
      <c r="B1598" s="248" t="s">
        <v>5485</v>
      </c>
      <c r="C1598" s="248" t="s">
        <v>4057</v>
      </c>
      <c r="D1598" s="248"/>
      <c r="E1598" s="248"/>
      <c r="F1598" s="248"/>
      <c r="G1598" s="248" t="s">
        <v>2118</v>
      </c>
      <c r="H1598" s="248"/>
      <c r="I1598" s="248"/>
      <c r="J1598" s="248"/>
      <c r="K1598" s="248"/>
      <c r="L1598" s="248"/>
      <c r="M1598" s="248" t="s">
        <v>2119</v>
      </c>
    </row>
    <row r="1599" spans="1:13" ht="20.100000000000001" customHeight="1">
      <c r="A1599" s="248"/>
      <c r="B1599" s="248" t="s">
        <v>5486</v>
      </c>
      <c r="C1599" s="248" t="s">
        <v>4008</v>
      </c>
      <c r="D1599" s="248"/>
      <c r="E1599" s="248"/>
      <c r="F1599" s="248"/>
      <c r="G1599" s="248" t="s">
        <v>2120</v>
      </c>
      <c r="H1599" s="248"/>
      <c r="I1599" s="248"/>
      <c r="J1599" s="248"/>
      <c r="K1599" s="248"/>
      <c r="L1599" s="248"/>
      <c r="M1599" s="248" t="s">
        <v>2121</v>
      </c>
    </row>
    <row r="1600" spans="1:13" ht="20.100000000000001" customHeight="1">
      <c r="A1600" s="248"/>
      <c r="B1600" s="248" t="s">
        <v>5487</v>
      </c>
      <c r="C1600" s="248" t="s">
        <v>4025</v>
      </c>
      <c r="D1600" s="248"/>
      <c r="E1600" s="248"/>
      <c r="F1600" s="248"/>
      <c r="G1600" s="248" t="s">
        <v>2122</v>
      </c>
      <c r="H1600" s="248"/>
      <c r="I1600" s="248"/>
      <c r="J1600" s="248"/>
      <c r="K1600" s="248"/>
      <c r="L1600" s="248"/>
      <c r="M1600" s="248" t="s">
        <v>2123</v>
      </c>
    </row>
    <row r="1601" spans="1:13" ht="20.100000000000001" customHeight="1">
      <c r="A1601" s="249"/>
      <c r="B1601" s="249" t="s">
        <v>5488</v>
      </c>
      <c r="C1601" s="250" t="s">
        <v>4030</v>
      </c>
      <c r="D1601" s="249"/>
      <c r="E1601" s="249"/>
      <c r="F1601" s="249"/>
      <c r="G1601" s="249" t="s">
        <v>2124</v>
      </c>
      <c r="H1601" s="249"/>
      <c r="I1601" s="249"/>
      <c r="J1601" s="249"/>
      <c r="K1601" s="249"/>
      <c r="L1601" s="249"/>
      <c r="M1601" s="249" t="s">
        <v>2125</v>
      </c>
    </row>
    <row r="1602" spans="1:13" ht="20.100000000000001" customHeight="1">
      <c r="A1602" s="248"/>
      <c r="B1602" s="248" t="s">
        <v>5489</v>
      </c>
      <c r="C1602" s="248" t="s">
        <v>4012</v>
      </c>
      <c r="D1602" s="248"/>
      <c r="E1602" s="248"/>
      <c r="F1602" s="248"/>
      <c r="G1602" s="248" t="s">
        <v>2126</v>
      </c>
      <c r="H1602" s="248"/>
      <c r="I1602" s="248"/>
      <c r="J1602" s="248"/>
      <c r="K1602" s="248"/>
      <c r="L1602" s="248"/>
      <c r="M1602" s="248" t="s">
        <v>2127</v>
      </c>
    </row>
    <row r="1603" spans="1:13" ht="20.100000000000001" customHeight="1">
      <c r="A1603" s="248"/>
      <c r="B1603" s="248" t="s">
        <v>5490</v>
      </c>
      <c r="C1603" s="248" t="s">
        <v>4016</v>
      </c>
      <c r="D1603" s="248"/>
      <c r="E1603" s="248"/>
      <c r="F1603" s="248"/>
      <c r="G1603" s="248" t="s">
        <v>2128</v>
      </c>
      <c r="H1603" s="248"/>
      <c r="I1603" s="248"/>
      <c r="J1603" s="248"/>
      <c r="K1603" s="248"/>
      <c r="L1603" s="248"/>
      <c r="M1603" s="248" t="s">
        <v>2129</v>
      </c>
    </row>
    <row r="1604" spans="1:13" ht="20.100000000000001" customHeight="1">
      <c r="A1604" s="248"/>
      <c r="B1604" s="248" t="s">
        <v>5491</v>
      </c>
      <c r="C1604" s="248" t="s">
        <v>4003</v>
      </c>
      <c r="D1604" s="248"/>
      <c r="E1604" s="248"/>
      <c r="F1604" s="248"/>
      <c r="G1604" s="248" t="s">
        <v>3534</v>
      </c>
      <c r="H1604" s="248"/>
      <c r="I1604" s="248"/>
      <c r="J1604" s="248"/>
      <c r="K1604" s="248"/>
      <c r="L1604" s="248"/>
      <c r="M1604" s="248" t="s">
        <v>3535</v>
      </c>
    </row>
    <row r="1605" spans="1:13" ht="20.100000000000001" customHeight="1">
      <c r="A1605" s="248"/>
      <c r="B1605" s="248" t="s">
        <v>5492</v>
      </c>
      <c r="C1605" s="248" t="s">
        <v>4025</v>
      </c>
      <c r="D1605" s="248"/>
      <c r="E1605" s="248"/>
      <c r="F1605" s="248"/>
      <c r="G1605" s="248" t="s">
        <v>3733</v>
      </c>
      <c r="H1605" s="248"/>
      <c r="I1605" s="248"/>
      <c r="J1605" s="248"/>
      <c r="K1605" s="248"/>
      <c r="L1605" s="248"/>
      <c r="M1605" s="248" t="s">
        <v>2130</v>
      </c>
    </row>
    <row r="1606" spans="1:13" ht="20.100000000000001" customHeight="1">
      <c r="A1606" s="248"/>
      <c r="B1606" s="248" t="s">
        <v>5493</v>
      </c>
      <c r="C1606" s="248" t="s">
        <v>4012</v>
      </c>
      <c r="D1606" s="248"/>
      <c r="E1606" s="248"/>
      <c r="F1606" s="248"/>
      <c r="G1606" s="248" t="s">
        <v>3966</v>
      </c>
      <c r="H1606" s="248"/>
      <c r="I1606" s="248"/>
      <c r="J1606" s="248"/>
      <c r="K1606" s="248"/>
      <c r="L1606" s="248"/>
      <c r="M1606" s="248" t="s">
        <v>3967</v>
      </c>
    </row>
    <row r="1607" spans="1:13" ht="20.100000000000001" customHeight="1">
      <c r="A1607" s="248"/>
      <c r="B1607" s="248" t="s">
        <v>5494</v>
      </c>
      <c r="C1607" s="248" t="s">
        <v>4036</v>
      </c>
      <c r="D1607" s="248"/>
      <c r="E1607" s="248"/>
      <c r="F1607" s="248"/>
      <c r="G1607" s="248" t="s">
        <v>2131</v>
      </c>
      <c r="H1607" s="248"/>
      <c r="I1607" s="248"/>
      <c r="J1607" s="248"/>
      <c r="K1607" s="248"/>
      <c r="L1607" s="248"/>
      <c r="M1607" s="248" t="s">
        <v>2132</v>
      </c>
    </row>
    <row r="1608" spans="1:13" ht="20.100000000000001" customHeight="1">
      <c r="A1608" s="248"/>
      <c r="B1608" s="248" t="s">
        <v>5495</v>
      </c>
      <c r="C1608" s="248" t="s">
        <v>4008</v>
      </c>
      <c r="D1608" s="248"/>
      <c r="E1608" s="248"/>
      <c r="F1608" s="248"/>
      <c r="G1608" s="248" t="s">
        <v>2133</v>
      </c>
      <c r="H1608" s="248"/>
      <c r="I1608" s="248"/>
      <c r="J1608" s="248"/>
      <c r="K1608" s="248"/>
      <c r="L1608" s="248"/>
      <c r="M1608" s="248" t="s">
        <v>2134</v>
      </c>
    </row>
    <row r="1609" spans="1:13" ht="20.100000000000001" customHeight="1">
      <c r="A1609" s="248"/>
      <c r="B1609" s="248" t="s">
        <v>5496</v>
      </c>
      <c r="C1609" s="248" t="s">
        <v>4016</v>
      </c>
      <c r="D1609" s="248"/>
      <c r="E1609" s="248"/>
      <c r="F1609" s="248"/>
      <c r="G1609" s="248" t="s">
        <v>3968</v>
      </c>
      <c r="H1609" s="248"/>
      <c r="I1609" s="248"/>
      <c r="J1609" s="248"/>
      <c r="K1609" s="248"/>
      <c r="L1609" s="248"/>
      <c r="M1609" s="248" t="s">
        <v>3969</v>
      </c>
    </row>
    <row r="1610" spans="1:13" ht="20.100000000000001" customHeight="1">
      <c r="A1610" s="248"/>
      <c r="B1610" s="248" t="s">
        <v>5497</v>
      </c>
      <c r="C1610" s="248" t="s">
        <v>4008</v>
      </c>
      <c r="D1610" s="248"/>
      <c r="E1610" s="248"/>
      <c r="F1610" s="248"/>
      <c r="G1610" s="248" t="s">
        <v>2135</v>
      </c>
      <c r="H1610" s="248"/>
      <c r="I1610" s="248"/>
      <c r="J1610" s="248"/>
      <c r="K1610" s="248"/>
      <c r="L1610" s="248"/>
      <c r="M1610" s="248" t="s">
        <v>2136</v>
      </c>
    </row>
    <row r="1611" spans="1:13" ht="20.100000000000001" customHeight="1">
      <c r="A1611" s="248"/>
      <c r="B1611" s="248" t="s">
        <v>5498</v>
      </c>
      <c r="C1611" s="248" t="s">
        <v>4030</v>
      </c>
      <c r="D1611" s="248"/>
      <c r="E1611" s="248"/>
      <c r="F1611" s="248"/>
      <c r="G1611" s="248" t="s">
        <v>2137</v>
      </c>
      <c r="H1611" s="248"/>
      <c r="I1611" s="248"/>
      <c r="J1611" s="248"/>
      <c r="K1611" s="248"/>
      <c r="L1611" s="248"/>
      <c r="M1611" s="248" t="s">
        <v>2138</v>
      </c>
    </row>
    <row r="1612" spans="1:13" ht="20.100000000000001" customHeight="1">
      <c r="A1612" s="248"/>
      <c r="B1612" s="248" t="s">
        <v>5499</v>
      </c>
      <c r="C1612" s="248" t="s">
        <v>4012</v>
      </c>
      <c r="D1612" s="248"/>
      <c r="E1612" s="248"/>
      <c r="F1612" s="248"/>
      <c r="G1612" s="248" t="s">
        <v>2139</v>
      </c>
      <c r="H1612" s="248"/>
      <c r="I1612" s="248"/>
      <c r="J1612" s="248"/>
      <c r="K1612" s="248"/>
      <c r="L1612" s="248"/>
      <c r="M1612" s="248" t="s">
        <v>2140</v>
      </c>
    </row>
    <row r="1613" spans="1:13" ht="20.100000000000001" customHeight="1">
      <c r="A1613" s="248"/>
      <c r="B1613" s="248" t="s">
        <v>5500</v>
      </c>
      <c r="C1613" s="248" t="s">
        <v>4012</v>
      </c>
      <c r="D1613" s="248"/>
      <c r="E1613" s="248"/>
      <c r="F1613" s="248"/>
      <c r="G1613" s="248" t="s">
        <v>2141</v>
      </c>
      <c r="H1613" s="248"/>
      <c r="I1613" s="248"/>
      <c r="J1613" s="248"/>
      <c r="K1613" s="248"/>
      <c r="L1613" s="248"/>
      <c r="M1613" s="248" t="s">
        <v>2142</v>
      </c>
    </row>
    <row r="1614" spans="1:13" ht="20.100000000000001" customHeight="1">
      <c r="A1614" s="248"/>
      <c r="B1614" s="248" t="s">
        <v>5501</v>
      </c>
      <c r="C1614" s="248" t="s">
        <v>4003</v>
      </c>
      <c r="D1614" s="248"/>
      <c r="E1614" s="248"/>
      <c r="F1614" s="248"/>
      <c r="G1614" s="248" t="s">
        <v>2143</v>
      </c>
      <c r="H1614" s="248"/>
      <c r="I1614" s="248"/>
      <c r="J1614" s="248"/>
      <c r="K1614" s="248"/>
      <c r="L1614" s="248"/>
      <c r="M1614" s="248" t="s">
        <v>2144</v>
      </c>
    </row>
    <row r="1615" spans="1:13" ht="20.100000000000001" customHeight="1">
      <c r="A1615" s="248"/>
      <c r="B1615" s="248" t="s">
        <v>6635</v>
      </c>
      <c r="C1615" s="248" t="s">
        <v>4005</v>
      </c>
      <c r="D1615" s="248"/>
      <c r="E1615" s="248"/>
      <c r="F1615" s="248"/>
      <c r="G1615" s="248" t="s">
        <v>6636</v>
      </c>
      <c r="H1615" s="248"/>
      <c r="I1615" s="248"/>
      <c r="J1615" s="248"/>
      <c r="K1615" s="248"/>
      <c r="L1615" s="248"/>
      <c r="M1615" s="248" t="s">
        <v>6637</v>
      </c>
    </row>
    <row r="1616" spans="1:13" ht="20.100000000000001" customHeight="1">
      <c r="A1616" s="248"/>
      <c r="B1616" s="248" t="s">
        <v>6638</v>
      </c>
      <c r="C1616" s="248" t="s">
        <v>4008</v>
      </c>
      <c r="D1616" s="248"/>
      <c r="E1616" s="248"/>
      <c r="F1616" s="248"/>
      <c r="G1616" s="248" t="s">
        <v>6639</v>
      </c>
      <c r="H1616" s="248"/>
      <c r="I1616" s="248"/>
      <c r="J1616" s="248"/>
      <c r="K1616" s="248"/>
      <c r="L1616" s="248"/>
      <c r="M1616" s="248" t="s">
        <v>6637</v>
      </c>
    </row>
    <row r="1617" spans="1:13" ht="20.100000000000001" customHeight="1">
      <c r="A1617" s="248"/>
      <c r="B1617" s="248" t="s">
        <v>5502</v>
      </c>
      <c r="C1617" s="248" t="s">
        <v>4005</v>
      </c>
      <c r="D1617" s="248"/>
      <c r="E1617" s="248"/>
      <c r="F1617" s="248"/>
      <c r="G1617" s="248" t="s">
        <v>2145</v>
      </c>
      <c r="H1617" s="248"/>
      <c r="I1617" s="248"/>
      <c r="J1617" s="248"/>
      <c r="K1617" s="248"/>
      <c r="L1617" s="248"/>
      <c r="M1617" s="248" t="s">
        <v>2146</v>
      </c>
    </row>
    <row r="1618" spans="1:13" ht="20.100000000000001" customHeight="1">
      <c r="A1618" s="248"/>
      <c r="B1618" s="248" t="s">
        <v>5503</v>
      </c>
      <c r="C1618" s="248" t="s">
        <v>4016</v>
      </c>
      <c r="D1618" s="248"/>
      <c r="E1618" s="248"/>
      <c r="F1618" s="248"/>
      <c r="G1618" s="248" t="s">
        <v>2147</v>
      </c>
      <c r="H1618" s="248"/>
      <c r="I1618" s="248"/>
      <c r="J1618" s="248"/>
      <c r="K1618" s="248"/>
      <c r="L1618" s="248"/>
      <c r="M1618" s="248" t="s">
        <v>2148</v>
      </c>
    </row>
    <row r="1619" spans="1:13" ht="20.100000000000001" customHeight="1">
      <c r="A1619" s="248"/>
      <c r="B1619" s="248" t="s">
        <v>5504</v>
      </c>
      <c r="C1619" s="248" t="s">
        <v>4036</v>
      </c>
      <c r="D1619" s="248"/>
      <c r="E1619" s="248"/>
      <c r="F1619" s="248"/>
      <c r="G1619" s="248" t="s">
        <v>3998</v>
      </c>
      <c r="H1619" s="248"/>
      <c r="I1619" s="248"/>
      <c r="J1619" s="248"/>
      <c r="K1619" s="248"/>
      <c r="L1619" s="248"/>
      <c r="M1619" s="248" t="s">
        <v>3999</v>
      </c>
    </row>
    <row r="1620" spans="1:13" ht="20.100000000000001" customHeight="1">
      <c r="A1620" s="248"/>
      <c r="B1620" s="248" t="s">
        <v>5505</v>
      </c>
      <c r="C1620" s="248" t="s">
        <v>4016</v>
      </c>
      <c r="D1620" s="248"/>
      <c r="E1620" s="248"/>
      <c r="F1620" s="248"/>
      <c r="G1620" s="248" t="s">
        <v>2149</v>
      </c>
      <c r="H1620" s="248"/>
      <c r="I1620" s="248"/>
      <c r="J1620" s="248"/>
      <c r="K1620" s="248"/>
      <c r="L1620" s="248"/>
      <c r="M1620" s="248" t="s">
        <v>2150</v>
      </c>
    </row>
    <row r="1621" spans="1:13" ht="20.100000000000001" customHeight="1">
      <c r="A1621" s="248"/>
      <c r="B1621" s="248" t="s">
        <v>5506</v>
      </c>
      <c r="C1621" s="248" t="s">
        <v>4025</v>
      </c>
      <c r="D1621" s="248"/>
      <c r="E1621" s="248"/>
      <c r="F1621" s="248"/>
      <c r="G1621" s="248" t="s">
        <v>2151</v>
      </c>
      <c r="H1621" s="248"/>
      <c r="I1621" s="248"/>
      <c r="J1621" s="248"/>
      <c r="K1621" s="248"/>
      <c r="L1621" s="248"/>
      <c r="M1621" s="248" t="s">
        <v>2152</v>
      </c>
    </row>
    <row r="1622" spans="1:13" ht="20.100000000000001" customHeight="1">
      <c r="A1622" s="248"/>
      <c r="B1622" s="248" t="s">
        <v>5507</v>
      </c>
      <c r="C1622" s="248" t="s">
        <v>4014</v>
      </c>
      <c r="D1622" s="248"/>
      <c r="E1622" s="248"/>
      <c r="F1622" s="248"/>
      <c r="G1622" s="248" t="s">
        <v>2153</v>
      </c>
      <c r="H1622" s="248"/>
      <c r="I1622" s="248"/>
      <c r="J1622" s="248"/>
      <c r="K1622" s="248"/>
      <c r="L1622" s="248"/>
      <c r="M1622" s="248" t="s">
        <v>2154</v>
      </c>
    </row>
    <row r="1623" spans="1:13" ht="20.100000000000001" customHeight="1">
      <c r="A1623" s="248"/>
      <c r="B1623" s="248" t="s">
        <v>5508</v>
      </c>
      <c r="C1623" s="248" t="s">
        <v>4030</v>
      </c>
      <c r="D1623" s="248"/>
      <c r="E1623" s="248"/>
      <c r="F1623" s="248"/>
      <c r="G1623" s="248" t="s">
        <v>2155</v>
      </c>
      <c r="H1623" s="248"/>
      <c r="I1623" s="248"/>
      <c r="J1623" s="248"/>
      <c r="K1623" s="248"/>
      <c r="L1623" s="248"/>
      <c r="M1623" s="248" t="s">
        <v>2156</v>
      </c>
    </row>
    <row r="1624" spans="1:13" ht="20.100000000000001" customHeight="1">
      <c r="A1624" s="248"/>
      <c r="B1624" s="248" t="s">
        <v>5509</v>
      </c>
      <c r="C1624" s="248" t="s">
        <v>4174</v>
      </c>
      <c r="D1624" s="248"/>
      <c r="E1624" s="248"/>
      <c r="F1624" s="248"/>
      <c r="G1624" s="248" t="s">
        <v>2157</v>
      </c>
      <c r="H1624" s="248"/>
      <c r="I1624" s="248"/>
      <c r="J1624" s="248"/>
      <c r="K1624" s="248"/>
      <c r="L1624" s="248"/>
      <c r="M1624" s="248" t="s">
        <v>2158</v>
      </c>
    </row>
    <row r="1625" spans="1:13" ht="20.100000000000001" customHeight="1">
      <c r="A1625" s="248"/>
      <c r="B1625" s="248" t="s">
        <v>5510</v>
      </c>
      <c r="C1625" s="248" t="s">
        <v>4008</v>
      </c>
      <c r="D1625" s="248"/>
      <c r="E1625" s="248"/>
      <c r="F1625" s="248"/>
      <c r="G1625" s="248" t="s">
        <v>2159</v>
      </c>
      <c r="H1625" s="248"/>
      <c r="I1625" s="248"/>
      <c r="J1625" s="248"/>
      <c r="K1625" s="248"/>
      <c r="L1625" s="248"/>
      <c r="M1625" s="248" t="s">
        <v>2160</v>
      </c>
    </row>
    <row r="1626" spans="1:13" ht="20.100000000000001" customHeight="1">
      <c r="A1626" s="248"/>
      <c r="B1626" s="248" t="s">
        <v>5511</v>
      </c>
      <c r="C1626" s="248" t="s">
        <v>4025</v>
      </c>
      <c r="D1626" s="248"/>
      <c r="E1626" s="248"/>
      <c r="F1626" s="248"/>
      <c r="G1626" s="248" t="s">
        <v>2161</v>
      </c>
      <c r="H1626" s="248"/>
      <c r="I1626" s="248"/>
      <c r="J1626" s="248"/>
      <c r="K1626" s="248"/>
      <c r="L1626" s="248"/>
      <c r="M1626" s="248" t="s">
        <v>2162</v>
      </c>
    </row>
    <row r="1627" spans="1:13" ht="20.100000000000001" customHeight="1">
      <c r="A1627" s="248"/>
      <c r="B1627" s="248" t="s">
        <v>5512</v>
      </c>
      <c r="C1627" s="248" t="s">
        <v>4003</v>
      </c>
      <c r="D1627" s="248"/>
      <c r="E1627" s="248"/>
      <c r="F1627" s="248"/>
      <c r="G1627" s="248" t="s">
        <v>2163</v>
      </c>
      <c r="H1627" s="248"/>
      <c r="I1627" s="248"/>
      <c r="J1627" s="248"/>
      <c r="K1627" s="248"/>
      <c r="L1627" s="248"/>
      <c r="M1627" s="248" t="s">
        <v>3550</v>
      </c>
    </row>
    <row r="1628" spans="1:13" ht="20.100000000000001" customHeight="1">
      <c r="A1628" s="248"/>
      <c r="B1628" s="248" t="s">
        <v>5513</v>
      </c>
      <c r="C1628" s="248" t="s">
        <v>4016</v>
      </c>
      <c r="D1628" s="248"/>
      <c r="E1628" s="248"/>
      <c r="F1628" s="248"/>
      <c r="G1628" s="248" t="s">
        <v>2164</v>
      </c>
      <c r="H1628" s="248"/>
      <c r="I1628" s="248"/>
      <c r="J1628" s="248"/>
      <c r="K1628" s="248"/>
      <c r="L1628" s="248"/>
      <c r="M1628" s="248" t="s">
        <v>2165</v>
      </c>
    </row>
    <row r="1629" spans="1:13" ht="20.100000000000001" customHeight="1">
      <c r="A1629" s="248"/>
      <c r="B1629" s="248" t="s">
        <v>5514</v>
      </c>
      <c r="C1629" s="248" t="s">
        <v>5515</v>
      </c>
      <c r="D1629" s="248"/>
      <c r="E1629" s="248"/>
      <c r="F1629" s="248"/>
      <c r="G1629" s="248" t="s">
        <v>2166</v>
      </c>
      <c r="H1629" s="248"/>
      <c r="I1629" s="248"/>
      <c r="J1629" s="248"/>
      <c r="K1629" s="248"/>
      <c r="L1629" s="248"/>
      <c r="M1629" s="248" t="s">
        <v>2167</v>
      </c>
    </row>
    <row r="1630" spans="1:13" ht="20.100000000000001" customHeight="1">
      <c r="A1630" s="248"/>
      <c r="B1630" s="248" t="s">
        <v>5516</v>
      </c>
      <c r="C1630" s="248" t="s">
        <v>5515</v>
      </c>
      <c r="D1630" s="248"/>
      <c r="E1630" s="248"/>
      <c r="F1630" s="248"/>
      <c r="G1630" s="248" t="s">
        <v>3325</v>
      </c>
      <c r="H1630" s="248"/>
      <c r="I1630" s="248"/>
      <c r="J1630" s="248"/>
      <c r="K1630" s="248"/>
      <c r="L1630" s="248"/>
      <c r="M1630" s="248" t="s">
        <v>2167</v>
      </c>
    </row>
    <row r="1631" spans="1:13" ht="20.100000000000001" customHeight="1">
      <c r="A1631" s="248"/>
      <c r="B1631" s="248" t="s">
        <v>5517</v>
      </c>
      <c r="C1631" s="248" t="s">
        <v>4014</v>
      </c>
      <c r="D1631" s="248"/>
      <c r="E1631" s="248"/>
      <c r="F1631" s="248"/>
      <c r="G1631" s="248" t="s">
        <v>2168</v>
      </c>
      <c r="H1631" s="248"/>
      <c r="I1631" s="248"/>
      <c r="J1631" s="248"/>
      <c r="K1631" s="248"/>
      <c r="L1631" s="248"/>
      <c r="M1631" s="248" t="s">
        <v>3550</v>
      </c>
    </row>
    <row r="1632" spans="1:13" ht="20.100000000000001" customHeight="1">
      <c r="A1632" s="248"/>
      <c r="B1632" s="248" t="s">
        <v>5518</v>
      </c>
      <c r="C1632" s="248" t="s">
        <v>4036</v>
      </c>
      <c r="D1632" s="248"/>
      <c r="E1632" s="248"/>
      <c r="F1632" s="248"/>
      <c r="G1632" s="248" t="s">
        <v>2169</v>
      </c>
      <c r="H1632" s="248"/>
      <c r="I1632" s="248"/>
      <c r="J1632" s="248"/>
      <c r="K1632" s="248"/>
      <c r="L1632" s="248"/>
      <c r="M1632" s="248" t="s">
        <v>2170</v>
      </c>
    </row>
    <row r="1633" spans="1:13" ht="20.100000000000001" customHeight="1">
      <c r="A1633" s="248"/>
      <c r="B1633" s="248" t="s">
        <v>5519</v>
      </c>
      <c r="C1633" s="248" t="s">
        <v>4014</v>
      </c>
      <c r="D1633" s="248"/>
      <c r="E1633" s="248"/>
      <c r="F1633" s="248"/>
      <c r="G1633" s="248" t="s">
        <v>2171</v>
      </c>
      <c r="H1633" s="248"/>
      <c r="I1633" s="248"/>
      <c r="J1633" s="248"/>
      <c r="K1633" s="248"/>
      <c r="L1633" s="248"/>
      <c r="M1633" s="248" t="s">
        <v>2172</v>
      </c>
    </row>
    <row r="1634" spans="1:13" ht="20.100000000000001" customHeight="1">
      <c r="A1634" s="248"/>
      <c r="B1634" s="248" t="s">
        <v>5520</v>
      </c>
      <c r="C1634" s="248" t="s">
        <v>4030</v>
      </c>
      <c r="D1634" s="248"/>
      <c r="E1634" s="248"/>
      <c r="F1634" s="248"/>
      <c r="G1634" s="248" t="s">
        <v>2173</v>
      </c>
      <c r="H1634" s="248"/>
      <c r="I1634" s="248"/>
      <c r="J1634" s="248"/>
      <c r="K1634" s="248"/>
      <c r="L1634" s="248"/>
      <c r="M1634" s="248" t="s">
        <v>2174</v>
      </c>
    </row>
    <row r="1635" spans="1:13" ht="20.100000000000001" customHeight="1">
      <c r="A1635" s="248"/>
      <c r="B1635" s="248" t="s">
        <v>5521</v>
      </c>
      <c r="C1635" s="248" t="s">
        <v>4008</v>
      </c>
      <c r="D1635" s="248"/>
      <c r="E1635" s="248"/>
      <c r="F1635" s="248"/>
      <c r="G1635" s="248" t="s">
        <v>3175</v>
      </c>
      <c r="H1635" s="248"/>
      <c r="I1635" s="248"/>
      <c r="J1635" s="248"/>
      <c r="K1635" s="248"/>
      <c r="L1635" s="248"/>
      <c r="M1635" s="248" t="s">
        <v>3176</v>
      </c>
    </row>
    <row r="1636" spans="1:13" ht="20.100000000000001" customHeight="1">
      <c r="A1636" s="248"/>
      <c r="B1636" s="248" t="s">
        <v>5522</v>
      </c>
      <c r="C1636" s="248" t="s">
        <v>4036</v>
      </c>
      <c r="D1636" s="248"/>
      <c r="E1636" s="248"/>
      <c r="F1636" s="248"/>
      <c r="G1636" s="248" t="s">
        <v>2175</v>
      </c>
      <c r="H1636" s="248"/>
      <c r="I1636" s="248"/>
      <c r="J1636" s="248"/>
      <c r="K1636" s="248"/>
      <c r="L1636" s="248"/>
      <c r="M1636" s="248" t="s">
        <v>2176</v>
      </c>
    </row>
    <row r="1637" spans="1:13" ht="20.100000000000001" customHeight="1">
      <c r="A1637" s="248"/>
      <c r="B1637" s="248" t="s">
        <v>5523</v>
      </c>
      <c r="C1637" s="248" t="s">
        <v>4012</v>
      </c>
      <c r="D1637" s="248"/>
      <c r="E1637" s="248"/>
      <c r="F1637" s="248"/>
      <c r="G1637" s="248" t="s">
        <v>2177</v>
      </c>
      <c r="H1637" s="248"/>
      <c r="I1637" s="248"/>
      <c r="J1637" s="248"/>
      <c r="K1637" s="248"/>
      <c r="L1637" s="248"/>
      <c r="M1637" s="248" t="s">
        <v>3550</v>
      </c>
    </row>
    <row r="1638" spans="1:13" ht="20.100000000000001" customHeight="1">
      <c r="A1638" s="248"/>
      <c r="B1638" s="248" t="s">
        <v>5524</v>
      </c>
      <c r="C1638" s="248" t="s">
        <v>4008</v>
      </c>
      <c r="D1638" s="248"/>
      <c r="E1638" s="248"/>
      <c r="F1638" s="248"/>
      <c r="G1638" s="248" t="s">
        <v>3583</v>
      </c>
      <c r="H1638" s="248"/>
      <c r="I1638" s="248"/>
      <c r="J1638" s="248"/>
      <c r="K1638" s="248"/>
      <c r="L1638" s="248"/>
      <c r="M1638" s="248" t="s">
        <v>3584</v>
      </c>
    </row>
    <row r="1639" spans="1:13" ht="20.100000000000001" customHeight="1">
      <c r="A1639" s="248"/>
      <c r="B1639" s="248" t="s">
        <v>5525</v>
      </c>
      <c r="C1639" s="248" t="s">
        <v>4057</v>
      </c>
      <c r="D1639" s="248"/>
      <c r="E1639" s="248"/>
      <c r="F1639" s="248"/>
      <c r="G1639" s="248" t="s">
        <v>2178</v>
      </c>
      <c r="H1639" s="248"/>
      <c r="I1639" s="248"/>
      <c r="J1639" s="248"/>
      <c r="K1639" s="248"/>
      <c r="L1639" s="248"/>
      <c r="M1639" s="248" t="s">
        <v>3550</v>
      </c>
    </row>
    <row r="1640" spans="1:13" ht="20.100000000000001" customHeight="1">
      <c r="A1640" s="248"/>
      <c r="B1640" s="248" t="s">
        <v>5526</v>
      </c>
      <c r="C1640" s="248" t="s">
        <v>4036</v>
      </c>
      <c r="D1640" s="248"/>
      <c r="E1640" s="248"/>
      <c r="F1640" s="248"/>
      <c r="G1640" s="248" t="s">
        <v>3097</v>
      </c>
      <c r="H1640" s="248"/>
      <c r="I1640" s="248"/>
      <c r="J1640" s="248"/>
      <c r="K1640" s="248"/>
      <c r="L1640" s="248"/>
      <c r="M1640" s="248" t="s">
        <v>3098</v>
      </c>
    </row>
    <row r="1641" spans="1:13" ht="20.100000000000001" customHeight="1">
      <c r="A1641" s="248"/>
      <c r="B1641" s="248" t="s">
        <v>5527</v>
      </c>
      <c r="C1641" s="248" t="s">
        <v>4036</v>
      </c>
      <c r="D1641" s="248"/>
      <c r="E1641" s="248"/>
      <c r="F1641" s="248"/>
      <c r="G1641" s="248" t="s">
        <v>2182</v>
      </c>
      <c r="H1641" s="248"/>
      <c r="I1641" s="248"/>
      <c r="J1641" s="248"/>
      <c r="K1641" s="248"/>
      <c r="L1641" s="248"/>
      <c r="M1641" s="248" t="s">
        <v>2181</v>
      </c>
    </row>
    <row r="1642" spans="1:13" ht="20.100000000000001" customHeight="1">
      <c r="A1642" s="248"/>
      <c r="B1642" s="248" t="s">
        <v>5527</v>
      </c>
      <c r="C1642" s="248" t="s">
        <v>4016</v>
      </c>
      <c r="D1642" s="248"/>
      <c r="E1642" s="248"/>
      <c r="F1642" s="248"/>
      <c r="G1642" s="248" t="s">
        <v>2179</v>
      </c>
      <c r="H1642" s="248"/>
      <c r="I1642" s="248"/>
      <c r="J1642" s="248"/>
      <c r="K1642" s="248"/>
      <c r="L1642" s="248"/>
      <c r="M1642" s="248" t="s">
        <v>2180</v>
      </c>
    </row>
    <row r="1643" spans="1:13" ht="20.100000000000001" customHeight="1">
      <c r="A1643" s="248"/>
      <c r="B1643" s="248" t="s">
        <v>5528</v>
      </c>
      <c r="C1643" s="248" t="s">
        <v>4016</v>
      </c>
      <c r="D1643" s="248"/>
      <c r="E1643" s="248"/>
      <c r="F1643" s="248"/>
      <c r="G1643" s="248" t="s">
        <v>2183</v>
      </c>
      <c r="H1643" s="248"/>
      <c r="I1643" s="248"/>
      <c r="J1643" s="248"/>
      <c r="K1643" s="248"/>
      <c r="L1643" s="248"/>
      <c r="M1643" s="248" t="s">
        <v>3550</v>
      </c>
    </row>
    <row r="1644" spans="1:13" ht="20.100000000000001" customHeight="1">
      <c r="A1644" s="248"/>
      <c r="B1644" s="248" t="s">
        <v>5529</v>
      </c>
      <c r="C1644" s="248" t="s">
        <v>4016</v>
      </c>
      <c r="D1644" s="248"/>
      <c r="E1644" s="248"/>
      <c r="F1644" s="248"/>
      <c r="G1644" s="248" t="s">
        <v>2184</v>
      </c>
      <c r="H1644" s="248"/>
      <c r="I1644" s="248"/>
      <c r="J1644" s="248"/>
      <c r="K1644" s="248"/>
      <c r="L1644" s="248"/>
      <c r="M1644" s="248" t="s">
        <v>2185</v>
      </c>
    </row>
    <row r="1645" spans="1:13" ht="20.100000000000001" customHeight="1">
      <c r="A1645" s="248"/>
      <c r="B1645" s="248" t="s">
        <v>5530</v>
      </c>
      <c r="C1645" s="248" t="s">
        <v>4014</v>
      </c>
      <c r="D1645" s="248"/>
      <c r="E1645" s="248"/>
      <c r="F1645" s="248"/>
      <c r="G1645" s="248" t="s">
        <v>2186</v>
      </c>
      <c r="H1645" s="248"/>
      <c r="I1645" s="248"/>
      <c r="J1645" s="248"/>
      <c r="K1645" s="248"/>
      <c r="L1645" s="248"/>
      <c r="M1645" s="248" t="s">
        <v>2187</v>
      </c>
    </row>
    <row r="1646" spans="1:13" ht="20.100000000000001" customHeight="1">
      <c r="A1646" s="248"/>
      <c r="B1646" s="248" t="s">
        <v>5531</v>
      </c>
      <c r="C1646" s="248" t="s">
        <v>4036</v>
      </c>
      <c r="D1646" s="248"/>
      <c r="E1646" s="248"/>
      <c r="F1646" s="248"/>
      <c r="G1646" s="248" t="s">
        <v>2984</v>
      </c>
      <c r="H1646" s="248"/>
      <c r="I1646" s="248"/>
      <c r="J1646" s="248"/>
      <c r="K1646" s="248"/>
      <c r="L1646" s="248"/>
      <c r="M1646" s="248" t="s">
        <v>2985</v>
      </c>
    </row>
    <row r="1647" spans="1:13" ht="20.100000000000001" customHeight="1">
      <c r="A1647" s="248"/>
      <c r="B1647" s="248" t="s">
        <v>5532</v>
      </c>
      <c r="C1647" s="248" t="s">
        <v>4008</v>
      </c>
      <c r="D1647" s="248"/>
      <c r="E1647" s="248"/>
      <c r="F1647" s="248"/>
      <c r="G1647" s="248" t="s">
        <v>3860</v>
      </c>
      <c r="H1647" s="248"/>
      <c r="I1647" s="248"/>
      <c r="J1647" s="248"/>
      <c r="K1647" s="248"/>
      <c r="L1647" s="248"/>
      <c r="M1647" s="248" t="s">
        <v>3550</v>
      </c>
    </row>
    <row r="1648" spans="1:13" ht="20.100000000000001" customHeight="1">
      <c r="A1648" s="248"/>
      <c r="B1648" s="248" t="s">
        <v>5533</v>
      </c>
      <c r="C1648" s="248" t="s">
        <v>4030</v>
      </c>
      <c r="D1648" s="248"/>
      <c r="E1648" s="248"/>
      <c r="F1648" s="248"/>
      <c r="G1648" s="248" t="s">
        <v>2188</v>
      </c>
      <c r="H1648" s="248"/>
      <c r="I1648" s="248"/>
      <c r="J1648" s="248"/>
      <c r="K1648" s="248"/>
      <c r="L1648" s="248"/>
      <c r="M1648" s="248" t="s">
        <v>3550</v>
      </c>
    </row>
    <row r="1649" spans="1:13" ht="20.100000000000001" customHeight="1">
      <c r="A1649" s="248"/>
      <c r="B1649" s="248" t="s">
        <v>5534</v>
      </c>
      <c r="C1649" s="248" t="s">
        <v>4012</v>
      </c>
      <c r="D1649" s="248"/>
      <c r="E1649" s="248"/>
      <c r="F1649" s="248"/>
      <c r="G1649" s="248" t="s">
        <v>2189</v>
      </c>
      <c r="H1649" s="248"/>
      <c r="I1649" s="248"/>
      <c r="J1649" s="248"/>
      <c r="K1649" s="248"/>
      <c r="L1649" s="248"/>
      <c r="M1649" s="248" t="s">
        <v>2190</v>
      </c>
    </row>
    <row r="1650" spans="1:13" ht="20.100000000000001" customHeight="1">
      <c r="A1650" s="248"/>
      <c r="B1650" s="248" t="s">
        <v>5535</v>
      </c>
      <c r="C1650" s="248" t="s">
        <v>4008</v>
      </c>
      <c r="D1650" s="248"/>
      <c r="E1650" s="248"/>
      <c r="F1650" s="248"/>
      <c r="G1650" s="248" t="s">
        <v>3511</v>
      </c>
      <c r="H1650" s="248"/>
      <c r="I1650" s="248"/>
      <c r="J1650" s="248"/>
      <c r="K1650" s="248"/>
      <c r="L1650" s="248"/>
      <c r="M1650" s="248" t="s">
        <v>3512</v>
      </c>
    </row>
    <row r="1651" spans="1:13" ht="20.100000000000001" customHeight="1">
      <c r="A1651" s="248"/>
      <c r="B1651" s="248" t="s">
        <v>5536</v>
      </c>
      <c r="C1651" s="248" t="s">
        <v>4012</v>
      </c>
      <c r="D1651" s="248"/>
      <c r="E1651" s="248"/>
      <c r="F1651" s="248"/>
      <c r="G1651" s="248" t="s">
        <v>2191</v>
      </c>
      <c r="H1651" s="248"/>
      <c r="I1651" s="248"/>
      <c r="J1651" s="248"/>
      <c r="K1651" s="248"/>
      <c r="L1651" s="248"/>
      <c r="M1651" s="248" t="s">
        <v>2192</v>
      </c>
    </row>
    <row r="1652" spans="1:13" ht="20.100000000000001" customHeight="1">
      <c r="A1652" s="248"/>
      <c r="B1652" s="248" t="s">
        <v>5537</v>
      </c>
      <c r="C1652" s="248" t="s">
        <v>4025</v>
      </c>
      <c r="D1652" s="248"/>
      <c r="E1652" s="248"/>
      <c r="F1652" s="248"/>
      <c r="G1652" s="248" t="s">
        <v>2193</v>
      </c>
      <c r="H1652" s="248"/>
      <c r="I1652" s="248"/>
      <c r="J1652" s="248"/>
      <c r="K1652" s="248"/>
      <c r="L1652" s="248"/>
      <c r="M1652" s="248" t="s">
        <v>2194</v>
      </c>
    </row>
    <row r="1653" spans="1:13" ht="20.100000000000001" customHeight="1">
      <c r="A1653" s="248"/>
      <c r="B1653" s="248" t="s">
        <v>5538</v>
      </c>
      <c r="C1653" s="248" t="s">
        <v>4036</v>
      </c>
      <c r="D1653" s="248"/>
      <c r="E1653" s="248"/>
      <c r="F1653" s="248"/>
      <c r="G1653" s="248" t="s">
        <v>3920</v>
      </c>
      <c r="H1653" s="248"/>
      <c r="I1653" s="248"/>
      <c r="J1653" s="248"/>
      <c r="K1653" s="248"/>
      <c r="L1653" s="248"/>
      <c r="M1653" s="248" t="s">
        <v>3921</v>
      </c>
    </row>
    <row r="1654" spans="1:13" ht="20.100000000000001" customHeight="1">
      <c r="A1654" s="248"/>
      <c r="B1654" s="248" t="s">
        <v>5539</v>
      </c>
      <c r="C1654" s="248" t="s">
        <v>4012</v>
      </c>
      <c r="D1654" s="248"/>
      <c r="E1654" s="248"/>
      <c r="F1654" s="248"/>
      <c r="G1654" s="248" t="s">
        <v>2195</v>
      </c>
      <c r="H1654" s="248"/>
      <c r="I1654" s="248"/>
      <c r="J1654" s="248"/>
      <c r="K1654" s="248"/>
      <c r="L1654" s="248"/>
      <c r="M1654" s="248" t="s">
        <v>2196</v>
      </c>
    </row>
    <row r="1655" spans="1:13" ht="20.100000000000001" customHeight="1">
      <c r="A1655" s="248"/>
      <c r="B1655" s="248" t="s">
        <v>5540</v>
      </c>
      <c r="C1655" s="248" t="s">
        <v>4016</v>
      </c>
      <c r="D1655" s="248"/>
      <c r="E1655" s="248"/>
      <c r="F1655" s="248"/>
      <c r="G1655" s="248" t="s">
        <v>2197</v>
      </c>
      <c r="H1655" s="248"/>
      <c r="I1655" s="248"/>
      <c r="J1655" s="248"/>
      <c r="K1655" s="248"/>
      <c r="L1655" s="248"/>
      <c r="M1655" s="248" t="s">
        <v>2046</v>
      </c>
    </row>
    <row r="1656" spans="1:13" ht="20.100000000000001" customHeight="1">
      <c r="A1656" s="248"/>
      <c r="B1656" s="248" t="s">
        <v>5541</v>
      </c>
      <c r="C1656" s="248" t="s">
        <v>4016</v>
      </c>
      <c r="D1656" s="248"/>
      <c r="E1656" s="248"/>
      <c r="F1656" s="248"/>
      <c r="G1656" s="248" t="s">
        <v>3585</v>
      </c>
      <c r="H1656" s="248"/>
      <c r="I1656" s="248"/>
      <c r="J1656" s="248"/>
      <c r="K1656" s="248"/>
      <c r="L1656" s="248"/>
      <c r="M1656" s="248" t="s">
        <v>3586</v>
      </c>
    </row>
    <row r="1657" spans="1:13" ht="20.100000000000001" customHeight="1">
      <c r="A1657" s="248"/>
      <c r="B1657" s="248" t="s">
        <v>5542</v>
      </c>
      <c r="C1657" s="248" t="s">
        <v>4036</v>
      </c>
      <c r="D1657" s="248"/>
      <c r="E1657" s="248"/>
      <c r="F1657" s="248"/>
      <c r="G1657" s="248" t="s">
        <v>2198</v>
      </c>
      <c r="H1657" s="248"/>
      <c r="I1657" s="248"/>
      <c r="J1657" s="248"/>
      <c r="K1657" s="248"/>
      <c r="L1657" s="248"/>
      <c r="M1657" s="248" t="s">
        <v>3550</v>
      </c>
    </row>
    <row r="1658" spans="1:13" ht="20.100000000000001" customHeight="1">
      <c r="A1658" s="248"/>
      <c r="B1658" s="248" t="s">
        <v>5543</v>
      </c>
      <c r="C1658" s="248" t="s">
        <v>4003</v>
      </c>
      <c r="D1658" s="248"/>
      <c r="E1658" s="248"/>
      <c r="F1658" s="248"/>
      <c r="G1658" s="248" t="s">
        <v>2199</v>
      </c>
      <c r="H1658" s="248"/>
      <c r="I1658" s="248"/>
      <c r="J1658" s="248"/>
      <c r="K1658" s="248"/>
      <c r="L1658" s="248"/>
      <c r="M1658" s="248" t="s">
        <v>2200</v>
      </c>
    </row>
    <row r="1659" spans="1:13" ht="20.100000000000001" customHeight="1">
      <c r="A1659" s="248"/>
      <c r="B1659" s="248" t="s">
        <v>5544</v>
      </c>
      <c r="C1659" s="248" t="s">
        <v>4008</v>
      </c>
      <c r="D1659" s="248"/>
      <c r="E1659" s="248"/>
      <c r="F1659" s="248"/>
      <c r="G1659" s="248" t="s">
        <v>3480</v>
      </c>
      <c r="H1659" s="248"/>
      <c r="I1659" s="248"/>
      <c r="J1659" s="248"/>
      <c r="K1659" s="248"/>
      <c r="L1659" s="248"/>
      <c r="M1659" s="248" t="s">
        <v>196</v>
      </c>
    </row>
    <row r="1660" spans="1:13" ht="20.100000000000001" customHeight="1">
      <c r="A1660" s="248"/>
      <c r="B1660" s="248" t="s">
        <v>6583</v>
      </c>
      <c r="C1660" s="248" t="s">
        <v>4008</v>
      </c>
      <c r="D1660" s="248"/>
      <c r="E1660" s="248"/>
      <c r="F1660" s="248"/>
      <c r="G1660" s="248" t="s">
        <v>6584</v>
      </c>
      <c r="H1660" s="248"/>
      <c r="I1660" s="248"/>
      <c r="J1660" s="248"/>
      <c r="K1660" s="248"/>
      <c r="L1660" s="248"/>
      <c r="M1660" s="248" t="s">
        <v>6585</v>
      </c>
    </row>
    <row r="1661" spans="1:13" ht="20.100000000000001" customHeight="1">
      <c r="A1661" s="248"/>
      <c r="B1661" s="248" t="s">
        <v>5545</v>
      </c>
      <c r="C1661" s="248" t="s">
        <v>4012</v>
      </c>
      <c r="D1661" s="248"/>
      <c r="E1661" s="248"/>
      <c r="F1661" s="248"/>
      <c r="G1661" s="248" t="s">
        <v>2201</v>
      </c>
      <c r="H1661" s="248"/>
      <c r="I1661" s="248"/>
      <c r="J1661" s="248"/>
      <c r="K1661" s="248"/>
      <c r="L1661" s="248"/>
      <c r="M1661" s="248" t="s">
        <v>2016</v>
      </c>
    </row>
    <row r="1662" spans="1:13" ht="20.100000000000001" customHeight="1">
      <c r="A1662" s="248"/>
      <c r="B1662" s="248" t="s">
        <v>5546</v>
      </c>
      <c r="C1662" s="248" t="s">
        <v>4008</v>
      </c>
      <c r="D1662" s="248"/>
      <c r="E1662" s="248"/>
      <c r="F1662" s="248"/>
      <c r="G1662" s="248" t="s">
        <v>2202</v>
      </c>
      <c r="H1662" s="248"/>
      <c r="I1662" s="248"/>
      <c r="J1662" s="248"/>
      <c r="K1662" s="248"/>
      <c r="L1662" s="248"/>
      <c r="M1662" s="248" t="s">
        <v>3550</v>
      </c>
    </row>
    <row r="1663" spans="1:13" ht="20.100000000000001" customHeight="1">
      <c r="A1663" s="248"/>
      <c r="B1663" s="248" t="s">
        <v>5547</v>
      </c>
      <c r="C1663" s="248" t="s">
        <v>4008</v>
      </c>
      <c r="D1663" s="248"/>
      <c r="E1663" s="248"/>
      <c r="F1663" s="248"/>
      <c r="G1663" s="248" t="s">
        <v>2203</v>
      </c>
      <c r="H1663" s="248"/>
      <c r="I1663" s="248"/>
      <c r="J1663" s="248"/>
      <c r="K1663" s="248"/>
      <c r="L1663" s="248"/>
      <c r="M1663" s="248" t="s">
        <v>2204</v>
      </c>
    </row>
    <row r="1664" spans="1:13" ht="20.100000000000001" customHeight="1">
      <c r="A1664" s="248"/>
      <c r="B1664" s="248" t="s">
        <v>6516</v>
      </c>
      <c r="C1664" s="248" t="s">
        <v>4030</v>
      </c>
      <c r="D1664" s="248"/>
      <c r="E1664" s="248"/>
      <c r="F1664" s="248"/>
      <c r="G1664" s="248" t="s">
        <v>6517</v>
      </c>
      <c r="H1664" s="248"/>
      <c r="I1664" s="248"/>
      <c r="J1664" s="248"/>
      <c r="K1664" s="248"/>
      <c r="L1664" s="248"/>
      <c r="M1664" s="248" t="s">
        <v>3178</v>
      </c>
    </row>
    <row r="1665" spans="1:13" ht="20.100000000000001" customHeight="1">
      <c r="A1665" s="248"/>
      <c r="B1665" s="248" t="s">
        <v>6518</v>
      </c>
      <c r="C1665" s="248" t="s">
        <v>4016</v>
      </c>
      <c r="D1665" s="248"/>
      <c r="E1665" s="248"/>
      <c r="F1665" s="248"/>
      <c r="G1665" s="248" t="s">
        <v>6519</v>
      </c>
      <c r="H1665" s="248"/>
      <c r="I1665" s="248"/>
      <c r="J1665" s="248"/>
      <c r="K1665" s="248"/>
      <c r="L1665" s="248"/>
      <c r="M1665" s="248" t="s">
        <v>6520</v>
      </c>
    </row>
    <row r="1666" spans="1:13" ht="20.100000000000001" customHeight="1">
      <c r="A1666" s="248"/>
      <c r="B1666" s="248" t="s">
        <v>6586</v>
      </c>
      <c r="C1666" s="248" t="s">
        <v>4050</v>
      </c>
      <c r="D1666" s="248"/>
      <c r="E1666" s="248"/>
      <c r="F1666" s="248"/>
      <c r="G1666" s="248" t="s">
        <v>6587</v>
      </c>
      <c r="H1666" s="248"/>
      <c r="I1666" s="248"/>
      <c r="J1666" s="248"/>
      <c r="K1666" s="248"/>
      <c r="L1666" s="248"/>
      <c r="M1666" s="248" t="s">
        <v>6588</v>
      </c>
    </row>
    <row r="1667" spans="1:13" ht="20.100000000000001" customHeight="1">
      <c r="A1667" s="248"/>
      <c r="B1667" s="248" t="s">
        <v>5548</v>
      </c>
      <c r="C1667" s="248" t="s">
        <v>4014</v>
      </c>
      <c r="D1667" s="248"/>
      <c r="E1667" s="248"/>
      <c r="F1667" s="248"/>
      <c r="G1667" s="248" t="s">
        <v>2205</v>
      </c>
      <c r="H1667" s="248"/>
      <c r="I1667" s="248"/>
      <c r="J1667" s="248"/>
      <c r="K1667" s="248"/>
      <c r="L1667" s="248"/>
      <c r="M1667" s="248" t="s">
        <v>3550</v>
      </c>
    </row>
    <row r="1668" spans="1:13" ht="20.100000000000001" customHeight="1">
      <c r="A1668" s="248"/>
      <c r="B1668" s="248" t="s">
        <v>5549</v>
      </c>
      <c r="C1668" s="248" t="s">
        <v>4016</v>
      </c>
      <c r="D1668" s="248"/>
      <c r="E1668" s="248"/>
      <c r="F1668" s="248"/>
      <c r="G1668" s="248" t="s">
        <v>2206</v>
      </c>
      <c r="H1668" s="248"/>
      <c r="I1668" s="248"/>
      <c r="J1668" s="248"/>
      <c r="K1668" s="248"/>
      <c r="L1668" s="248"/>
      <c r="M1668" s="248" t="s">
        <v>3550</v>
      </c>
    </row>
    <row r="1669" spans="1:13" ht="20.100000000000001" customHeight="1">
      <c r="A1669" s="248"/>
      <c r="B1669" s="248" t="s">
        <v>5550</v>
      </c>
      <c r="C1669" s="248" t="s">
        <v>4014</v>
      </c>
      <c r="D1669" s="248"/>
      <c r="E1669" s="248"/>
      <c r="F1669" s="248"/>
      <c r="G1669" s="248" t="s">
        <v>2207</v>
      </c>
      <c r="H1669" s="248"/>
      <c r="I1669" s="248"/>
      <c r="J1669" s="248"/>
      <c r="K1669" s="248"/>
      <c r="L1669" s="248"/>
      <c r="M1669" s="248" t="s">
        <v>2208</v>
      </c>
    </row>
    <row r="1670" spans="1:13" ht="20.100000000000001" customHeight="1">
      <c r="A1670" s="248"/>
      <c r="B1670" s="248" t="s">
        <v>5551</v>
      </c>
      <c r="C1670" s="248" t="s">
        <v>4025</v>
      </c>
      <c r="D1670" s="248"/>
      <c r="E1670" s="248"/>
      <c r="F1670" s="248"/>
      <c r="G1670" s="248" t="s">
        <v>3886</v>
      </c>
      <c r="H1670" s="248"/>
      <c r="I1670" s="248"/>
      <c r="J1670" s="248"/>
      <c r="K1670" s="248"/>
      <c r="L1670" s="248"/>
      <c r="M1670" s="248" t="s">
        <v>2209</v>
      </c>
    </row>
    <row r="1671" spans="1:13" ht="20.100000000000001" customHeight="1">
      <c r="A1671" s="248"/>
      <c r="B1671" s="248" t="s">
        <v>5552</v>
      </c>
      <c r="C1671" s="248" t="s">
        <v>4014</v>
      </c>
      <c r="D1671" s="248"/>
      <c r="E1671" s="248"/>
      <c r="F1671" s="248"/>
      <c r="G1671" s="248" t="s">
        <v>2210</v>
      </c>
      <c r="H1671" s="248"/>
      <c r="I1671" s="248"/>
      <c r="J1671" s="248"/>
      <c r="K1671" s="248"/>
      <c r="L1671" s="248"/>
      <c r="M1671" s="248" t="s">
        <v>3550</v>
      </c>
    </row>
    <row r="1672" spans="1:13" ht="20.100000000000001" customHeight="1">
      <c r="A1672" s="248"/>
      <c r="B1672" s="248" t="s">
        <v>5553</v>
      </c>
      <c r="C1672" s="248" t="s">
        <v>4030</v>
      </c>
      <c r="D1672" s="248"/>
      <c r="E1672" s="248"/>
      <c r="F1672" s="248"/>
      <c r="G1672" s="248" t="s">
        <v>3536</v>
      </c>
      <c r="H1672" s="248"/>
      <c r="I1672" s="248"/>
      <c r="J1672" s="248"/>
      <c r="K1672" s="248"/>
      <c r="L1672" s="248"/>
      <c r="M1672" s="248" t="s">
        <v>3537</v>
      </c>
    </row>
    <row r="1673" spans="1:13" ht="20.100000000000001" customHeight="1">
      <c r="A1673" s="248"/>
      <c r="B1673" s="248" t="s">
        <v>5554</v>
      </c>
      <c r="C1673" s="248" t="s">
        <v>4016</v>
      </c>
      <c r="D1673" s="248"/>
      <c r="E1673" s="248"/>
      <c r="F1673" s="248"/>
      <c r="G1673" s="248" t="s">
        <v>2211</v>
      </c>
      <c r="H1673" s="248"/>
      <c r="I1673" s="248"/>
      <c r="J1673" s="248"/>
      <c r="K1673" s="248"/>
      <c r="L1673" s="248"/>
      <c r="M1673" s="248" t="s">
        <v>2212</v>
      </c>
    </row>
    <row r="1674" spans="1:13" ht="20.100000000000001" customHeight="1">
      <c r="A1674" s="248"/>
      <c r="B1674" s="248" t="s">
        <v>5555</v>
      </c>
      <c r="C1674" s="248" t="s">
        <v>4025</v>
      </c>
      <c r="D1674" s="248"/>
      <c r="E1674" s="248"/>
      <c r="F1674" s="248"/>
      <c r="G1674" s="248" t="s">
        <v>2213</v>
      </c>
      <c r="H1674" s="248"/>
      <c r="I1674" s="248"/>
      <c r="J1674" s="248"/>
      <c r="K1674" s="248"/>
      <c r="L1674" s="248"/>
      <c r="M1674" s="248" t="s">
        <v>2214</v>
      </c>
    </row>
    <row r="1675" spans="1:13" ht="20.100000000000001" customHeight="1">
      <c r="A1675" s="248"/>
      <c r="B1675" s="248" t="s">
        <v>5556</v>
      </c>
      <c r="C1675" s="248" t="s">
        <v>4036</v>
      </c>
      <c r="D1675" s="248"/>
      <c r="E1675" s="248"/>
      <c r="F1675" s="248"/>
      <c r="G1675" s="248" t="s">
        <v>2215</v>
      </c>
      <c r="H1675" s="248"/>
      <c r="I1675" s="248"/>
      <c r="J1675" s="248"/>
      <c r="K1675" s="248"/>
      <c r="L1675" s="248"/>
      <c r="M1675" s="248" t="s">
        <v>2216</v>
      </c>
    </row>
    <row r="1676" spans="1:13" ht="20.100000000000001" customHeight="1">
      <c r="A1676" s="248"/>
      <c r="B1676" s="248" t="s">
        <v>6521</v>
      </c>
      <c r="C1676" s="248" t="s">
        <v>4012</v>
      </c>
      <c r="D1676" s="248"/>
      <c r="E1676" s="248"/>
      <c r="F1676" s="248"/>
      <c r="G1676" s="248" t="s">
        <v>6522</v>
      </c>
      <c r="H1676" s="248"/>
      <c r="I1676" s="248"/>
      <c r="J1676" s="248"/>
      <c r="K1676" s="248"/>
      <c r="L1676" s="248"/>
      <c r="M1676" s="248" t="s">
        <v>6523</v>
      </c>
    </row>
    <row r="1677" spans="1:13" ht="20.100000000000001" customHeight="1">
      <c r="A1677" s="249"/>
      <c r="B1677" s="249" t="s">
        <v>5557</v>
      </c>
      <c r="C1677" s="250" t="s">
        <v>4016</v>
      </c>
      <c r="D1677" s="249"/>
      <c r="E1677" s="249"/>
      <c r="F1677" s="249"/>
      <c r="G1677" s="249" t="s">
        <v>3248</v>
      </c>
      <c r="H1677" s="249"/>
      <c r="I1677" s="249"/>
      <c r="J1677" s="249"/>
      <c r="K1677" s="249"/>
      <c r="L1677" s="249"/>
      <c r="M1677" s="249" t="s">
        <v>3249</v>
      </c>
    </row>
    <row r="1678" spans="1:13" ht="20.100000000000001" customHeight="1">
      <c r="A1678" s="248"/>
      <c r="B1678" s="248" t="s">
        <v>5558</v>
      </c>
      <c r="C1678" s="248" t="s">
        <v>4121</v>
      </c>
      <c r="D1678" s="248"/>
      <c r="E1678" s="248"/>
      <c r="F1678" s="248"/>
      <c r="G1678" s="248" t="s">
        <v>2217</v>
      </c>
      <c r="H1678" s="248"/>
      <c r="I1678" s="248"/>
      <c r="J1678" s="248"/>
      <c r="K1678" s="248"/>
      <c r="L1678" s="248"/>
      <c r="M1678" s="248" t="s">
        <v>2218</v>
      </c>
    </row>
    <row r="1679" spans="1:13" ht="20.100000000000001" customHeight="1">
      <c r="A1679" s="248"/>
      <c r="B1679" s="248" t="s">
        <v>5559</v>
      </c>
      <c r="C1679" s="248" t="s">
        <v>4121</v>
      </c>
      <c r="D1679" s="248"/>
      <c r="E1679" s="248"/>
      <c r="F1679" s="248"/>
      <c r="G1679" s="248" t="s">
        <v>2219</v>
      </c>
      <c r="H1679" s="248"/>
      <c r="I1679" s="248"/>
      <c r="J1679" s="248"/>
      <c r="K1679" s="248"/>
      <c r="L1679" s="248"/>
      <c r="M1679" s="248" t="s">
        <v>2220</v>
      </c>
    </row>
    <row r="1680" spans="1:13" ht="20.100000000000001" customHeight="1">
      <c r="A1680" s="248"/>
      <c r="B1680" s="248" t="s">
        <v>5560</v>
      </c>
      <c r="C1680" s="248" t="s">
        <v>4030</v>
      </c>
      <c r="D1680" s="248"/>
      <c r="E1680" s="248"/>
      <c r="F1680" s="248"/>
      <c r="G1680" s="248" t="s">
        <v>2221</v>
      </c>
      <c r="H1680" s="248"/>
      <c r="I1680" s="248"/>
      <c r="J1680" s="248"/>
      <c r="K1680" s="248"/>
      <c r="L1680" s="248"/>
      <c r="M1680" s="248" t="s">
        <v>2222</v>
      </c>
    </row>
    <row r="1681" spans="1:13" ht="20.100000000000001" customHeight="1">
      <c r="A1681" s="248"/>
      <c r="B1681" s="248" t="s">
        <v>5561</v>
      </c>
      <c r="C1681" s="248" t="s">
        <v>4012</v>
      </c>
      <c r="D1681" s="248"/>
      <c r="E1681" s="248"/>
      <c r="F1681" s="248"/>
      <c r="G1681" s="248" t="s">
        <v>2223</v>
      </c>
      <c r="H1681" s="248"/>
      <c r="I1681" s="248"/>
      <c r="J1681" s="248"/>
      <c r="K1681" s="248"/>
      <c r="L1681" s="248"/>
      <c r="M1681" s="248" t="s">
        <v>3550</v>
      </c>
    </row>
    <row r="1682" spans="1:13" ht="20.100000000000001" customHeight="1">
      <c r="A1682" s="248"/>
      <c r="B1682" s="248" t="s">
        <v>5562</v>
      </c>
      <c r="C1682" s="248" t="s">
        <v>4146</v>
      </c>
      <c r="D1682" s="248"/>
      <c r="E1682" s="248"/>
      <c r="F1682" s="248"/>
      <c r="G1682" s="248" t="s">
        <v>2224</v>
      </c>
      <c r="H1682" s="248"/>
      <c r="I1682" s="248"/>
      <c r="J1682" s="248"/>
      <c r="K1682" s="248"/>
      <c r="L1682" s="248"/>
      <c r="M1682" s="248" t="s">
        <v>2225</v>
      </c>
    </row>
    <row r="1683" spans="1:13" ht="20.100000000000001" customHeight="1">
      <c r="A1683" s="248"/>
      <c r="B1683" s="248" t="s">
        <v>5563</v>
      </c>
      <c r="C1683" s="248" t="s">
        <v>4036</v>
      </c>
      <c r="D1683" s="248"/>
      <c r="E1683" s="248"/>
      <c r="F1683" s="248"/>
      <c r="G1683" s="248" t="s">
        <v>2226</v>
      </c>
      <c r="H1683" s="248"/>
      <c r="I1683" s="248"/>
      <c r="J1683" s="248"/>
      <c r="K1683" s="248"/>
      <c r="L1683" s="248"/>
      <c r="M1683" s="248" t="s">
        <v>2227</v>
      </c>
    </row>
    <row r="1684" spans="1:13" ht="20.100000000000001" customHeight="1">
      <c r="A1684" s="248"/>
      <c r="B1684" s="248" t="s">
        <v>5564</v>
      </c>
      <c r="C1684" s="248" t="s">
        <v>4036</v>
      </c>
      <c r="D1684" s="248"/>
      <c r="E1684" s="248"/>
      <c r="F1684" s="248"/>
      <c r="G1684" s="248" t="s">
        <v>3348</v>
      </c>
      <c r="H1684" s="248"/>
      <c r="I1684" s="248"/>
      <c r="J1684" s="248"/>
      <c r="K1684" s="248"/>
      <c r="L1684" s="248"/>
      <c r="M1684" s="248" t="s">
        <v>2227</v>
      </c>
    </row>
    <row r="1685" spans="1:13" ht="20.100000000000001" customHeight="1">
      <c r="A1685" s="248"/>
      <c r="B1685" s="248" t="s">
        <v>5565</v>
      </c>
      <c r="C1685" s="248" t="s">
        <v>4016</v>
      </c>
      <c r="D1685" s="248"/>
      <c r="E1685" s="248"/>
      <c r="F1685" s="248"/>
      <c r="G1685" s="248" t="s">
        <v>3801</v>
      </c>
      <c r="H1685" s="248"/>
      <c r="I1685" s="248"/>
      <c r="J1685" s="248"/>
      <c r="K1685" s="248"/>
      <c r="L1685" s="248"/>
      <c r="M1685" s="248" t="s">
        <v>196</v>
      </c>
    </row>
    <row r="1686" spans="1:13" ht="20.100000000000001" customHeight="1">
      <c r="A1686" s="248"/>
      <c r="B1686" s="248" t="s">
        <v>5566</v>
      </c>
      <c r="C1686" s="248" t="s">
        <v>4036</v>
      </c>
      <c r="D1686" s="248"/>
      <c r="E1686" s="248"/>
      <c r="F1686" s="248"/>
      <c r="G1686" s="248" t="s">
        <v>2228</v>
      </c>
      <c r="H1686" s="248"/>
      <c r="I1686" s="248"/>
      <c r="J1686" s="248"/>
      <c r="K1686" s="248"/>
      <c r="L1686" s="248"/>
      <c r="M1686" s="248" t="s">
        <v>2229</v>
      </c>
    </row>
    <row r="1687" spans="1:13" ht="20.100000000000001" customHeight="1">
      <c r="A1687" s="248"/>
      <c r="B1687" s="248" t="s">
        <v>5567</v>
      </c>
      <c r="C1687" s="248" t="s">
        <v>4008</v>
      </c>
      <c r="D1687" s="248"/>
      <c r="E1687" s="248"/>
      <c r="F1687" s="248"/>
      <c r="G1687" s="248" t="s">
        <v>2230</v>
      </c>
      <c r="H1687" s="248"/>
      <c r="I1687" s="248"/>
      <c r="J1687" s="248"/>
      <c r="K1687" s="248"/>
      <c r="L1687" s="248"/>
      <c r="M1687" s="248" t="s">
        <v>2231</v>
      </c>
    </row>
    <row r="1688" spans="1:13" ht="20.100000000000001" customHeight="1">
      <c r="A1688" s="248"/>
      <c r="B1688" s="248" t="s">
        <v>5568</v>
      </c>
      <c r="C1688" s="248" t="s">
        <v>4012</v>
      </c>
      <c r="D1688" s="248"/>
      <c r="E1688" s="248"/>
      <c r="F1688" s="248"/>
      <c r="G1688" s="248" t="s">
        <v>2232</v>
      </c>
      <c r="H1688" s="248"/>
      <c r="I1688" s="248"/>
      <c r="J1688" s="248"/>
      <c r="K1688" s="248"/>
      <c r="L1688" s="248"/>
      <c r="M1688" s="248" t="s">
        <v>2233</v>
      </c>
    </row>
    <row r="1689" spans="1:13" ht="20.100000000000001" customHeight="1">
      <c r="A1689" s="248"/>
      <c r="B1689" s="248" t="s">
        <v>5569</v>
      </c>
      <c r="C1689" s="248" t="s">
        <v>4030</v>
      </c>
      <c r="D1689" s="248"/>
      <c r="E1689" s="248"/>
      <c r="F1689" s="248"/>
      <c r="G1689" s="248" t="s">
        <v>3065</v>
      </c>
      <c r="H1689" s="248"/>
      <c r="I1689" s="248"/>
      <c r="J1689" s="248"/>
      <c r="K1689" s="248"/>
      <c r="L1689" s="248"/>
      <c r="M1689" s="248" t="s">
        <v>3086</v>
      </c>
    </row>
    <row r="1690" spans="1:13" ht="20.100000000000001" customHeight="1">
      <c r="A1690" s="248"/>
      <c r="B1690" s="248" t="s">
        <v>5570</v>
      </c>
      <c r="C1690" s="248" t="s">
        <v>4014</v>
      </c>
      <c r="D1690" s="248"/>
      <c r="E1690" s="248"/>
      <c r="F1690" s="248"/>
      <c r="G1690" s="248" t="s">
        <v>2234</v>
      </c>
      <c r="H1690" s="248"/>
      <c r="I1690" s="248"/>
      <c r="J1690" s="248"/>
      <c r="K1690" s="248"/>
      <c r="L1690" s="248"/>
      <c r="M1690" s="248" t="s">
        <v>3550</v>
      </c>
    </row>
    <row r="1691" spans="1:13" ht="20.100000000000001" customHeight="1">
      <c r="A1691" s="248"/>
      <c r="B1691" s="248" t="s">
        <v>5571</v>
      </c>
      <c r="C1691" s="248" t="s">
        <v>4025</v>
      </c>
      <c r="D1691" s="248"/>
      <c r="E1691" s="248"/>
      <c r="F1691" s="248"/>
      <c r="G1691" s="248" t="s">
        <v>2235</v>
      </c>
      <c r="H1691" s="248"/>
      <c r="I1691" s="248"/>
      <c r="J1691" s="248"/>
      <c r="K1691" s="248"/>
      <c r="L1691" s="248"/>
      <c r="M1691" s="248" t="s">
        <v>711</v>
      </c>
    </row>
    <row r="1692" spans="1:13" ht="20.100000000000001" customHeight="1">
      <c r="A1692" s="248"/>
      <c r="B1692" s="248" t="s">
        <v>5572</v>
      </c>
      <c r="C1692" s="248" t="s">
        <v>4036</v>
      </c>
      <c r="D1692" s="248"/>
      <c r="E1692" s="248"/>
      <c r="F1692" s="248"/>
      <c r="G1692" s="248" t="s">
        <v>3734</v>
      </c>
      <c r="H1692" s="248"/>
      <c r="I1692" s="248"/>
      <c r="J1692" s="248"/>
      <c r="K1692" s="248"/>
      <c r="L1692" s="248"/>
      <c r="M1692" s="248" t="s">
        <v>3735</v>
      </c>
    </row>
    <row r="1693" spans="1:13" ht="20.100000000000001" customHeight="1">
      <c r="A1693" s="248"/>
      <c r="B1693" s="248" t="s">
        <v>5573</v>
      </c>
      <c r="C1693" s="248" t="s">
        <v>4005</v>
      </c>
      <c r="D1693" s="248"/>
      <c r="E1693" s="248"/>
      <c r="F1693" s="248"/>
      <c r="G1693" s="248" t="s">
        <v>3802</v>
      </c>
      <c r="H1693" s="248"/>
      <c r="I1693" s="248"/>
      <c r="J1693" s="248"/>
      <c r="K1693" s="248"/>
      <c r="L1693" s="248"/>
      <c r="M1693" s="248" t="s">
        <v>3803</v>
      </c>
    </row>
    <row r="1694" spans="1:13" ht="20.100000000000001" customHeight="1">
      <c r="A1694" s="248"/>
      <c r="B1694" s="248" t="s">
        <v>5574</v>
      </c>
      <c r="C1694" s="248" t="s">
        <v>4008</v>
      </c>
      <c r="D1694" s="248"/>
      <c r="E1694" s="248"/>
      <c r="F1694" s="248"/>
      <c r="G1694" s="248" t="s">
        <v>3629</v>
      </c>
      <c r="H1694" s="248"/>
      <c r="I1694" s="248"/>
      <c r="J1694" s="248"/>
      <c r="K1694" s="248"/>
      <c r="L1694" s="248"/>
      <c r="M1694" s="248" t="s">
        <v>3630</v>
      </c>
    </row>
    <row r="1695" spans="1:13" ht="20.100000000000001" customHeight="1">
      <c r="A1695" s="248"/>
      <c r="B1695" s="248" t="s">
        <v>5575</v>
      </c>
      <c r="C1695" s="248" t="s">
        <v>4008</v>
      </c>
      <c r="D1695" s="248"/>
      <c r="E1695" s="248"/>
      <c r="F1695" s="248"/>
      <c r="G1695" s="248" t="s">
        <v>2236</v>
      </c>
      <c r="H1695" s="248"/>
      <c r="I1695" s="248"/>
      <c r="J1695" s="248"/>
      <c r="K1695" s="248"/>
      <c r="L1695" s="248"/>
      <c r="M1695" s="248" t="s">
        <v>3550</v>
      </c>
    </row>
    <row r="1696" spans="1:13" ht="20.100000000000001" customHeight="1">
      <c r="A1696" s="248"/>
      <c r="B1696" s="248" t="s">
        <v>5576</v>
      </c>
      <c r="C1696" s="248" t="s">
        <v>4030</v>
      </c>
      <c r="D1696" s="248"/>
      <c r="E1696" s="248"/>
      <c r="F1696" s="248"/>
      <c r="G1696" s="248" t="s">
        <v>2237</v>
      </c>
      <c r="H1696" s="248"/>
      <c r="I1696" s="248"/>
      <c r="J1696" s="248"/>
      <c r="K1696" s="248"/>
      <c r="L1696" s="248"/>
      <c r="M1696" s="248" t="s">
        <v>3550</v>
      </c>
    </row>
    <row r="1697" spans="1:13" ht="20.100000000000001" customHeight="1">
      <c r="A1697" s="248"/>
      <c r="B1697" s="248" t="s">
        <v>5577</v>
      </c>
      <c r="C1697" s="248" t="s">
        <v>4003</v>
      </c>
      <c r="D1697" s="248"/>
      <c r="E1697" s="248"/>
      <c r="F1697" s="248"/>
      <c r="G1697" s="248" t="s">
        <v>3513</v>
      </c>
      <c r="H1697" s="248"/>
      <c r="I1697" s="248"/>
      <c r="J1697" s="248"/>
      <c r="K1697" s="248"/>
      <c r="L1697" s="248"/>
      <c r="M1697" s="248" t="s">
        <v>3514</v>
      </c>
    </row>
    <row r="1698" spans="1:13" ht="20.100000000000001" customHeight="1">
      <c r="A1698" s="248"/>
      <c r="B1698" s="248" t="s">
        <v>5578</v>
      </c>
      <c r="C1698" s="248" t="s">
        <v>4030</v>
      </c>
      <c r="D1698" s="248"/>
      <c r="E1698" s="248"/>
      <c r="F1698" s="248"/>
      <c r="G1698" s="248" t="s">
        <v>3861</v>
      </c>
      <c r="H1698" s="248"/>
      <c r="I1698" s="248"/>
      <c r="J1698" s="248"/>
      <c r="K1698" s="248"/>
      <c r="L1698" s="248"/>
      <c r="M1698" s="248" t="s">
        <v>3862</v>
      </c>
    </row>
    <row r="1699" spans="1:13" ht="20.100000000000001" customHeight="1">
      <c r="A1699" s="248"/>
      <c r="B1699" s="248" t="s">
        <v>5579</v>
      </c>
      <c r="C1699" s="248" t="s">
        <v>4025</v>
      </c>
      <c r="D1699" s="248"/>
      <c r="E1699" s="248"/>
      <c r="F1699" s="248"/>
      <c r="G1699" s="248" t="s">
        <v>3319</v>
      </c>
      <c r="H1699" s="248"/>
      <c r="I1699" s="248"/>
      <c r="J1699" s="248"/>
      <c r="K1699" s="248"/>
      <c r="L1699" s="248"/>
      <c r="M1699" s="248" t="s">
        <v>3320</v>
      </c>
    </row>
    <row r="1700" spans="1:13" ht="20.100000000000001" customHeight="1">
      <c r="A1700" s="248"/>
      <c r="B1700" s="248" t="s">
        <v>5580</v>
      </c>
      <c r="C1700" s="248" t="s">
        <v>4146</v>
      </c>
      <c r="D1700" s="248"/>
      <c r="E1700" s="248"/>
      <c r="F1700" s="248"/>
      <c r="G1700" s="248" t="s">
        <v>2238</v>
      </c>
      <c r="H1700" s="248"/>
      <c r="I1700" s="248"/>
      <c r="J1700" s="248"/>
      <c r="K1700" s="248"/>
      <c r="L1700" s="248"/>
      <c r="M1700" s="248" t="s">
        <v>2239</v>
      </c>
    </row>
    <row r="1701" spans="1:13" ht="20.100000000000001" customHeight="1">
      <c r="A1701" s="248"/>
      <c r="B1701" s="248" t="s">
        <v>6640</v>
      </c>
      <c r="C1701" s="248" t="s">
        <v>4012</v>
      </c>
      <c r="D1701" s="248"/>
      <c r="E1701" s="248"/>
      <c r="F1701" s="248"/>
      <c r="G1701" s="248" t="s">
        <v>6641</v>
      </c>
      <c r="H1701" s="248"/>
      <c r="I1701" s="248"/>
      <c r="J1701" s="248"/>
      <c r="K1701" s="248"/>
      <c r="L1701" s="248"/>
      <c r="M1701" s="248" t="s">
        <v>6642</v>
      </c>
    </row>
    <row r="1702" spans="1:13" ht="20.100000000000001" customHeight="1">
      <c r="A1702" s="248"/>
      <c r="B1702" s="248" t="s">
        <v>5581</v>
      </c>
      <c r="C1702" s="248" t="s">
        <v>4036</v>
      </c>
      <c r="D1702" s="248"/>
      <c r="E1702" s="248"/>
      <c r="F1702" s="248"/>
      <c r="G1702" s="248" t="s">
        <v>3481</v>
      </c>
      <c r="H1702" s="248"/>
      <c r="I1702" s="248"/>
      <c r="J1702" s="248"/>
      <c r="K1702" s="248"/>
      <c r="L1702" s="248"/>
      <c r="M1702" s="248" t="s">
        <v>3482</v>
      </c>
    </row>
    <row r="1703" spans="1:13" ht="20.100000000000001" customHeight="1">
      <c r="A1703" s="248"/>
      <c r="B1703" s="248" t="s">
        <v>5582</v>
      </c>
      <c r="C1703" s="248" t="s">
        <v>4146</v>
      </c>
      <c r="D1703" s="248"/>
      <c r="E1703" s="248"/>
      <c r="F1703" s="248"/>
      <c r="G1703" s="248" t="s">
        <v>3538</v>
      </c>
      <c r="H1703" s="248"/>
      <c r="I1703" s="248"/>
      <c r="J1703" s="248"/>
      <c r="K1703" s="248"/>
      <c r="L1703" s="248"/>
      <c r="M1703" s="248" t="s">
        <v>3539</v>
      </c>
    </row>
    <row r="1704" spans="1:13" ht="20.100000000000001" customHeight="1">
      <c r="A1704" s="248"/>
      <c r="B1704" s="248" t="s">
        <v>5583</v>
      </c>
      <c r="C1704" s="248" t="s">
        <v>4016</v>
      </c>
      <c r="D1704" s="248"/>
      <c r="E1704" s="248"/>
      <c r="F1704" s="248"/>
      <c r="G1704" s="248" t="s">
        <v>2240</v>
      </c>
      <c r="H1704" s="248"/>
      <c r="I1704" s="248"/>
      <c r="J1704" s="248"/>
      <c r="K1704" s="248"/>
      <c r="L1704" s="248"/>
      <c r="M1704" s="248" t="s">
        <v>3550</v>
      </c>
    </row>
    <row r="1705" spans="1:13" ht="20.100000000000001" customHeight="1">
      <c r="A1705" s="248"/>
      <c r="B1705" s="248" t="s">
        <v>5584</v>
      </c>
      <c r="C1705" s="248" t="s">
        <v>4012</v>
      </c>
      <c r="D1705" s="248"/>
      <c r="E1705" s="248"/>
      <c r="F1705" s="248"/>
      <c r="G1705" s="248" t="s">
        <v>3635</v>
      </c>
      <c r="H1705" s="248"/>
      <c r="I1705" s="248"/>
      <c r="J1705" s="248"/>
      <c r="K1705" s="248"/>
      <c r="L1705" s="248"/>
      <c r="M1705" s="248" t="s">
        <v>3970</v>
      </c>
    </row>
    <row r="1706" spans="1:13" ht="20.100000000000001" customHeight="1">
      <c r="A1706" s="248"/>
      <c r="B1706" s="248" t="s">
        <v>5585</v>
      </c>
      <c r="C1706" s="248" t="s">
        <v>4014</v>
      </c>
      <c r="D1706" s="248"/>
      <c r="E1706" s="248"/>
      <c r="F1706" s="248"/>
      <c r="G1706" s="248" t="s">
        <v>2241</v>
      </c>
      <c r="H1706" s="248"/>
      <c r="I1706" s="248"/>
      <c r="J1706" s="248"/>
      <c r="K1706" s="248"/>
      <c r="L1706" s="248"/>
      <c r="M1706" s="248" t="s">
        <v>2242</v>
      </c>
    </row>
    <row r="1707" spans="1:13" ht="20.100000000000001" customHeight="1">
      <c r="A1707" s="248"/>
      <c r="B1707" s="248" t="s">
        <v>5586</v>
      </c>
      <c r="C1707" s="248" t="s">
        <v>4008</v>
      </c>
      <c r="D1707" s="248"/>
      <c r="E1707" s="248"/>
      <c r="F1707" s="248"/>
      <c r="G1707" s="248" t="s">
        <v>3024</v>
      </c>
      <c r="H1707" s="248"/>
      <c r="I1707" s="248"/>
      <c r="J1707" s="248"/>
      <c r="K1707" s="248"/>
      <c r="L1707" s="248"/>
      <c r="M1707" s="248" t="s">
        <v>3550</v>
      </c>
    </row>
    <row r="1708" spans="1:13" ht="20.100000000000001" customHeight="1">
      <c r="A1708" s="248"/>
      <c r="B1708" s="248" t="s">
        <v>5587</v>
      </c>
      <c r="C1708" s="248" t="s">
        <v>4016</v>
      </c>
      <c r="D1708" s="248"/>
      <c r="E1708" s="248"/>
      <c r="F1708" s="248"/>
      <c r="G1708" s="248" t="s">
        <v>2243</v>
      </c>
      <c r="H1708" s="248"/>
      <c r="I1708" s="248"/>
      <c r="J1708" s="248"/>
      <c r="K1708" s="248"/>
      <c r="L1708" s="248"/>
      <c r="M1708" s="248" t="s">
        <v>2244</v>
      </c>
    </row>
    <row r="1709" spans="1:13" ht="20.100000000000001" customHeight="1">
      <c r="A1709" s="248"/>
      <c r="B1709" s="248" t="s">
        <v>5588</v>
      </c>
      <c r="C1709" s="248" t="s">
        <v>4174</v>
      </c>
      <c r="D1709" s="248"/>
      <c r="E1709" s="248"/>
      <c r="F1709" s="248"/>
      <c r="G1709" s="248" t="s">
        <v>2245</v>
      </c>
      <c r="H1709" s="248"/>
      <c r="I1709" s="248"/>
      <c r="J1709" s="248"/>
      <c r="K1709" s="248"/>
      <c r="L1709" s="248"/>
      <c r="M1709" s="248" t="s">
        <v>2246</v>
      </c>
    </row>
    <row r="1710" spans="1:13" ht="20.100000000000001" customHeight="1">
      <c r="A1710" s="248"/>
      <c r="B1710" s="248" t="s">
        <v>5589</v>
      </c>
      <c r="C1710" s="248" t="s">
        <v>4008</v>
      </c>
      <c r="D1710" s="248"/>
      <c r="E1710" s="248"/>
      <c r="F1710" s="248"/>
      <c r="G1710" s="248" t="s">
        <v>2247</v>
      </c>
      <c r="H1710" s="248"/>
      <c r="I1710" s="248"/>
      <c r="J1710" s="248"/>
      <c r="K1710" s="248"/>
      <c r="L1710" s="248"/>
      <c r="M1710" s="248" t="s">
        <v>2248</v>
      </c>
    </row>
    <row r="1711" spans="1:13" ht="20.100000000000001" customHeight="1">
      <c r="A1711" s="248"/>
      <c r="B1711" s="248" t="s">
        <v>5590</v>
      </c>
      <c r="C1711" s="248" t="s">
        <v>4008</v>
      </c>
      <c r="D1711" s="248"/>
      <c r="E1711" s="248"/>
      <c r="F1711" s="248"/>
      <c r="G1711" s="248" t="s">
        <v>2249</v>
      </c>
      <c r="H1711" s="248"/>
      <c r="I1711" s="248"/>
      <c r="J1711" s="248"/>
      <c r="K1711" s="248"/>
      <c r="L1711" s="248"/>
      <c r="M1711" s="248" t="s">
        <v>2250</v>
      </c>
    </row>
    <row r="1712" spans="1:13" ht="20.100000000000001" customHeight="1">
      <c r="A1712" s="248"/>
      <c r="B1712" s="248" t="s">
        <v>5591</v>
      </c>
      <c r="C1712" s="248" t="s">
        <v>5592</v>
      </c>
      <c r="D1712" s="248"/>
      <c r="E1712" s="248"/>
      <c r="F1712" s="248"/>
      <c r="G1712" s="248" t="s">
        <v>3540</v>
      </c>
      <c r="H1712" s="248"/>
      <c r="I1712" s="248"/>
      <c r="J1712" s="248"/>
      <c r="K1712" s="248"/>
      <c r="L1712" s="248"/>
      <c r="M1712" s="248" t="s">
        <v>2251</v>
      </c>
    </row>
    <row r="1713" spans="1:13" ht="20.100000000000001" customHeight="1">
      <c r="A1713" s="248"/>
      <c r="B1713" s="248" t="s">
        <v>5593</v>
      </c>
      <c r="C1713" s="248" t="s">
        <v>4014</v>
      </c>
      <c r="D1713" s="248"/>
      <c r="E1713" s="248"/>
      <c r="F1713" s="248"/>
      <c r="G1713" s="248" t="s">
        <v>3225</v>
      </c>
      <c r="H1713" s="248"/>
      <c r="I1713" s="248"/>
      <c r="J1713" s="248"/>
      <c r="K1713" s="248"/>
      <c r="L1713" s="248"/>
      <c r="M1713" s="248" t="s">
        <v>196</v>
      </c>
    </row>
    <row r="1714" spans="1:13" ht="20.100000000000001" customHeight="1">
      <c r="A1714" s="248"/>
      <c r="B1714" s="248" t="s">
        <v>5594</v>
      </c>
      <c r="C1714" s="248" t="s">
        <v>4008</v>
      </c>
      <c r="D1714" s="248"/>
      <c r="E1714" s="248"/>
      <c r="F1714" s="248"/>
      <c r="G1714" s="248" t="s">
        <v>2252</v>
      </c>
      <c r="H1714" s="248"/>
      <c r="I1714" s="248"/>
      <c r="J1714" s="248"/>
      <c r="K1714" s="248"/>
      <c r="L1714" s="248"/>
      <c r="M1714" s="248" t="s">
        <v>2253</v>
      </c>
    </row>
    <row r="1715" spans="1:13" ht="20.100000000000001" customHeight="1">
      <c r="A1715" s="248"/>
      <c r="B1715" s="248" t="s">
        <v>5595</v>
      </c>
      <c r="C1715" s="248" t="s">
        <v>4036</v>
      </c>
      <c r="D1715" s="248"/>
      <c r="E1715" s="248"/>
      <c r="F1715" s="248"/>
      <c r="G1715" s="248" t="s">
        <v>2254</v>
      </c>
      <c r="H1715" s="248"/>
      <c r="I1715" s="248"/>
      <c r="J1715" s="248"/>
      <c r="K1715" s="248"/>
      <c r="L1715" s="248"/>
      <c r="M1715" s="248" t="s">
        <v>2255</v>
      </c>
    </row>
    <row r="1716" spans="1:13" ht="20.100000000000001" customHeight="1">
      <c r="A1716" s="248"/>
      <c r="B1716" s="248" t="s">
        <v>5596</v>
      </c>
      <c r="C1716" s="248" t="s">
        <v>4036</v>
      </c>
      <c r="D1716" s="248"/>
      <c r="E1716" s="248"/>
      <c r="F1716" s="248"/>
      <c r="G1716" s="248" t="s">
        <v>2256</v>
      </c>
      <c r="H1716" s="248"/>
      <c r="I1716" s="248"/>
      <c r="J1716" s="248"/>
      <c r="K1716" s="248"/>
      <c r="L1716" s="248"/>
      <c r="M1716" s="248" t="s">
        <v>2257</v>
      </c>
    </row>
    <row r="1717" spans="1:13" ht="20.100000000000001" customHeight="1">
      <c r="A1717" s="248"/>
      <c r="B1717" s="248" t="s">
        <v>5597</v>
      </c>
      <c r="C1717" s="248" t="s">
        <v>4030</v>
      </c>
      <c r="D1717" s="248"/>
      <c r="E1717" s="248"/>
      <c r="F1717" s="248"/>
      <c r="G1717" s="248" t="s">
        <v>2258</v>
      </c>
      <c r="H1717" s="248"/>
      <c r="I1717" s="248"/>
      <c r="J1717" s="248"/>
      <c r="K1717" s="248"/>
      <c r="L1717" s="248"/>
      <c r="M1717" s="248" t="s">
        <v>2259</v>
      </c>
    </row>
    <row r="1718" spans="1:13" ht="20.100000000000001" customHeight="1">
      <c r="A1718" s="248"/>
      <c r="B1718" s="248" t="s">
        <v>5598</v>
      </c>
      <c r="C1718" s="248" t="s">
        <v>4030</v>
      </c>
      <c r="D1718" s="248"/>
      <c r="E1718" s="248"/>
      <c r="F1718" s="248"/>
      <c r="G1718" s="248" t="s">
        <v>3177</v>
      </c>
      <c r="H1718" s="248"/>
      <c r="I1718" s="248"/>
      <c r="J1718" s="248"/>
      <c r="K1718" s="248"/>
      <c r="L1718" s="248"/>
      <c r="M1718" s="248" t="s">
        <v>3178</v>
      </c>
    </row>
    <row r="1719" spans="1:13" ht="20.100000000000001" customHeight="1">
      <c r="A1719" s="248"/>
      <c r="B1719" s="248" t="s">
        <v>5599</v>
      </c>
      <c r="C1719" s="248" t="s">
        <v>4012</v>
      </c>
      <c r="D1719" s="248"/>
      <c r="E1719" s="248"/>
      <c r="F1719" s="248"/>
      <c r="G1719" s="248" t="s">
        <v>3922</v>
      </c>
      <c r="H1719" s="248"/>
      <c r="I1719" s="248"/>
      <c r="J1719" s="248"/>
      <c r="K1719" s="248"/>
      <c r="L1719" s="248"/>
      <c r="M1719" s="248" t="s">
        <v>3923</v>
      </c>
    </row>
    <row r="1720" spans="1:13" ht="20.100000000000001" customHeight="1">
      <c r="A1720" s="248"/>
      <c r="B1720" s="248" t="s">
        <v>6154</v>
      </c>
      <c r="C1720" s="248" t="s">
        <v>4008</v>
      </c>
      <c r="D1720" s="248"/>
      <c r="E1720" s="248"/>
      <c r="F1720" s="248"/>
      <c r="G1720" s="248" t="s">
        <v>6155</v>
      </c>
      <c r="H1720" s="248"/>
      <c r="I1720" s="248"/>
      <c r="J1720" s="248"/>
      <c r="K1720" s="248"/>
      <c r="L1720" s="248"/>
      <c r="M1720" s="248" t="s">
        <v>6156</v>
      </c>
    </row>
    <row r="1721" spans="1:13" ht="20.100000000000001" customHeight="1">
      <c r="A1721" s="248"/>
      <c r="B1721" s="248" t="s">
        <v>5600</v>
      </c>
      <c r="C1721" s="248" t="s">
        <v>4025</v>
      </c>
      <c r="D1721" s="248"/>
      <c r="E1721" s="248"/>
      <c r="F1721" s="248"/>
      <c r="G1721" s="248" t="s">
        <v>2260</v>
      </c>
      <c r="H1721" s="248"/>
      <c r="I1721" s="248"/>
      <c r="J1721" s="248"/>
      <c r="K1721" s="248"/>
      <c r="L1721" s="248"/>
      <c r="M1721" s="248" t="s">
        <v>2261</v>
      </c>
    </row>
    <row r="1722" spans="1:13" ht="20.100000000000001" customHeight="1">
      <c r="A1722" s="248"/>
      <c r="B1722" s="248" t="s">
        <v>5601</v>
      </c>
      <c r="C1722" s="248" t="s">
        <v>4012</v>
      </c>
      <c r="D1722" s="248"/>
      <c r="E1722" s="248"/>
      <c r="F1722" s="248"/>
      <c r="G1722" s="248" t="s">
        <v>2262</v>
      </c>
      <c r="H1722" s="248"/>
      <c r="I1722" s="248"/>
      <c r="J1722" s="248"/>
      <c r="K1722" s="248"/>
      <c r="L1722" s="248"/>
      <c r="M1722" s="248" t="s">
        <v>2263</v>
      </c>
    </row>
    <row r="1723" spans="1:13" ht="20.100000000000001" customHeight="1">
      <c r="A1723" s="248"/>
      <c r="B1723" s="248" t="s">
        <v>6266</v>
      </c>
      <c r="C1723" s="248" t="s">
        <v>4012</v>
      </c>
      <c r="D1723" s="248"/>
      <c r="E1723" s="248"/>
      <c r="F1723" s="248"/>
      <c r="G1723" s="248" t="s">
        <v>3635</v>
      </c>
      <c r="H1723" s="248"/>
      <c r="I1723" s="248"/>
      <c r="J1723" s="248"/>
      <c r="K1723" s="248"/>
      <c r="L1723" s="248"/>
      <c r="M1723" s="248" t="s">
        <v>3970</v>
      </c>
    </row>
    <row r="1724" spans="1:13" ht="20.100000000000001" customHeight="1">
      <c r="A1724" s="248"/>
      <c r="B1724" s="248" t="s">
        <v>5602</v>
      </c>
      <c r="C1724" s="248" t="s">
        <v>4030</v>
      </c>
      <c r="D1724" s="248"/>
      <c r="E1724" s="248"/>
      <c r="F1724" s="248"/>
      <c r="G1724" s="248" t="s">
        <v>2264</v>
      </c>
      <c r="H1724" s="248"/>
      <c r="I1724" s="248"/>
      <c r="J1724" s="248"/>
      <c r="K1724" s="248"/>
      <c r="L1724" s="248"/>
      <c r="M1724" s="248" t="s">
        <v>3550</v>
      </c>
    </row>
    <row r="1725" spans="1:13" ht="20.100000000000001" customHeight="1">
      <c r="A1725" s="248"/>
      <c r="B1725" s="248" t="s">
        <v>5603</v>
      </c>
      <c r="C1725" s="248" t="s">
        <v>4012</v>
      </c>
      <c r="D1725" s="248"/>
      <c r="E1725" s="248"/>
      <c r="F1725" s="248"/>
      <c r="G1725" s="248" t="s">
        <v>2265</v>
      </c>
      <c r="H1725" s="248"/>
      <c r="I1725" s="248"/>
      <c r="J1725" s="248"/>
      <c r="K1725" s="248"/>
      <c r="L1725" s="248"/>
      <c r="M1725" s="248" t="s">
        <v>3550</v>
      </c>
    </row>
    <row r="1726" spans="1:13" ht="20.100000000000001" customHeight="1">
      <c r="A1726" s="248"/>
      <c r="B1726" s="248" t="s">
        <v>5604</v>
      </c>
      <c r="C1726" s="248" t="s">
        <v>4025</v>
      </c>
      <c r="D1726" s="248"/>
      <c r="E1726" s="248"/>
      <c r="F1726" s="248"/>
      <c r="G1726" s="248" t="s">
        <v>2266</v>
      </c>
      <c r="H1726" s="248"/>
      <c r="I1726" s="248"/>
      <c r="J1726" s="248"/>
      <c r="K1726" s="248"/>
      <c r="L1726" s="248"/>
      <c r="M1726" s="248" t="s">
        <v>2267</v>
      </c>
    </row>
    <row r="1727" spans="1:13" ht="20.100000000000001" customHeight="1">
      <c r="A1727" s="248"/>
      <c r="B1727" s="248" t="s">
        <v>5605</v>
      </c>
      <c r="C1727" s="248" t="s">
        <v>4364</v>
      </c>
      <c r="D1727" s="248"/>
      <c r="E1727" s="248"/>
      <c r="F1727" s="248"/>
      <c r="G1727" s="248" t="s">
        <v>6409</v>
      </c>
      <c r="H1727" s="248"/>
      <c r="I1727" s="248"/>
      <c r="J1727" s="248"/>
      <c r="K1727" s="248"/>
      <c r="L1727" s="248"/>
      <c r="M1727" s="248" t="s">
        <v>2268</v>
      </c>
    </row>
    <row r="1728" spans="1:13" ht="20.100000000000001" customHeight="1">
      <c r="A1728" s="248"/>
      <c r="B1728" s="248" t="s">
        <v>5606</v>
      </c>
      <c r="C1728" s="248" t="s">
        <v>4025</v>
      </c>
      <c r="D1728" s="248"/>
      <c r="E1728" s="248"/>
      <c r="F1728" s="248"/>
      <c r="G1728" s="248" t="s">
        <v>3022</v>
      </c>
      <c r="H1728" s="248"/>
      <c r="I1728" s="248"/>
      <c r="J1728" s="248"/>
      <c r="K1728" s="248"/>
      <c r="L1728" s="248"/>
      <c r="M1728" s="248" t="s">
        <v>3023</v>
      </c>
    </row>
    <row r="1729" spans="1:13" ht="20.100000000000001" customHeight="1">
      <c r="A1729" s="248"/>
      <c r="B1729" s="248" t="s">
        <v>5607</v>
      </c>
      <c r="C1729" s="248" t="s">
        <v>4030</v>
      </c>
      <c r="D1729" s="248"/>
      <c r="E1729" s="248"/>
      <c r="F1729" s="248"/>
      <c r="G1729" s="248" t="s">
        <v>2269</v>
      </c>
      <c r="H1729" s="248"/>
      <c r="I1729" s="248"/>
      <c r="J1729" s="248"/>
      <c r="K1729" s="248"/>
      <c r="L1729" s="248"/>
      <c r="M1729" s="248" t="s">
        <v>2270</v>
      </c>
    </row>
    <row r="1730" spans="1:13" ht="20.100000000000001" customHeight="1">
      <c r="A1730" s="249"/>
      <c r="B1730" s="249" t="s">
        <v>5608</v>
      </c>
      <c r="C1730" s="250" t="s">
        <v>4016</v>
      </c>
      <c r="D1730" s="249"/>
      <c r="E1730" s="249"/>
      <c r="F1730" s="249"/>
      <c r="G1730" s="249" t="s">
        <v>3736</v>
      </c>
      <c r="H1730" s="249"/>
      <c r="I1730" s="249"/>
      <c r="J1730" s="249"/>
      <c r="K1730" s="249"/>
      <c r="L1730" s="249"/>
      <c r="M1730" s="249" t="s">
        <v>3737</v>
      </c>
    </row>
    <row r="1731" spans="1:13" ht="20.100000000000001" customHeight="1">
      <c r="A1731" s="248"/>
      <c r="B1731" s="248" t="s">
        <v>6643</v>
      </c>
      <c r="C1731" s="248" t="s">
        <v>4008</v>
      </c>
      <c r="D1731" s="248"/>
      <c r="E1731" s="248"/>
      <c r="F1731" s="248"/>
      <c r="G1731" s="248" t="s">
        <v>6644</v>
      </c>
      <c r="H1731" s="248"/>
      <c r="I1731" s="248"/>
      <c r="J1731" s="248"/>
      <c r="K1731" s="248"/>
      <c r="L1731" s="248"/>
      <c r="M1731" s="248" t="s">
        <v>196</v>
      </c>
    </row>
    <row r="1732" spans="1:13" ht="20.100000000000001" customHeight="1">
      <c r="A1732" s="248"/>
      <c r="B1732" s="248" t="s">
        <v>5609</v>
      </c>
      <c r="C1732" s="248" t="s">
        <v>4124</v>
      </c>
      <c r="D1732" s="248"/>
      <c r="E1732" s="248"/>
      <c r="F1732" s="248"/>
      <c r="G1732" s="248" t="s">
        <v>3738</v>
      </c>
      <c r="H1732" s="248"/>
      <c r="I1732" s="248"/>
      <c r="J1732" s="248"/>
      <c r="K1732" s="248"/>
      <c r="L1732" s="248"/>
      <c r="M1732" s="248" t="s">
        <v>2271</v>
      </c>
    </row>
    <row r="1733" spans="1:13" ht="20.100000000000001" customHeight="1">
      <c r="A1733" s="248"/>
      <c r="B1733" s="248" t="s">
        <v>5610</v>
      </c>
      <c r="C1733" s="248" t="s">
        <v>4030</v>
      </c>
      <c r="D1733" s="248"/>
      <c r="E1733" s="248"/>
      <c r="F1733" s="248"/>
      <c r="G1733" s="248" t="s">
        <v>3924</v>
      </c>
      <c r="H1733" s="248"/>
      <c r="I1733" s="248"/>
      <c r="J1733" s="248"/>
      <c r="K1733" s="248"/>
      <c r="L1733" s="248"/>
      <c r="M1733" s="248" t="s">
        <v>3925</v>
      </c>
    </row>
    <row r="1734" spans="1:13" ht="20.100000000000001" customHeight="1">
      <c r="A1734" s="248"/>
      <c r="B1734" s="248" t="s">
        <v>5611</v>
      </c>
      <c r="C1734" s="248" t="s">
        <v>4003</v>
      </c>
      <c r="D1734" s="248"/>
      <c r="E1734" s="248"/>
      <c r="F1734" s="248"/>
      <c r="G1734" s="248" t="s">
        <v>2272</v>
      </c>
      <c r="H1734" s="248"/>
      <c r="I1734" s="248"/>
      <c r="J1734" s="248"/>
      <c r="K1734" s="248"/>
      <c r="L1734" s="248"/>
      <c r="M1734" s="248" t="s">
        <v>2273</v>
      </c>
    </row>
    <row r="1735" spans="1:13" ht="20.100000000000001" customHeight="1">
      <c r="A1735" s="248"/>
      <c r="B1735" s="248" t="s">
        <v>5612</v>
      </c>
      <c r="C1735" s="248" t="s">
        <v>4008</v>
      </c>
      <c r="D1735" s="248"/>
      <c r="E1735" s="248"/>
      <c r="F1735" s="248"/>
      <c r="G1735" s="248" t="s">
        <v>2274</v>
      </c>
      <c r="H1735" s="248"/>
      <c r="I1735" s="248"/>
      <c r="J1735" s="248"/>
      <c r="K1735" s="248"/>
      <c r="L1735" s="248"/>
      <c r="M1735" s="248" t="s">
        <v>2275</v>
      </c>
    </row>
    <row r="1736" spans="1:13" ht="20.100000000000001" customHeight="1">
      <c r="A1736" s="248"/>
      <c r="B1736" s="248" t="s">
        <v>5613</v>
      </c>
      <c r="C1736" s="248" t="s">
        <v>4008</v>
      </c>
      <c r="D1736" s="248"/>
      <c r="E1736" s="248"/>
      <c r="F1736" s="248"/>
      <c r="G1736" s="248" t="s">
        <v>3246</v>
      </c>
      <c r="H1736" s="248"/>
      <c r="I1736" s="248"/>
      <c r="J1736" s="248"/>
      <c r="K1736" s="248"/>
      <c r="L1736" s="248"/>
      <c r="M1736" s="248" t="s">
        <v>3247</v>
      </c>
    </row>
    <row r="1737" spans="1:13" ht="20.100000000000001" customHeight="1">
      <c r="A1737" s="248"/>
      <c r="B1737" s="248" t="s">
        <v>5614</v>
      </c>
      <c r="C1737" s="248" t="s">
        <v>4030</v>
      </c>
      <c r="D1737" s="248"/>
      <c r="E1737" s="248"/>
      <c r="F1737" s="248"/>
      <c r="G1737" s="248" t="s">
        <v>3971</v>
      </c>
      <c r="H1737" s="248"/>
      <c r="I1737" s="248"/>
      <c r="J1737" s="248"/>
      <c r="K1737" s="248"/>
      <c r="L1737" s="248"/>
      <c r="M1737" s="248" t="s">
        <v>3972</v>
      </c>
    </row>
    <row r="1738" spans="1:13" ht="20.100000000000001" customHeight="1">
      <c r="A1738" s="248"/>
      <c r="B1738" s="248" t="s">
        <v>5615</v>
      </c>
      <c r="C1738" s="248" t="s">
        <v>4014</v>
      </c>
      <c r="D1738" s="248"/>
      <c r="E1738" s="248"/>
      <c r="F1738" s="248"/>
      <c r="G1738" s="248" t="s">
        <v>2276</v>
      </c>
      <c r="H1738" s="248"/>
      <c r="I1738" s="248"/>
      <c r="J1738" s="248"/>
      <c r="K1738" s="248"/>
      <c r="L1738" s="248"/>
      <c r="M1738" s="248" t="s">
        <v>2277</v>
      </c>
    </row>
    <row r="1739" spans="1:13" ht="20.100000000000001" customHeight="1">
      <c r="A1739" s="248"/>
      <c r="B1739" s="248" t="s">
        <v>5616</v>
      </c>
      <c r="C1739" s="248" t="s">
        <v>4016</v>
      </c>
      <c r="D1739" s="248"/>
      <c r="E1739" s="248"/>
      <c r="F1739" s="248"/>
      <c r="G1739" s="248" t="s">
        <v>2278</v>
      </c>
      <c r="H1739" s="248"/>
      <c r="I1739" s="248"/>
      <c r="J1739" s="248"/>
      <c r="K1739" s="248"/>
      <c r="L1739" s="248"/>
      <c r="M1739" s="248" t="s">
        <v>3550</v>
      </c>
    </row>
    <row r="1740" spans="1:13" ht="20.100000000000001" customHeight="1">
      <c r="A1740" s="248"/>
      <c r="B1740" s="248" t="s">
        <v>5617</v>
      </c>
      <c r="C1740" s="248" t="s">
        <v>4050</v>
      </c>
      <c r="D1740" s="248"/>
      <c r="E1740" s="248"/>
      <c r="F1740" s="248"/>
      <c r="G1740" s="248" t="s">
        <v>3926</v>
      </c>
      <c r="H1740" s="248"/>
      <c r="I1740" s="248"/>
      <c r="J1740" s="248"/>
      <c r="K1740" s="248"/>
      <c r="L1740" s="248"/>
      <c r="M1740" s="248" t="s">
        <v>2279</v>
      </c>
    </row>
    <row r="1741" spans="1:13" ht="20.100000000000001" customHeight="1">
      <c r="A1741" s="248"/>
      <c r="B1741" s="248" t="s">
        <v>5618</v>
      </c>
      <c r="C1741" s="248" t="s">
        <v>4124</v>
      </c>
      <c r="D1741" s="248"/>
      <c r="E1741" s="248"/>
      <c r="F1741" s="248"/>
      <c r="G1741" s="248" t="s">
        <v>2280</v>
      </c>
      <c r="H1741" s="248"/>
      <c r="I1741" s="248"/>
      <c r="J1741" s="248"/>
      <c r="K1741" s="248"/>
      <c r="L1741" s="248"/>
      <c r="M1741" s="248" t="s">
        <v>2281</v>
      </c>
    </row>
    <row r="1742" spans="1:13" ht="20.100000000000001" customHeight="1">
      <c r="A1742" s="248"/>
      <c r="B1742" s="248" t="s">
        <v>5619</v>
      </c>
      <c r="C1742" s="248" t="s">
        <v>4036</v>
      </c>
      <c r="D1742" s="248"/>
      <c r="E1742" s="248"/>
      <c r="F1742" s="248"/>
      <c r="G1742" s="248" t="s">
        <v>2282</v>
      </c>
      <c r="H1742" s="248"/>
      <c r="I1742" s="248"/>
      <c r="J1742" s="248"/>
      <c r="K1742" s="248"/>
      <c r="L1742" s="248"/>
      <c r="M1742" s="248" t="s">
        <v>2283</v>
      </c>
    </row>
    <row r="1743" spans="1:13" ht="20.100000000000001" customHeight="1">
      <c r="A1743" s="248"/>
      <c r="B1743" s="248" t="s">
        <v>5620</v>
      </c>
      <c r="C1743" s="248" t="s">
        <v>5621</v>
      </c>
      <c r="D1743" s="248"/>
      <c r="E1743" s="248"/>
      <c r="F1743" s="248"/>
      <c r="G1743" s="248" t="s">
        <v>2284</v>
      </c>
      <c r="H1743" s="248"/>
      <c r="I1743" s="248"/>
      <c r="J1743" s="248"/>
      <c r="K1743" s="248"/>
      <c r="L1743" s="248"/>
      <c r="M1743" s="248" t="s">
        <v>2285</v>
      </c>
    </row>
    <row r="1744" spans="1:13" ht="20.100000000000001" customHeight="1">
      <c r="A1744" s="248"/>
      <c r="B1744" s="248" t="s">
        <v>5622</v>
      </c>
      <c r="C1744" s="248" t="s">
        <v>4036</v>
      </c>
      <c r="D1744" s="248"/>
      <c r="E1744" s="248"/>
      <c r="F1744" s="248"/>
      <c r="G1744" s="248" t="s">
        <v>2286</v>
      </c>
      <c r="H1744" s="248"/>
      <c r="I1744" s="248"/>
      <c r="J1744" s="248"/>
      <c r="K1744" s="248"/>
      <c r="L1744" s="248"/>
      <c r="M1744" s="248" t="s">
        <v>2287</v>
      </c>
    </row>
    <row r="1745" spans="1:13" ht="20.100000000000001" customHeight="1">
      <c r="A1745" s="248"/>
      <c r="B1745" s="248" t="s">
        <v>5623</v>
      </c>
      <c r="C1745" s="248" t="s">
        <v>4036</v>
      </c>
      <c r="D1745" s="248"/>
      <c r="E1745" s="248"/>
      <c r="F1745" s="248"/>
      <c r="G1745" s="248" t="s">
        <v>3804</v>
      </c>
      <c r="H1745" s="248"/>
      <c r="I1745" s="248"/>
      <c r="J1745" s="248"/>
      <c r="K1745" s="248"/>
      <c r="L1745" s="248"/>
      <c r="M1745" s="248" t="s">
        <v>3805</v>
      </c>
    </row>
    <row r="1746" spans="1:13" ht="20.100000000000001" customHeight="1">
      <c r="A1746" s="248"/>
      <c r="B1746" s="248" t="s">
        <v>5624</v>
      </c>
      <c r="C1746" s="248" t="s">
        <v>4016</v>
      </c>
      <c r="D1746" s="248"/>
      <c r="E1746" s="248"/>
      <c r="F1746" s="248"/>
      <c r="G1746" s="248" t="s">
        <v>2288</v>
      </c>
      <c r="H1746" s="248"/>
      <c r="I1746" s="248"/>
      <c r="J1746" s="248"/>
      <c r="K1746" s="248"/>
      <c r="L1746" s="248"/>
      <c r="M1746" s="248" t="s">
        <v>2289</v>
      </c>
    </row>
    <row r="1747" spans="1:13" ht="20.100000000000001" customHeight="1">
      <c r="A1747" s="248"/>
      <c r="B1747" s="248" t="s">
        <v>6524</v>
      </c>
      <c r="C1747" s="248" t="s">
        <v>4030</v>
      </c>
      <c r="D1747" s="248"/>
      <c r="E1747" s="248"/>
      <c r="F1747" s="248"/>
      <c r="G1747" s="248" t="s">
        <v>6525</v>
      </c>
      <c r="H1747" s="248"/>
      <c r="I1747" s="248"/>
      <c r="J1747" s="248"/>
      <c r="K1747" s="248"/>
      <c r="L1747" s="248"/>
      <c r="M1747" s="248" t="s">
        <v>6526</v>
      </c>
    </row>
    <row r="1748" spans="1:13" ht="20.100000000000001" customHeight="1">
      <c r="A1748" s="248"/>
      <c r="B1748" s="248" t="s">
        <v>5625</v>
      </c>
      <c r="C1748" s="248" t="s">
        <v>4025</v>
      </c>
      <c r="D1748" s="248"/>
      <c r="E1748" s="248"/>
      <c r="F1748" s="248"/>
      <c r="G1748" s="248" t="s">
        <v>2290</v>
      </c>
      <c r="H1748" s="248"/>
      <c r="I1748" s="248"/>
      <c r="J1748" s="248"/>
      <c r="K1748" s="248"/>
      <c r="L1748" s="248"/>
      <c r="M1748" s="248" t="s">
        <v>2291</v>
      </c>
    </row>
    <row r="1749" spans="1:13" ht="20.100000000000001" customHeight="1">
      <c r="A1749" s="248"/>
      <c r="B1749" s="248" t="s">
        <v>5626</v>
      </c>
      <c r="C1749" s="248" t="s">
        <v>4016</v>
      </c>
      <c r="D1749" s="248"/>
      <c r="E1749" s="248"/>
      <c r="F1749" s="248"/>
      <c r="G1749" s="248" t="s">
        <v>2292</v>
      </c>
      <c r="H1749" s="248"/>
      <c r="I1749" s="248"/>
      <c r="J1749" s="248"/>
      <c r="K1749" s="248"/>
      <c r="L1749" s="248"/>
      <c r="M1749" s="248" t="s">
        <v>3550</v>
      </c>
    </row>
    <row r="1750" spans="1:13" ht="20.100000000000001" customHeight="1">
      <c r="A1750" s="248"/>
      <c r="B1750" s="248" t="s">
        <v>6197</v>
      </c>
      <c r="C1750" s="248" t="s">
        <v>4008</v>
      </c>
      <c r="D1750" s="248"/>
      <c r="E1750" s="248"/>
      <c r="F1750" s="248"/>
      <c r="G1750" s="248" t="s">
        <v>6198</v>
      </c>
      <c r="H1750" s="248"/>
      <c r="I1750" s="248"/>
      <c r="J1750" s="248"/>
      <c r="K1750" s="248"/>
      <c r="L1750" s="248"/>
      <c r="M1750" s="248" t="s">
        <v>6199</v>
      </c>
    </row>
    <row r="1751" spans="1:13" ht="20.100000000000001" customHeight="1">
      <c r="A1751" s="248"/>
      <c r="B1751" s="248" t="s">
        <v>5627</v>
      </c>
      <c r="C1751" s="248" t="s">
        <v>4025</v>
      </c>
      <c r="D1751" s="248"/>
      <c r="E1751" s="248"/>
      <c r="F1751" s="248"/>
      <c r="G1751" s="248" t="s">
        <v>3129</v>
      </c>
      <c r="H1751" s="248"/>
      <c r="I1751" s="248"/>
      <c r="J1751" s="248"/>
      <c r="K1751" s="248"/>
      <c r="L1751" s="248"/>
      <c r="M1751" s="248" t="s">
        <v>2293</v>
      </c>
    </row>
    <row r="1752" spans="1:13" ht="20.100000000000001" customHeight="1">
      <c r="A1752" s="248"/>
      <c r="B1752" s="248" t="s">
        <v>6645</v>
      </c>
      <c r="C1752" s="248" t="s">
        <v>4003</v>
      </c>
      <c r="D1752" s="248"/>
      <c r="E1752" s="248"/>
      <c r="F1752" s="248"/>
      <c r="G1752" s="248" t="s">
        <v>6646</v>
      </c>
      <c r="H1752" s="248"/>
      <c r="I1752" s="248"/>
      <c r="J1752" s="248"/>
      <c r="K1752" s="248"/>
      <c r="L1752" s="248"/>
      <c r="M1752" s="248" t="s">
        <v>196</v>
      </c>
    </row>
    <row r="1753" spans="1:13" ht="20.100000000000001" customHeight="1">
      <c r="A1753" s="248"/>
      <c r="B1753" s="248" t="s">
        <v>5628</v>
      </c>
      <c r="C1753" s="248" t="s">
        <v>4012</v>
      </c>
      <c r="D1753" s="248"/>
      <c r="E1753" s="248"/>
      <c r="F1753" s="248"/>
      <c r="G1753" s="248" t="s">
        <v>2294</v>
      </c>
      <c r="H1753" s="248"/>
      <c r="I1753" s="248"/>
      <c r="J1753" s="248"/>
      <c r="K1753" s="248"/>
      <c r="L1753" s="248"/>
      <c r="M1753" s="248" t="s">
        <v>2295</v>
      </c>
    </row>
    <row r="1754" spans="1:13" ht="20.100000000000001" customHeight="1">
      <c r="A1754" s="248"/>
      <c r="B1754" s="248" t="s">
        <v>5629</v>
      </c>
      <c r="C1754" s="248" t="s">
        <v>4003</v>
      </c>
      <c r="D1754" s="248"/>
      <c r="E1754" s="248"/>
      <c r="F1754" s="248"/>
      <c r="G1754" s="248" t="s">
        <v>2296</v>
      </c>
      <c r="H1754" s="248"/>
      <c r="I1754" s="248"/>
      <c r="J1754" s="248"/>
      <c r="K1754" s="248"/>
      <c r="L1754" s="248"/>
      <c r="M1754" s="248" t="s">
        <v>2297</v>
      </c>
    </row>
    <row r="1755" spans="1:13" ht="20.100000000000001" customHeight="1">
      <c r="A1755" s="248"/>
      <c r="B1755" s="248" t="s">
        <v>5630</v>
      </c>
      <c r="C1755" s="248" t="s">
        <v>4005</v>
      </c>
      <c r="D1755" s="248"/>
      <c r="E1755" s="248"/>
      <c r="F1755" s="248"/>
      <c r="G1755" s="248" t="s">
        <v>3007</v>
      </c>
      <c r="H1755" s="248"/>
      <c r="I1755" s="248"/>
      <c r="J1755" s="248"/>
      <c r="K1755" s="248"/>
      <c r="L1755" s="248"/>
      <c r="M1755" s="248" t="s">
        <v>3008</v>
      </c>
    </row>
    <row r="1756" spans="1:13" ht="20.100000000000001" customHeight="1">
      <c r="A1756" s="248"/>
      <c r="B1756" s="248" t="s">
        <v>5631</v>
      </c>
      <c r="C1756" s="248" t="s">
        <v>4036</v>
      </c>
      <c r="D1756" s="248"/>
      <c r="E1756" s="248"/>
      <c r="F1756" s="248"/>
      <c r="G1756" s="248" t="s">
        <v>2298</v>
      </c>
      <c r="H1756" s="248"/>
      <c r="I1756" s="248"/>
      <c r="J1756" s="248"/>
      <c r="K1756" s="248"/>
      <c r="L1756" s="248"/>
      <c r="M1756" s="248" t="s">
        <v>2299</v>
      </c>
    </row>
    <row r="1757" spans="1:13" ht="20.100000000000001" customHeight="1">
      <c r="A1757" s="248"/>
      <c r="B1757" s="248" t="s">
        <v>5632</v>
      </c>
      <c r="C1757" s="248" t="s">
        <v>4014</v>
      </c>
      <c r="D1757" s="248"/>
      <c r="E1757" s="248"/>
      <c r="F1757" s="248"/>
      <c r="G1757" s="248" t="s">
        <v>2300</v>
      </c>
      <c r="H1757" s="248"/>
      <c r="I1757" s="248"/>
      <c r="J1757" s="248"/>
      <c r="K1757" s="248"/>
      <c r="L1757" s="248"/>
      <c r="M1757" s="248" t="s">
        <v>2301</v>
      </c>
    </row>
    <row r="1758" spans="1:13" ht="20.100000000000001" customHeight="1">
      <c r="A1758" s="248"/>
      <c r="B1758" s="248" t="s">
        <v>5633</v>
      </c>
      <c r="C1758" s="248" t="s">
        <v>4008</v>
      </c>
      <c r="D1758" s="248"/>
      <c r="E1758" s="248"/>
      <c r="F1758" s="248"/>
      <c r="G1758" s="248" t="s">
        <v>2302</v>
      </c>
      <c r="H1758" s="248"/>
      <c r="I1758" s="248"/>
      <c r="J1758" s="248"/>
      <c r="K1758" s="248"/>
      <c r="L1758" s="248"/>
      <c r="M1758" s="248" t="s">
        <v>2303</v>
      </c>
    </row>
    <row r="1759" spans="1:13" ht="20.100000000000001" customHeight="1">
      <c r="A1759" s="248"/>
      <c r="B1759" s="248" t="s">
        <v>5634</v>
      </c>
      <c r="C1759" s="248" t="s">
        <v>4025</v>
      </c>
      <c r="D1759" s="248"/>
      <c r="E1759" s="248"/>
      <c r="F1759" s="248"/>
      <c r="G1759" s="248" t="s">
        <v>2304</v>
      </c>
      <c r="H1759" s="248"/>
      <c r="I1759" s="248"/>
      <c r="J1759" s="248"/>
      <c r="K1759" s="248"/>
      <c r="L1759" s="248"/>
      <c r="M1759" s="248" t="s">
        <v>3550</v>
      </c>
    </row>
    <row r="1760" spans="1:13" ht="20.100000000000001" customHeight="1">
      <c r="A1760" s="248"/>
      <c r="B1760" s="248" t="s">
        <v>5635</v>
      </c>
      <c r="C1760" s="248" t="s">
        <v>4121</v>
      </c>
      <c r="D1760" s="248"/>
      <c r="E1760" s="248"/>
      <c r="F1760" s="248"/>
      <c r="G1760" s="248" t="s">
        <v>2305</v>
      </c>
      <c r="H1760" s="248"/>
      <c r="I1760" s="248"/>
      <c r="J1760" s="248"/>
      <c r="K1760" s="248"/>
      <c r="L1760" s="248"/>
      <c r="M1760" s="248" t="s">
        <v>2306</v>
      </c>
    </row>
    <row r="1761" spans="1:13" ht="20.100000000000001" customHeight="1">
      <c r="A1761" s="248"/>
      <c r="B1761" s="248" t="s">
        <v>5636</v>
      </c>
      <c r="C1761" s="248" t="s">
        <v>4016</v>
      </c>
      <c r="D1761" s="248"/>
      <c r="E1761" s="248"/>
      <c r="F1761" s="248"/>
      <c r="G1761" s="248" t="s">
        <v>3927</v>
      </c>
      <c r="H1761" s="248"/>
      <c r="I1761" s="248"/>
      <c r="J1761" s="248"/>
      <c r="K1761" s="248"/>
      <c r="L1761" s="248"/>
      <c r="M1761" s="248" t="s">
        <v>3928</v>
      </c>
    </row>
    <row r="1762" spans="1:13" ht="20.100000000000001" customHeight="1">
      <c r="A1762" s="248"/>
      <c r="B1762" s="248" t="s">
        <v>5637</v>
      </c>
      <c r="C1762" s="248" t="s">
        <v>4030</v>
      </c>
      <c r="D1762" s="248"/>
      <c r="E1762" s="248"/>
      <c r="F1762" s="248"/>
      <c r="G1762" s="248" t="s">
        <v>2307</v>
      </c>
      <c r="H1762" s="248"/>
      <c r="I1762" s="248"/>
      <c r="J1762" s="248"/>
      <c r="K1762" s="248"/>
      <c r="L1762" s="248"/>
      <c r="M1762" s="248" t="s">
        <v>2308</v>
      </c>
    </row>
    <row r="1763" spans="1:13" ht="20.100000000000001" customHeight="1">
      <c r="A1763" s="248"/>
      <c r="B1763" s="248" t="s">
        <v>5638</v>
      </c>
      <c r="C1763" s="248" t="s">
        <v>4012</v>
      </c>
      <c r="D1763" s="248"/>
      <c r="E1763" s="248"/>
      <c r="F1763" s="248"/>
      <c r="G1763" s="248" t="s">
        <v>2309</v>
      </c>
      <c r="H1763" s="248"/>
      <c r="I1763" s="248"/>
      <c r="J1763" s="248"/>
      <c r="K1763" s="248"/>
      <c r="L1763" s="248"/>
      <c r="M1763" s="248" t="s">
        <v>2310</v>
      </c>
    </row>
    <row r="1764" spans="1:13" ht="20.100000000000001" customHeight="1">
      <c r="A1764" s="248"/>
      <c r="B1764" s="248" t="s">
        <v>5639</v>
      </c>
      <c r="C1764" s="248" t="s">
        <v>4271</v>
      </c>
      <c r="D1764" s="248"/>
      <c r="E1764" s="248"/>
      <c r="F1764" s="248"/>
      <c r="G1764" s="248" t="s">
        <v>2311</v>
      </c>
      <c r="H1764" s="248"/>
      <c r="I1764" s="248"/>
      <c r="J1764" s="248"/>
      <c r="K1764" s="248"/>
      <c r="L1764" s="248"/>
      <c r="M1764" s="248" t="s">
        <v>2054</v>
      </c>
    </row>
    <row r="1765" spans="1:13" ht="20.100000000000001" customHeight="1">
      <c r="A1765" s="248"/>
      <c r="B1765" s="248" t="s">
        <v>5640</v>
      </c>
      <c r="C1765" s="248" t="s">
        <v>4025</v>
      </c>
      <c r="D1765" s="248"/>
      <c r="E1765" s="248"/>
      <c r="F1765" s="248"/>
      <c r="G1765" s="248" t="s">
        <v>3305</v>
      </c>
      <c r="H1765" s="248"/>
      <c r="I1765" s="248"/>
      <c r="J1765" s="248"/>
      <c r="K1765" s="248"/>
      <c r="L1765" s="248"/>
      <c r="M1765" s="248" t="s">
        <v>3550</v>
      </c>
    </row>
    <row r="1766" spans="1:13" ht="20.100000000000001" customHeight="1">
      <c r="A1766" s="248"/>
      <c r="B1766" s="248" t="s">
        <v>5641</v>
      </c>
      <c r="C1766" s="248" t="s">
        <v>4036</v>
      </c>
      <c r="D1766" s="248"/>
      <c r="E1766" s="248"/>
      <c r="F1766" s="248"/>
      <c r="G1766" s="248" t="s">
        <v>2312</v>
      </c>
      <c r="H1766" s="248"/>
      <c r="I1766" s="248"/>
      <c r="J1766" s="248"/>
      <c r="K1766" s="248"/>
      <c r="L1766" s="248"/>
      <c r="M1766" s="248" t="s">
        <v>3550</v>
      </c>
    </row>
    <row r="1767" spans="1:13" ht="20.100000000000001" customHeight="1">
      <c r="A1767" s="249"/>
      <c r="B1767" s="249" t="s">
        <v>5642</v>
      </c>
      <c r="C1767" s="250" t="s">
        <v>4008</v>
      </c>
      <c r="D1767" s="249"/>
      <c r="E1767" s="249"/>
      <c r="F1767" s="249"/>
      <c r="G1767" s="249" t="s">
        <v>2313</v>
      </c>
      <c r="H1767" s="249"/>
      <c r="I1767" s="249"/>
      <c r="J1767" s="249"/>
      <c r="K1767" s="249"/>
      <c r="L1767" s="249"/>
      <c r="M1767" s="249" t="s">
        <v>2314</v>
      </c>
    </row>
    <row r="1768" spans="1:13" ht="20.100000000000001" customHeight="1">
      <c r="A1768" s="248"/>
      <c r="B1768" s="248" t="s">
        <v>5643</v>
      </c>
      <c r="C1768" s="248" t="s">
        <v>4030</v>
      </c>
      <c r="D1768" s="248"/>
      <c r="E1768" s="248"/>
      <c r="F1768" s="248"/>
      <c r="G1768" s="248" t="s">
        <v>2315</v>
      </c>
      <c r="H1768" s="248"/>
      <c r="I1768" s="248"/>
      <c r="J1768" s="248"/>
      <c r="K1768" s="248"/>
      <c r="L1768" s="248"/>
      <c r="M1768" s="248" t="s">
        <v>2316</v>
      </c>
    </row>
    <row r="1769" spans="1:13" ht="20.100000000000001" customHeight="1">
      <c r="A1769" s="248"/>
      <c r="B1769" s="248" t="s">
        <v>5644</v>
      </c>
      <c r="C1769" s="248" t="s">
        <v>4025</v>
      </c>
      <c r="D1769" s="248"/>
      <c r="E1769" s="248"/>
      <c r="F1769" s="248"/>
      <c r="G1769" s="248" t="s">
        <v>3729</v>
      </c>
      <c r="H1769" s="248"/>
      <c r="I1769" s="248"/>
      <c r="J1769" s="248"/>
      <c r="K1769" s="248"/>
      <c r="L1769" s="248"/>
      <c r="M1769" s="248" t="s">
        <v>3730</v>
      </c>
    </row>
    <row r="1770" spans="1:13" ht="20.100000000000001" customHeight="1">
      <c r="A1770" s="248"/>
      <c r="B1770" s="248" t="s">
        <v>5645</v>
      </c>
      <c r="C1770" s="248" t="s">
        <v>4016</v>
      </c>
      <c r="D1770" s="248"/>
      <c r="E1770" s="248"/>
      <c r="F1770" s="248"/>
      <c r="G1770" s="248" t="s">
        <v>3541</v>
      </c>
      <c r="H1770" s="248"/>
      <c r="I1770" s="248"/>
      <c r="J1770" s="248"/>
      <c r="K1770" s="248"/>
      <c r="L1770" s="248"/>
      <c r="M1770" s="248" t="s">
        <v>3542</v>
      </c>
    </row>
    <row r="1771" spans="1:13" ht="20.100000000000001" customHeight="1">
      <c r="A1771" s="248"/>
      <c r="B1771" s="248" t="s">
        <v>5646</v>
      </c>
      <c r="C1771" s="248" t="s">
        <v>4003</v>
      </c>
      <c r="D1771" s="248"/>
      <c r="E1771" s="248"/>
      <c r="F1771" s="248"/>
      <c r="G1771" s="248" t="s">
        <v>2317</v>
      </c>
      <c r="H1771" s="248"/>
      <c r="I1771" s="248"/>
      <c r="J1771" s="248"/>
      <c r="K1771" s="248"/>
      <c r="L1771" s="248"/>
      <c r="M1771" s="248" t="s">
        <v>2318</v>
      </c>
    </row>
    <row r="1772" spans="1:13" ht="20.100000000000001" customHeight="1">
      <c r="A1772" s="248"/>
      <c r="B1772" s="248" t="s">
        <v>5647</v>
      </c>
      <c r="C1772" s="248" t="s">
        <v>4003</v>
      </c>
      <c r="D1772" s="248"/>
      <c r="E1772" s="248"/>
      <c r="F1772" s="248"/>
      <c r="G1772" s="248" t="s">
        <v>2317</v>
      </c>
      <c r="H1772" s="248"/>
      <c r="I1772" s="248"/>
      <c r="J1772" s="248"/>
      <c r="K1772" s="248"/>
      <c r="L1772" s="248"/>
      <c r="M1772" s="248" t="s">
        <v>2318</v>
      </c>
    </row>
    <row r="1773" spans="1:13" ht="20.100000000000001" customHeight="1">
      <c r="A1773" s="248"/>
      <c r="B1773" s="248" t="s">
        <v>5648</v>
      </c>
      <c r="C1773" s="248" t="s">
        <v>4025</v>
      </c>
      <c r="D1773" s="248"/>
      <c r="E1773" s="248"/>
      <c r="F1773" s="248"/>
      <c r="G1773" s="248" t="s">
        <v>2319</v>
      </c>
      <c r="H1773" s="248"/>
      <c r="I1773" s="248"/>
      <c r="J1773" s="248"/>
      <c r="K1773" s="248"/>
      <c r="L1773" s="248"/>
      <c r="M1773" s="248" t="s">
        <v>2320</v>
      </c>
    </row>
    <row r="1774" spans="1:13" ht="20.100000000000001" customHeight="1">
      <c r="A1774" s="248"/>
      <c r="B1774" s="248" t="s">
        <v>5649</v>
      </c>
      <c r="C1774" s="248" t="s">
        <v>4030</v>
      </c>
      <c r="D1774" s="248"/>
      <c r="E1774" s="248"/>
      <c r="F1774" s="248"/>
      <c r="G1774" s="248" t="s">
        <v>2321</v>
      </c>
      <c r="H1774" s="248"/>
      <c r="I1774" s="248"/>
      <c r="J1774" s="248"/>
      <c r="K1774" s="248"/>
      <c r="L1774" s="248"/>
      <c r="M1774" s="248" t="s">
        <v>2322</v>
      </c>
    </row>
    <row r="1775" spans="1:13" ht="20.100000000000001" customHeight="1">
      <c r="A1775" s="248"/>
      <c r="B1775" s="248" t="s">
        <v>6200</v>
      </c>
      <c r="C1775" s="248" t="s">
        <v>4008</v>
      </c>
      <c r="D1775" s="248"/>
      <c r="E1775" s="248"/>
      <c r="F1775" s="248"/>
      <c r="G1775" s="248" t="s">
        <v>6201</v>
      </c>
      <c r="H1775" s="248"/>
      <c r="I1775" s="248"/>
      <c r="J1775" s="248"/>
      <c r="K1775" s="248"/>
      <c r="L1775" s="248"/>
      <c r="M1775" s="248" t="s">
        <v>3620</v>
      </c>
    </row>
    <row r="1776" spans="1:13" ht="20.100000000000001" customHeight="1">
      <c r="A1776" s="248"/>
      <c r="B1776" s="248" t="s">
        <v>5650</v>
      </c>
      <c r="C1776" s="248" t="s">
        <v>4016</v>
      </c>
      <c r="D1776" s="248"/>
      <c r="E1776" s="248"/>
      <c r="F1776" s="248"/>
      <c r="G1776" s="248" t="s">
        <v>2323</v>
      </c>
      <c r="H1776" s="248"/>
      <c r="I1776" s="248"/>
      <c r="J1776" s="248"/>
      <c r="K1776" s="248"/>
      <c r="L1776" s="248"/>
      <c r="M1776" s="248" t="s">
        <v>2324</v>
      </c>
    </row>
    <row r="1777" spans="1:13" ht="20.100000000000001" customHeight="1">
      <c r="A1777" s="248"/>
      <c r="B1777" s="248" t="s">
        <v>5651</v>
      </c>
      <c r="C1777" s="248" t="s">
        <v>4003</v>
      </c>
      <c r="D1777" s="248"/>
      <c r="E1777" s="248"/>
      <c r="F1777" s="248"/>
      <c r="G1777" s="248" t="s">
        <v>3606</v>
      </c>
      <c r="H1777" s="248"/>
      <c r="I1777" s="248"/>
      <c r="J1777" s="248"/>
      <c r="K1777" s="248"/>
      <c r="L1777" s="248"/>
      <c r="M1777" s="248" t="s">
        <v>196</v>
      </c>
    </row>
    <row r="1778" spans="1:13" ht="20.100000000000001" customHeight="1">
      <c r="A1778" s="248"/>
      <c r="B1778" s="248" t="s">
        <v>5652</v>
      </c>
      <c r="C1778" s="248" t="s">
        <v>4030</v>
      </c>
      <c r="D1778" s="248"/>
      <c r="E1778" s="248"/>
      <c r="F1778" s="248"/>
      <c r="G1778" s="248" t="s">
        <v>2325</v>
      </c>
      <c r="H1778" s="248"/>
      <c r="I1778" s="248"/>
      <c r="J1778" s="248"/>
      <c r="K1778" s="248"/>
      <c r="L1778" s="248"/>
      <c r="M1778" s="248" t="s">
        <v>2326</v>
      </c>
    </row>
    <row r="1779" spans="1:13" ht="20.100000000000001" customHeight="1">
      <c r="A1779" s="248"/>
      <c r="B1779" s="248" t="s">
        <v>5653</v>
      </c>
      <c r="C1779" s="248" t="s">
        <v>4050</v>
      </c>
      <c r="D1779" s="248"/>
      <c r="E1779" s="248"/>
      <c r="F1779" s="248"/>
      <c r="G1779" s="248" t="s">
        <v>2327</v>
      </c>
      <c r="H1779" s="248"/>
      <c r="I1779" s="248"/>
      <c r="J1779" s="248"/>
      <c r="K1779" s="248"/>
      <c r="L1779" s="248"/>
      <c r="M1779" s="248" t="s">
        <v>3709</v>
      </c>
    </row>
    <row r="1780" spans="1:13" ht="20.100000000000001" customHeight="1">
      <c r="A1780" s="248"/>
      <c r="B1780" s="248" t="s">
        <v>5654</v>
      </c>
      <c r="C1780" s="248" t="s">
        <v>4005</v>
      </c>
      <c r="D1780" s="248"/>
      <c r="E1780" s="248"/>
      <c r="F1780" s="248"/>
      <c r="G1780" s="248" t="s">
        <v>2328</v>
      </c>
      <c r="H1780" s="248"/>
      <c r="I1780" s="248"/>
      <c r="J1780" s="248"/>
      <c r="K1780" s="248"/>
      <c r="L1780" s="248"/>
      <c r="M1780" s="248" t="s">
        <v>2329</v>
      </c>
    </row>
    <row r="1781" spans="1:13" ht="20.100000000000001" customHeight="1">
      <c r="A1781" s="248"/>
      <c r="B1781" s="248" t="s">
        <v>5655</v>
      </c>
      <c r="C1781" s="248" t="s">
        <v>4005</v>
      </c>
      <c r="D1781" s="248"/>
      <c r="E1781" s="248"/>
      <c r="F1781" s="248"/>
      <c r="G1781" s="248" t="s">
        <v>3739</v>
      </c>
      <c r="H1781" s="248"/>
      <c r="I1781" s="248"/>
      <c r="J1781" s="248"/>
      <c r="K1781" s="248"/>
      <c r="L1781" s="248"/>
      <c r="M1781" s="248" t="s">
        <v>3740</v>
      </c>
    </row>
    <row r="1782" spans="1:13" ht="20.100000000000001" customHeight="1">
      <c r="A1782" s="248"/>
      <c r="B1782" s="248" t="s">
        <v>5656</v>
      </c>
      <c r="C1782" s="248" t="s">
        <v>4012</v>
      </c>
      <c r="D1782" s="248"/>
      <c r="E1782" s="248"/>
      <c r="F1782" s="248"/>
      <c r="G1782" s="248" t="s">
        <v>2330</v>
      </c>
      <c r="H1782" s="248"/>
      <c r="I1782" s="248"/>
      <c r="J1782" s="248"/>
      <c r="K1782" s="248"/>
      <c r="L1782" s="248"/>
      <c r="M1782" s="248" t="s">
        <v>2331</v>
      </c>
    </row>
    <row r="1783" spans="1:13" ht="20.100000000000001" customHeight="1">
      <c r="A1783" s="248"/>
      <c r="B1783" s="248" t="s">
        <v>5657</v>
      </c>
      <c r="C1783" s="248" t="s">
        <v>4008</v>
      </c>
      <c r="D1783" s="248"/>
      <c r="E1783" s="248"/>
      <c r="F1783" s="248"/>
      <c r="G1783" s="248" t="s">
        <v>2332</v>
      </c>
      <c r="H1783" s="248"/>
      <c r="I1783" s="248"/>
      <c r="J1783" s="248"/>
      <c r="K1783" s="248"/>
      <c r="L1783" s="248"/>
      <c r="M1783" s="248" t="s">
        <v>2333</v>
      </c>
    </row>
    <row r="1784" spans="1:13" ht="20.100000000000001" customHeight="1">
      <c r="A1784" s="248"/>
      <c r="B1784" s="248" t="s">
        <v>5658</v>
      </c>
      <c r="C1784" s="248" t="s">
        <v>4003</v>
      </c>
      <c r="D1784" s="248"/>
      <c r="E1784" s="248"/>
      <c r="F1784" s="248"/>
      <c r="G1784" s="248" t="s">
        <v>2334</v>
      </c>
      <c r="H1784" s="248"/>
      <c r="I1784" s="248"/>
      <c r="J1784" s="248"/>
      <c r="K1784" s="248"/>
      <c r="L1784" s="248"/>
      <c r="M1784" s="248" t="s">
        <v>2335</v>
      </c>
    </row>
    <row r="1785" spans="1:13" ht="20.100000000000001" customHeight="1">
      <c r="A1785" s="248"/>
      <c r="B1785" s="248" t="s">
        <v>5659</v>
      </c>
      <c r="C1785" s="248" t="s">
        <v>4014</v>
      </c>
      <c r="D1785" s="248"/>
      <c r="E1785" s="248"/>
      <c r="F1785" s="248"/>
      <c r="G1785" s="248" t="s">
        <v>2336</v>
      </c>
      <c r="H1785" s="248"/>
      <c r="I1785" s="248"/>
      <c r="J1785" s="248"/>
      <c r="K1785" s="248"/>
      <c r="L1785" s="248"/>
      <c r="M1785" s="248" t="s">
        <v>2337</v>
      </c>
    </row>
    <row r="1786" spans="1:13" ht="20.100000000000001" customHeight="1">
      <c r="A1786" s="248"/>
      <c r="B1786" s="248" t="s">
        <v>5660</v>
      </c>
      <c r="C1786" s="248" t="s">
        <v>4036</v>
      </c>
      <c r="D1786" s="248"/>
      <c r="E1786" s="248"/>
      <c r="F1786" s="248"/>
      <c r="G1786" s="248" t="s">
        <v>2338</v>
      </c>
      <c r="H1786" s="248"/>
      <c r="I1786" s="248"/>
      <c r="J1786" s="248"/>
      <c r="K1786" s="248"/>
      <c r="L1786" s="248"/>
      <c r="M1786" s="248" t="s">
        <v>2339</v>
      </c>
    </row>
    <row r="1787" spans="1:13" ht="20.100000000000001" customHeight="1">
      <c r="A1787" s="248"/>
      <c r="B1787" s="248" t="s">
        <v>5661</v>
      </c>
      <c r="C1787" s="248" t="s">
        <v>4003</v>
      </c>
      <c r="D1787" s="248"/>
      <c r="E1787" s="248"/>
      <c r="F1787" s="248"/>
      <c r="G1787" s="248" t="s">
        <v>2340</v>
      </c>
      <c r="H1787" s="248"/>
      <c r="I1787" s="248"/>
      <c r="J1787" s="248"/>
      <c r="K1787" s="248"/>
      <c r="L1787" s="248"/>
      <c r="M1787" s="248" t="s">
        <v>2341</v>
      </c>
    </row>
    <row r="1788" spans="1:13" ht="20.100000000000001" customHeight="1">
      <c r="A1788" s="248"/>
      <c r="B1788" s="248" t="s">
        <v>5662</v>
      </c>
      <c r="C1788" s="248" t="s">
        <v>4003</v>
      </c>
      <c r="D1788" s="248"/>
      <c r="E1788" s="248"/>
      <c r="F1788" s="248"/>
      <c r="G1788" s="248" t="s">
        <v>2342</v>
      </c>
      <c r="H1788" s="248"/>
      <c r="I1788" s="248"/>
      <c r="J1788" s="248"/>
      <c r="K1788" s="248"/>
      <c r="L1788" s="248"/>
      <c r="M1788" s="248" t="s">
        <v>2343</v>
      </c>
    </row>
    <row r="1789" spans="1:13" ht="20.100000000000001" customHeight="1">
      <c r="A1789" s="249"/>
      <c r="B1789" s="249" t="s">
        <v>5663</v>
      </c>
      <c r="C1789" s="250" t="s">
        <v>4036</v>
      </c>
      <c r="D1789" s="249"/>
      <c r="E1789" s="249"/>
      <c r="F1789" s="249"/>
      <c r="G1789" s="249" t="s">
        <v>2344</v>
      </c>
      <c r="H1789" s="249"/>
      <c r="I1789" s="249"/>
      <c r="J1789" s="249"/>
      <c r="K1789" s="249"/>
      <c r="L1789" s="249"/>
      <c r="M1789" s="249" t="s">
        <v>2345</v>
      </c>
    </row>
    <row r="1790" spans="1:13" ht="20.100000000000001" customHeight="1">
      <c r="A1790" s="248"/>
      <c r="B1790" s="248" t="s">
        <v>5664</v>
      </c>
      <c r="C1790" s="248" t="s">
        <v>4016</v>
      </c>
      <c r="D1790" s="248"/>
      <c r="E1790" s="248"/>
      <c r="F1790" s="248"/>
      <c r="G1790" s="248" t="s">
        <v>2346</v>
      </c>
      <c r="H1790" s="248"/>
      <c r="I1790" s="248"/>
      <c r="J1790" s="248"/>
      <c r="K1790" s="248"/>
      <c r="L1790" s="248"/>
      <c r="M1790" s="248" t="s">
        <v>2347</v>
      </c>
    </row>
    <row r="1791" spans="1:13" ht="20.100000000000001" customHeight="1">
      <c r="A1791" s="248"/>
      <c r="B1791" s="248" t="s">
        <v>5665</v>
      </c>
      <c r="C1791" s="248" t="s">
        <v>4030</v>
      </c>
      <c r="D1791" s="248"/>
      <c r="E1791" s="248"/>
      <c r="F1791" s="248"/>
      <c r="G1791" s="248" t="s">
        <v>2348</v>
      </c>
      <c r="H1791" s="248"/>
      <c r="I1791" s="248"/>
      <c r="J1791" s="248"/>
      <c r="K1791" s="248"/>
      <c r="L1791" s="248"/>
      <c r="M1791" s="248" t="s">
        <v>2349</v>
      </c>
    </row>
    <row r="1792" spans="1:13" ht="20.100000000000001" customHeight="1">
      <c r="A1792" s="248"/>
      <c r="B1792" s="248" t="s">
        <v>5666</v>
      </c>
      <c r="C1792" s="248" t="s">
        <v>4008</v>
      </c>
      <c r="D1792" s="248"/>
      <c r="E1792" s="248"/>
      <c r="F1792" s="248"/>
      <c r="G1792" s="248" t="s">
        <v>3657</v>
      </c>
      <c r="H1792" s="248"/>
      <c r="I1792" s="248"/>
      <c r="J1792" s="248"/>
      <c r="K1792" s="248"/>
      <c r="L1792" s="248"/>
      <c r="M1792" s="248" t="s">
        <v>3658</v>
      </c>
    </row>
    <row r="1793" spans="1:13" ht="20.100000000000001" customHeight="1">
      <c r="A1793" s="248"/>
      <c r="B1793" s="248" t="s">
        <v>5667</v>
      </c>
      <c r="C1793" s="248" t="s">
        <v>4003</v>
      </c>
      <c r="D1793" s="248"/>
      <c r="E1793" s="248"/>
      <c r="F1793" s="248"/>
      <c r="G1793" s="248" t="s">
        <v>2350</v>
      </c>
      <c r="H1793" s="248"/>
      <c r="I1793" s="248"/>
      <c r="J1793" s="248"/>
      <c r="K1793" s="248"/>
      <c r="L1793" s="248"/>
      <c r="M1793" s="248" t="s">
        <v>3550</v>
      </c>
    </row>
    <row r="1794" spans="1:13" ht="20.100000000000001" customHeight="1">
      <c r="A1794" s="248"/>
      <c r="B1794" s="248" t="s">
        <v>5668</v>
      </c>
      <c r="C1794" s="248" t="s">
        <v>4012</v>
      </c>
      <c r="D1794" s="248"/>
      <c r="E1794" s="248"/>
      <c r="F1794" s="248"/>
      <c r="G1794" s="248" t="s">
        <v>2351</v>
      </c>
      <c r="H1794" s="248"/>
      <c r="I1794" s="248"/>
      <c r="J1794" s="248"/>
      <c r="K1794" s="248"/>
      <c r="L1794" s="248"/>
      <c r="M1794" s="248" t="s">
        <v>2352</v>
      </c>
    </row>
    <row r="1795" spans="1:13" ht="20.100000000000001" customHeight="1">
      <c r="A1795" s="248"/>
      <c r="B1795" s="248" t="s">
        <v>5669</v>
      </c>
      <c r="C1795" s="248" t="s">
        <v>4008</v>
      </c>
      <c r="D1795" s="248"/>
      <c r="E1795" s="248"/>
      <c r="F1795" s="248"/>
      <c r="G1795" s="248" t="s">
        <v>3306</v>
      </c>
      <c r="H1795" s="248"/>
      <c r="I1795" s="248"/>
      <c r="J1795" s="248"/>
      <c r="K1795" s="248"/>
      <c r="L1795" s="248"/>
      <c r="M1795" s="248" t="s">
        <v>2353</v>
      </c>
    </row>
    <row r="1796" spans="1:13" ht="20.100000000000001" customHeight="1">
      <c r="A1796" s="248"/>
      <c r="B1796" s="248" t="s">
        <v>5670</v>
      </c>
      <c r="C1796" s="248" t="s">
        <v>4008</v>
      </c>
      <c r="D1796" s="248"/>
      <c r="E1796" s="248"/>
      <c r="F1796" s="248"/>
      <c r="G1796" s="248" t="s">
        <v>2354</v>
      </c>
      <c r="H1796" s="248"/>
      <c r="I1796" s="248"/>
      <c r="J1796" s="248"/>
      <c r="K1796" s="248"/>
      <c r="L1796" s="248"/>
      <c r="M1796" s="248" t="s">
        <v>2355</v>
      </c>
    </row>
    <row r="1797" spans="1:13" ht="20.100000000000001" customHeight="1">
      <c r="A1797" s="248"/>
      <c r="B1797" s="248" t="s">
        <v>5671</v>
      </c>
      <c r="C1797" s="248" t="s">
        <v>4030</v>
      </c>
      <c r="D1797" s="248"/>
      <c r="E1797" s="248"/>
      <c r="F1797" s="248"/>
      <c r="G1797" s="248" t="s">
        <v>3515</v>
      </c>
      <c r="H1797" s="248"/>
      <c r="I1797" s="248"/>
      <c r="J1797" s="248"/>
      <c r="K1797" s="248"/>
      <c r="L1797" s="248"/>
      <c r="M1797" s="248" t="s">
        <v>2498</v>
      </c>
    </row>
    <row r="1798" spans="1:13" ht="20.100000000000001" customHeight="1">
      <c r="A1798" s="248"/>
      <c r="B1798" s="248" t="s">
        <v>5672</v>
      </c>
      <c r="C1798" s="248" t="s">
        <v>4016</v>
      </c>
      <c r="D1798" s="248"/>
      <c r="E1798" s="248"/>
      <c r="F1798" s="248"/>
      <c r="G1798" s="248" t="s">
        <v>2356</v>
      </c>
      <c r="H1798" s="248"/>
      <c r="I1798" s="248"/>
      <c r="J1798" s="248"/>
      <c r="K1798" s="248"/>
      <c r="L1798" s="248"/>
      <c r="M1798" s="248" t="s">
        <v>2357</v>
      </c>
    </row>
    <row r="1799" spans="1:13" ht="20.100000000000001" customHeight="1">
      <c r="A1799" s="248"/>
      <c r="B1799" s="248" t="s">
        <v>5673</v>
      </c>
      <c r="C1799" s="248" t="s">
        <v>4025</v>
      </c>
      <c r="D1799" s="248"/>
      <c r="E1799" s="248"/>
      <c r="F1799" s="248"/>
      <c r="G1799" s="248" t="s">
        <v>2358</v>
      </c>
      <c r="H1799" s="248"/>
      <c r="I1799" s="248"/>
      <c r="J1799" s="248"/>
      <c r="K1799" s="248"/>
      <c r="L1799" s="248"/>
      <c r="M1799" s="248" t="s">
        <v>2359</v>
      </c>
    </row>
    <row r="1800" spans="1:13" ht="20.100000000000001" customHeight="1">
      <c r="A1800" s="248"/>
      <c r="B1800" s="248" t="s">
        <v>5674</v>
      </c>
      <c r="C1800" s="248" t="s">
        <v>4008</v>
      </c>
      <c r="D1800" s="248"/>
      <c r="E1800" s="248"/>
      <c r="F1800" s="248"/>
      <c r="G1800" s="248" t="s">
        <v>3762</v>
      </c>
      <c r="H1800" s="248"/>
      <c r="I1800" s="248"/>
      <c r="J1800" s="248"/>
      <c r="K1800" s="248"/>
      <c r="L1800" s="248"/>
      <c r="M1800" s="248" t="s">
        <v>196</v>
      </c>
    </row>
    <row r="1801" spans="1:13" ht="20.100000000000001" customHeight="1">
      <c r="A1801" s="248"/>
      <c r="B1801" s="248" t="s">
        <v>5675</v>
      </c>
      <c r="C1801" s="248" t="s">
        <v>4008</v>
      </c>
      <c r="D1801" s="248"/>
      <c r="E1801" s="248"/>
      <c r="F1801" s="248"/>
      <c r="G1801" s="248" t="s">
        <v>3250</v>
      </c>
      <c r="H1801" s="248"/>
      <c r="I1801" s="248"/>
      <c r="J1801" s="248"/>
      <c r="K1801" s="248"/>
      <c r="L1801" s="248"/>
      <c r="M1801" s="248" t="s">
        <v>3251</v>
      </c>
    </row>
    <row r="1802" spans="1:13" ht="20.100000000000001" customHeight="1">
      <c r="A1802" s="248"/>
      <c r="B1802" s="248" t="s">
        <v>6410</v>
      </c>
      <c r="C1802" s="248" t="s">
        <v>4008</v>
      </c>
      <c r="D1802" s="248"/>
      <c r="E1802" s="248"/>
      <c r="F1802" s="248"/>
      <c r="G1802" s="248" t="s">
        <v>6411</v>
      </c>
      <c r="H1802" s="248"/>
      <c r="I1802" s="248"/>
      <c r="J1802" s="248"/>
      <c r="K1802" s="248"/>
      <c r="L1802" s="248"/>
      <c r="M1802" s="248" t="s">
        <v>6412</v>
      </c>
    </row>
    <row r="1803" spans="1:13" ht="20.100000000000001" customHeight="1">
      <c r="A1803" s="248"/>
      <c r="B1803" s="248" t="s">
        <v>5676</v>
      </c>
      <c r="C1803" s="248" t="s">
        <v>4025</v>
      </c>
      <c r="D1803" s="248"/>
      <c r="E1803" s="248"/>
      <c r="F1803" s="248"/>
      <c r="G1803" s="248" t="s">
        <v>3543</v>
      </c>
      <c r="H1803" s="248"/>
      <c r="I1803" s="248"/>
      <c r="J1803" s="248"/>
      <c r="K1803" s="248"/>
      <c r="L1803" s="248"/>
      <c r="M1803" s="248" t="s">
        <v>3544</v>
      </c>
    </row>
    <row r="1804" spans="1:13" ht="20.100000000000001" customHeight="1">
      <c r="A1804" s="248"/>
      <c r="B1804" s="248" t="s">
        <v>6413</v>
      </c>
      <c r="C1804" s="248" t="s">
        <v>4008</v>
      </c>
      <c r="D1804" s="248"/>
      <c r="E1804" s="248"/>
      <c r="F1804" s="248"/>
      <c r="G1804" s="248" t="s">
        <v>6414</v>
      </c>
      <c r="H1804" s="248"/>
      <c r="I1804" s="248"/>
      <c r="J1804" s="248"/>
      <c r="K1804" s="248"/>
      <c r="L1804" s="248"/>
      <c r="M1804" s="248" t="s">
        <v>6415</v>
      </c>
    </row>
    <row r="1805" spans="1:13" ht="20.100000000000001" customHeight="1">
      <c r="A1805" s="248"/>
      <c r="B1805" s="248" t="s">
        <v>5677</v>
      </c>
      <c r="C1805" s="248" t="s">
        <v>4036</v>
      </c>
      <c r="D1805" s="248"/>
      <c r="E1805" s="248"/>
      <c r="F1805" s="248"/>
      <c r="G1805" s="248" t="s">
        <v>2360</v>
      </c>
      <c r="H1805" s="248"/>
      <c r="I1805" s="248"/>
      <c r="J1805" s="248"/>
      <c r="K1805" s="248"/>
      <c r="L1805" s="248"/>
      <c r="M1805" s="248" t="s">
        <v>2361</v>
      </c>
    </row>
    <row r="1806" spans="1:13" ht="20.100000000000001" customHeight="1">
      <c r="A1806" s="248"/>
      <c r="B1806" s="248" t="s">
        <v>5678</v>
      </c>
      <c r="C1806" s="248" t="s">
        <v>4036</v>
      </c>
      <c r="D1806" s="248"/>
      <c r="E1806" s="248"/>
      <c r="F1806" s="248"/>
      <c r="G1806" s="248" t="s">
        <v>2362</v>
      </c>
      <c r="H1806" s="248"/>
      <c r="I1806" s="248"/>
      <c r="J1806" s="248"/>
      <c r="K1806" s="248"/>
      <c r="L1806" s="248"/>
      <c r="M1806" s="248" t="s">
        <v>2363</v>
      </c>
    </row>
    <row r="1807" spans="1:13" ht="20.100000000000001" customHeight="1">
      <c r="A1807" s="248"/>
      <c r="B1807" s="248" t="s">
        <v>5679</v>
      </c>
      <c r="C1807" s="248" t="s">
        <v>4271</v>
      </c>
      <c r="D1807" s="248"/>
      <c r="E1807" s="248"/>
      <c r="F1807" s="248"/>
      <c r="G1807" s="248" t="s">
        <v>2364</v>
      </c>
      <c r="H1807" s="248"/>
      <c r="I1807" s="248"/>
      <c r="J1807" s="248"/>
      <c r="K1807" s="248"/>
      <c r="L1807" s="248"/>
      <c r="M1807" s="248" t="s">
        <v>2365</v>
      </c>
    </row>
    <row r="1808" spans="1:13" ht="20.100000000000001" customHeight="1">
      <c r="A1808" s="248"/>
      <c r="B1808" s="248" t="s">
        <v>5680</v>
      </c>
      <c r="C1808" s="248" t="s">
        <v>4014</v>
      </c>
      <c r="D1808" s="248"/>
      <c r="E1808" s="248"/>
      <c r="F1808" s="248"/>
      <c r="G1808" s="248" t="s">
        <v>2366</v>
      </c>
      <c r="H1808" s="248"/>
      <c r="I1808" s="248"/>
      <c r="J1808" s="248"/>
      <c r="K1808" s="248"/>
      <c r="L1808" s="248"/>
      <c r="M1808" s="248" t="s">
        <v>3550</v>
      </c>
    </row>
    <row r="1809" spans="1:13" ht="20.100000000000001" customHeight="1">
      <c r="A1809" s="248"/>
      <c r="B1809" s="248" t="s">
        <v>6330</v>
      </c>
      <c r="C1809" s="248" t="s">
        <v>4036</v>
      </c>
      <c r="D1809" s="248"/>
      <c r="E1809" s="248"/>
      <c r="F1809" s="248"/>
      <c r="G1809" s="248" t="s">
        <v>6331</v>
      </c>
      <c r="H1809" s="248"/>
      <c r="I1809" s="248"/>
      <c r="J1809" s="248"/>
      <c r="K1809" s="248"/>
      <c r="L1809" s="248"/>
      <c r="M1809" s="248" t="s">
        <v>3863</v>
      </c>
    </row>
    <row r="1810" spans="1:13" ht="20.100000000000001" customHeight="1">
      <c r="A1810" s="248"/>
      <c r="B1810" s="248" t="s">
        <v>5681</v>
      </c>
      <c r="C1810" s="248" t="s">
        <v>4036</v>
      </c>
      <c r="D1810" s="248"/>
      <c r="E1810" s="248"/>
      <c r="F1810" s="248"/>
      <c r="G1810" s="248" t="s">
        <v>2367</v>
      </c>
      <c r="H1810" s="248"/>
      <c r="I1810" s="248"/>
      <c r="J1810" s="248"/>
      <c r="K1810" s="248"/>
      <c r="L1810" s="248"/>
      <c r="M1810" s="248" t="s">
        <v>3550</v>
      </c>
    </row>
    <row r="1811" spans="1:13" ht="20.100000000000001" customHeight="1">
      <c r="A1811" s="248"/>
      <c r="B1811" s="248" t="s">
        <v>5682</v>
      </c>
      <c r="C1811" s="248" t="s">
        <v>4016</v>
      </c>
      <c r="D1811" s="248"/>
      <c r="E1811" s="248"/>
      <c r="F1811" s="248"/>
      <c r="G1811" s="248" t="s">
        <v>2510</v>
      </c>
      <c r="H1811" s="248"/>
      <c r="I1811" s="248"/>
      <c r="J1811" s="248"/>
      <c r="K1811" s="248"/>
      <c r="L1811" s="248"/>
      <c r="M1811" s="248" t="s">
        <v>2511</v>
      </c>
    </row>
    <row r="1812" spans="1:13" ht="20.100000000000001" customHeight="1">
      <c r="A1812" s="248"/>
      <c r="B1812" s="248" t="s">
        <v>5683</v>
      </c>
      <c r="C1812" s="248" t="s">
        <v>4012</v>
      </c>
      <c r="D1812" s="248"/>
      <c r="E1812" s="248"/>
      <c r="F1812" s="248"/>
      <c r="G1812" s="248" t="s">
        <v>3093</v>
      </c>
      <c r="H1812" s="248"/>
      <c r="I1812" s="248"/>
      <c r="J1812" s="248"/>
      <c r="K1812" s="248"/>
      <c r="L1812" s="248"/>
      <c r="M1812" s="248" t="s">
        <v>3094</v>
      </c>
    </row>
    <row r="1813" spans="1:13" ht="20.100000000000001" customHeight="1">
      <c r="A1813" s="248"/>
      <c r="B1813" s="248" t="s">
        <v>5684</v>
      </c>
      <c r="C1813" s="248" t="s">
        <v>4003</v>
      </c>
      <c r="D1813" s="248"/>
      <c r="E1813" s="248"/>
      <c r="F1813" s="248"/>
      <c r="G1813" s="248" t="s">
        <v>2368</v>
      </c>
      <c r="H1813" s="248"/>
      <c r="I1813" s="248"/>
      <c r="J1813" s="248"/>
      <c r="K1813" s="248"/>
      <c r="L1813" s="248"/>
      <c r="M1813" s="248" t="s">
        <v>2369</v>
      </c>
    </row>
    <row r="1814" spans="1:13" ht="20.100000000000001" customHeight="1">
      <c r="A1814" s="248"/>
      <c r="B1814" s="248" t="s">
        <v>5685</v>
      </c>
      <c r="C1814" s="248" t="s">
        <v>4012</v>
      </c>
      <c r="D1814" s="248"/>
      <c r="E1814" s="248"/>
      <c r="F1814" s="248"/>
      <c r="G1814" s="248" t="s">
        <v>2370</v>
      </c>
      <c r="H1814" s="248"/>
      <c r="I1814" s="248"/>
      <c r="J1814" s="248"/>
      <c r="K1814" s="248"/>
      <c r="L1814" s="248"/>
      <c r="M1814" s="248" t="s">
        <v>2371</v>
      </c>
    </row>
    <row r="1815" spans="1:13" ht="20.100000000000001" customHeight="1">
      <c r="A1815" s="248"/>
      <c r="B1815" s="248" t="s">
        <v>6527</v>
      </c>
      <c r="C1815" s="248" t="s">
        <v>4012</v>
      </c>
      <c r="D1815" s="248"/>
      <c r="E1815" s="248"/>
      <c r="F1815" s="248"/>
      <c r="G1815" s="248" t="s">
        <v>6522</v>
      </c>
      <c r="H1815" s="248"/>
      <c r="I1815" s="248"/>
      <c r="J1815" s="248"/>
      <c r="K1815" s="248"/>
      <c r="L1815" s="248"/>
      <c r="M1815" s="248" t="s">
        <v>6523</v>
      </c>
    </row>
    <row r="1816" spans="1:13" ht="20.100000000000001" customHeight="1">
      <c r="A1816" s="248"/>
      <c r="B1816" s="248" t="s">
        <v>5686</v>
      </c>
      <c r="C1816" s="248" t="s">
        <v>4014</v>
      </c>
      <c r="D1816" s="248"/>
      <c r="E1816" s="248"/>
      <c r="F1816" s="248"/>
      <c r="G1816" s="248" t="s">
        <v>2372</v>
      </c>
      <c r="H1816" s="248"/>
      <c r="I1816" s="248"/>
      <c r="J1816" s="248"/>
      <c r="K1816" s="248"/>
      <c r="L1816" s="248"/>
      <c r="M1816" s="248" t="s">
        <v>2373</v>
      </c>
    </row>
    <row r="1817" spans="1:13" ht="20.100000000000001" customHeight="1">
      <c r="A1817" s="248"/>
      <c r="B1817" s="248" t="s">
        <v>5687</v>
      </c>
      <c r="C1817" s="248" t="s">
        <v>4030</v>
      </c>
      <c r="D1817" s="248"/>
      <c r="E1817" s="248"/>
      <c r="F1817" s="248"/>
      <c r="G1817" s="248" t="s">
        <v>6647</v>
      </c>
      <c r="H1817" s="248"/>
      <c r="I1817" s="248"/>
      <c r="J1817" s="248"/>
      <c r="K1817" s="248"/>
      <c r="L1817" s="248"/>
      <c r="M1817" s="248" t="s">
        <v>6648</v>
      </c>
    </row>
    <row r="1818" spans="1:13" ht="20.100000000000001" customHeight="1">
      <c r="A1818" s="248"/>
      <c r="B1818" s="248" t="s">
        <v>5688</v>
      </c>
      <c r="C1818" s="248" t="s">
        <v>4025</v>
      </c>
      <c r="D1818" s="248"/>
      <c r="E1818" s="248"/>
      <c r="F1818" s="248"/>
      <c r="G1818" s="248" t="s">
        <v>3887</v>
      </c>
      <c r="H1818" s="248"/>
      <c r="I1818" s="248"/>
      <c r="J1818" s="248"/>
      <c r="K1818" s="248"/>
      <c r="L1818" s="248"/>
      <c r="M1818" s="248" t="s">
        <v>2374</v>
      </c>
    </row>
    <row r="1819" spans="1:13" ht="20.100000000000001" customHeight="1">
      <c r="A1819" s="248"/>
      <c r="B1819" s="248" t="s">
        <v>6202</v>
      </c>
      <c r="C1819" s="248" t="s">
        <v>4008</v>
      </c>
      <c r="D1819" s="248"/>
      <c r="E1819" s="248"/>
      <c r="F1819" s="248"/>
      <c r="G1819" s="248" t="s">
        <v>6203</v>
      </c>
      <c r="H1819" s="248"/>
      <c r="I1819" s="248"/>
      <c r="J1819" s="248"/>
      <c r="K1819" s="248"/>
      <c r="L1819" s="248"/>
      <c r="M1819" s="248" t="s">
        <v>6204</v>
      </c>
    </row>
    <row r="1820" spans="1:13" ht="20.100000000000001" customHeight="1">
      <c r="A1820" s="248"/>
      <c r="B1820" s="248" t="s">
        <v>5689</v>
      </c>
      <c r="C1820" s="248" t="s">
        <v>4008</v>
      </c>
      <c r="D1820" s="248"/>
      <c r="E1820" s="248"/>
      <c r="F1820" s="248"/>
      <c r="G1820" s="248" t="s">
        <v>2375</v>
      </c>
      <c r="H1820" s="248"/>
      <c r="I1820" s="248"/>
      <c r="J1820" s="248"/>
      <c r="K1820" s="248"/>
      <c r="L1820" s="248"/>
      <c r="M1820" s="248" t="s">
        <v>2376</v>
      </c>
    </row>
    <row r="1821" spans="1:13" ht="20.100000000000001" customHeight="1">
      <c r="A1821" s="248"/>
      <c r="B1821" s="248" t="s">
        <v>5690</v>
      </c>
      <c r="C1821" s="248" t="s">
        <v>4012</v>
      </c>
      <c r="D1821" s="248"/>
      <c r="E1821" s="248"/>
      <c r="F1821" s="248"/>
      <c r="G1821" s="248" t="s">
        <v>2377</v>
      </c>
      <c r="H1821" s="248"/>
      <c r="I1821" s="248"/>
      <c r="J1821" s="248"/>
      <c r="K1821" s="248"/>
      <c r="L1821" s="248"/>
      <c r="M1821" s="248" t="s">
        <v>2378</v>
      </c>
    </row>
    <row r="1822" spans="1:13" ht="20.100000000000001" customHeight="1">
      <c r="A1822" s="248"/>
      <c r="B1822" s="248" t="s">
        <v>5691</v>
      </c>
      <c r="C1822" s="248" t="s">
        <v>4008</v>
      </c>
      <c r="D1822" s="248"/>
      <c r="E1822" s="248"/>
      <c r="F1822" s="248"/>
      <c r="G1822" s="248" t="s">
        <v>6205</v>
      </c>
      <c r="H1822" s="248"/>
      <c r="I1822" s="248"/>
      <c r="J1822" s="248"/>
      <c r="K1822" s="248"/>
      <c r="L1822" s="248"/>
      <c r="M1822" s="248" t="s">
        <v>847</v>
      </c>
    </row>
    <row r="1823" spans="1:13" ht="20.100000000000001" customHeight="1">
      <c r="A1823" s="248"/>
      <c r="B1823" s="248" t="s">
        <v>5692</v>
      </c>
      <c r="C1823" s="248" t="s">
        <v>4036</v>
      </c>
      <c r="D1823" s="248"/>
      <c r="E1823" s="248"/>
      <c r="F1823" s="248"/>
      <c r="G1823" s="248" t="s">
        <v>3115</v>
      </c>
      <c r="H1823" s="248"/>
      <c r="I1823" s="248"/>
      <c r="J1823" s="248"/>
      <c r="K1823" s="248"/>
      <c r="L1823" s="248"/>
      <c r="M1823" s="248" t="s">
        <v>196</v>
      </c>
    </row>
    <row r="1824" spans="1:13" ht="20.100000000000001" customHeight="1">
      <c r="A1824" s="248"/>
      <c r="B1824" s="248" t="s">
        <v>6416</v>
      </c>
      <c r="C1824" s="248" t="s">
        <v>4036</v>
      </c>
      <c r="D1824" s="248"/>
      <c r="E1824" s="248"/>
      <c r="F1824" s="248"/>
      <c r="G1824" s="248" t="s">
        <v>6417</v>
      </c>
      <c r="H1824" s="248"/>
      <c r="I1824" s="248"/>
      <c r="J1824" s="248"/>
      <c r="K1824" s="248"/>
      <c r="L1824" s="248"/>
      <c r="M1824" s="248" t="s">
        <v>6418</v>
      </c>
    </row>
    <row r="1825" spans="1:13" ht="20.100000000000001" customHeight="1">
      <c r="A1825" s="248"/>
      <c r="B1825" s="248" t="s">
        <v>5693</v>
      </c>
      <c r="C1825" s="248" t="s">
        <v>4036</v>
      </c>
      <c r="D1825" s="248"/>
      <c r="E1825" s="248"/>
      <c r="F1825" s="248"/>
      <c r="G1825" s="248" t="s">
        <v>3516</v>
      </c>
      <c r="H1825" s="248"/>
      <c r="I1825" s="248"/>
      <c r="J1825" s="248"/>
      <c r="K1825" s="248"/>
      <c r="L1825" s="248"/>
      <c r="M1825" s="248" t="s">
        <v>196</v>
      </c>
    </row>
    <row r="1826" spans="1:13" ht="20.100000000000001" customHeight="1">
      <c r="A1826" s="248"/>
      <c r="B1826" s="248" t="s">
        <v>5694</v>
      </c>
      <c r="C1826" s="248" t="s">
        <v>4271</v>
      </c>
      <c r="D1826" s="248"/>
      <c r="E1826" s="248"/>
      <c r="F1826" s="248"/>
      <c r="G1826" s="248" t="s">
        <v>2379</v>
      </c>
      <c r="H1826" s="248"/>
      <c r="I1826" s="248"/>
      <c r="J1826" s="248"/>
      <c r="K1826" s="248"/>
      <c r="L1826" s="248"/>
      <c r="M1826" s="248" t="s">
        <v>2380</v>
      </c>
    </row>
    <row r="1827" spans="1:13" ht="20.100000000000001" customHeight="1">
      <c r="A1827" s="248"/>
      <c r="B1827" s="248" t="s">
        <v>5695</v>
      </c>
      <c r="C1827" s="248" t="s">
        <v>4271</v>
      </c>
      <c r="D1827" s="248"/>
      <c r="E1827" s="248"/>
      <c r="F1827" s="248"/>
      <c r="G1827" s="248" t="s">
        <v>2381</v>
      </c>
      <c r="H1827" s="248"/>
      <c r="I1827" s="248"/>
      <c r="J1827" s="248"/>
      <c r="K1827" s="248"/>
      <c r="L1827" s="248"/>
      <c r="M1827" s="248" t="s">
        <v>2380</v>
      </c>
    </row>
    <row r="1828" spans="1:13" ht="20.100000000000001" customHeight="1">
      <c r="A1828" s="248"/>
      <c r="B1828" s="248" t="s">
        <v>5696</v>
      </c>
      <c r="C1828" s="248" t="s">
        <v>4025</v>
      </c>
      <c r="D1828" s="248"/>
      <c r="E1828" s="248"/>
      <c r="F1828" s="248"/>
      <c r="G1828" s="248" t="s">
        <v>2382</v>
      </c>
      <c r="H1828" s="248"/>
      <c r="I1828" s="248"/>
      <c r="J1828" s="248"/>
      <c r="K1828" s="248"/>
      <c r="L1828" s="248"/>
      <c r="M1828" s="248" t="s">
        <v>2383</v>
      </c>
    </row>
    <row r="1829" spans="1:13" ht="20.100000000000001" customHeight="1">
      <c r="A1829" s="248"/>
      <c r="B1829" s="248" t="s">
        <v>5697</v>
      </c>
      <c r="C1829" s="248" t="s">
        <v>4036</v>
      </c>
      <c r="D1829" s="248"/>
      <c r="E1829" s="248"/>
      <c r="F1829" s="248"/>
      <c r="G1829" s="248" t="s">
        <v>3587</v>
      </c>
      <c r="H1829" s="248"/>
      <c r="I1829" s="248"/>
      <c r="J1829" s="248"/>
      <c r="K1829" s="248"/>
      <c r="L1829" s="248"/>
      <c r="M1829" s="248" t="s">
        <v>3550</v>
      </c>
    </row>
    <row r="1830" spans="1:13" ht="20.100000000000001" customHeight="1">
      <c r="A1830" s="248"/>
      <c r="B1830" s="248" t="s">
        <v>5698</v>
      </c>
      <c r="C1830" s="248" t="s">
        <v>4030</v>
      </c>
      <c r="D1830" s="248"/>
      <c r="E1830" s="248"/>
      <c r="F1830" s="248"/>
      <c r="G1830" s="248" t="s">
        <v>2384</v>
      </c>
      <c r="H1830" s="248"/>
      <c r="I1830" s="248"/>
      <c r="J1830" s="248"/>
      <c r="K1830" s="248"/>
      <c r="L1830" s="248"/>
      <c r="M1830" s="248" t="s">
        <v>2385</v>
      </c>
    </row>
    <row r="1831" spans="1:13" ht="20.100000000000001" customHeight="1">
      <c r="A1831" s="248"/>
      <c r="B1831" s="248" t="s">
        <v>5699</v>
      </c>
      <c r="C1831" s="248" t="s">
        <v>4012</v>
      </c>
      <c r="D1831" s="248"/>
      <c r="E1831" s="248"/>
      <c r="F1831" s="248"/>
      <c r="G1831" s="248" t="s">
        <v>2386</v>
      </c>
      <c r="H1831" s="248"/>
      <c r="I1831" s="248"/>
      <c r="J1831" s="248"/>
      <c r="K1831" s="248"/>
      <c r="L1831" s="248"/>
      <c r="M1831" s="248" t="s">
        <v>1184</v>
      </c>
    </row>
    <row r="1832" spans="1:13" ht="20.100000000000001" customHeight="1">
      <c r="A1832" s="248"/>
      <c r="B1832" s="248" t="s">
        <v>6589</v>
      </c>
      <c r="C1832" s="248" t="s">
        <v>4036</v>
      </c>
      <c r="D1832" s="248"/>
      <c r="E1832" s="248"/>
      <c r="F1832" s="248"/>
      <c r="G1832" s="248" t="s">
        <v>6590</v>
      </c>
      <c r="H1832" s="248"/>
      <c r="I1832" s="248"/>
      <c r="J1832" s="248"/>
      <c r="K1832" s="248"/>
      <c r="L1832" s="248"/>
      <c r="M1832" s="248" t="s">
        <v>6591</v>
      </c>
    </row>
    <row r="1833" spans="1:13" ht="20.100000000000001" customHeight="1">
      <c r="A1833" s="248"/>
      <c r="B1833" s="248" t="s">
        <v>5700</v>
      </c>
      <c r="C1833" s="248" t="s">
        <v>4016</v>
      </c>
      <c r="D1833" s="248"/>
      <c r="E1833" s="248"/>
      <c r="F1833" s="248"/>
      <c r="G1833" s="248" t="s">
        <v>2387</v>
      </c>
      <c r="H1833" s="248"/>
      <c r="I1833" s="248"/>
      <c r="J1833" s="248"/>
      <c r="K1833" s="248"/>
      <c r="L1833" s="248"/>
      <c r="M1833" s="248" t="s">
        <v>2388</v>
      </c>
    </row>
    <row r="1834" spans="1:13" ht="20.100000000000001" customHeight="1">
      <c r="A1834" s="248"/>
      <c r="B1834" s="248" t="s">
        <v>5701</v>
      </c>
      <c r="C1834" s="248" t="s">
        <v>4016</v>
      </c>
      <c r="D1834" s="248"/>
      <c r="E1834" s="248"/>
      <c r="F1834" s="248"/>
      <c r="G1834" s="248" t="s">
        <v>2389</v>
      </c>
      <c r="H1834" s="248"/>
      <c r="I1834" s="248"/>
      <c r="J1834" s="248"/>
      <c r="K1834" s="248"/>
      <c r="L1834" s="248"/>
      <c r="M1834" s="248" t="s">
        <v>2390</v>
      </c>
    </row>
    <row r="1835" spans="1:13" ht="20.100000000000001" customHeight="1">
      <c r="A1835" s="248"/>
      <c r="B1835" s="248" t="s">
        <v>5702</v>
      </c>
      <c r="C1835" s="248" t="s">
        <v>4036</v>
      </c>
      <c r="D1835" s="248"/>
      <c r="E1835" s="248"/>
      <c r="F1835" s="248"/>
      <c r="G1835" s="248" t="s">
        <v>3806</v>
      </c>
      <c r="H1835" s="248"/>
      <c r="I1835" s="248"/>
      <c r="J1835" s="248"/>
      <c r="K1835" s="248"/>
      <c r="L1835" s="248"/>
      <c r="M1835" s="248" t="s">
        <v>196</v>
      </c>
    </row>
    <row r="1836" spans="1:13" ht="20.100000000000001" customHeight="1">
      <c r="A1836" s="248"/>
      <c r="B1836" s="248" t="s">
        <v>5703</v>
      </c>
      <c r="C1836" s="248" t="s">
        <v>4036</v>
      </c>
      <c r="D1836" s="248"/>
      <c r="E1836" s="248"/>
      <c r="F1836" s="248"/>
      <c r="G1836" s="248" t="s">
        <v>2391</v>
      </c>
      <c r="H1836" s="248"/>
      <c r="I1836" s="248"/>
      <c r="J1836" s="248"/>
      <c r="K1836" s="248"/>
      <c r="L1836" s="248"/>
      <c r="M1836" s="248" t="s">
        <v>3550</v>
      </c>
    </row>
    <row r="1837" spans="1:13" ht="20.100000000000001" customHeight="1">
      <c r="A1837" s="248"/>
      <c r="B1837" s="248" t="s">
        <v>5704</v>
      </c>
      <c r="C1837" s="248" t="s">
        <v>4016</v>
      </c>
      <c r="D1837" s="248"/>
      <c r="E1837" s="248"/>
      <c r="F1837" s="248"/>
      <c r="G1837" s="248" t="s">
        <v>2392</v>
      </c>
      <c r="H1837" s="248"/>
      <c r="I1837" s="248"/>
      <c r="J1837" s="248"/>
      <c r="K1837" s="248"/>
      <c r="L1837" s="248"/>
      <c r="M1837" s="248" t="s">
        <v>2393</v>
      </c>
    </row>
    <row r="1838" spans="1:13" ht="20.100000000000001" customHeight="1">
      <c r="A1838" s="248"/>
      <c r="B1838" s="248" t="s">
        <v>5705</v>
      </c>
      <c r="C1838" s="248" t="s">
        <v>4016</v>
      </c>
      <c r="D1838" s="248"/>
      <c r="E1838" s="248"/>
      <c r="F1838" s="248"/>
      <c r="G1838" s="248" t="s">
        <v>2394</v>
      </c>
      <c r="H1838" s="248"/>
      <c r="I1838" s="248"/>
      <c r="J1838" s="248"/>
      <c r="K1838" s="248"/>
      <c r="L1838" s="248"/>
      <c r="M1838" s="248" t="s">
        <v>2395</v>
      </c>
    </row>
    <row r="1839" spans="1:13" ht="20.100000000000001" customHeight="1">
      <c r="A1839" s="248"/>
      <c r="B1839" s="248" t="s">
        <v>5706</v>
      </c>
      <c r="C1839" s="248" t="s">
        <v>4016</v>
      </c>
      <c r="D1839" s="248"/>
      <c r="E1839" s="248"/>
      <c r="F1839" s="248"/>
      <c r="G1839" s="248" t="s">
        <v>2396</v>
      </c>
      <c r="H1839" s="248"/>
      <c r="I1839" s="248"/>
      <c r="J1839" s="248"/>
      <c r="K1839" s="248"/>
      <c r="L1839" s="248"/>
      <c r="M1839" s="248" t="s">
        <v>2397</v>
      </c>
    </row>
    <row r="1840" spans="1:13" ht="20.100000000000001" customHeight="1">
      <c r="A1840" s="248"/>
      <c r="B1840" s="248" t="s">
        <v>5707</v>
      </c>
      <c r="C1840" s="248" t="s">
        <v>4030</v>
      </c>
      <c r="D1840" s="248"/>
      <c r="E1840" s="248"/>
      <c r="F1840" s="248"/>
      <c r="G1840" s="248" t="s">
        <v>2398</v>
      </c>
      <c r="H1840" s="248"/>
      <c r="I1840" s="248"/>
      <c r="J1840" s="248"/>
      <c r="K1840" s="248"/>
      <c r="L1840" s="248"/>
      <c r="M1840" s="248" t="s">
        <v>2399</v>
      </c>
    </row>
    <row r="1841" spans="1:13" ht="20.100000000000001" customHeight="1">
      <c r="A1841" s="248"/>
      <c r="B1841" s="248" t="s">
        <v>5708</v>
      </c>
      <c r="C1841" s="248" t="s">
        <v>4036</v>
      </c>
      <c r="D1841" s="248"/>
      <c r="E1841" s="248"/>
      <c r="F1841" s="248"/>
      <c r="G1841" s="248" t="s">
        <v>2400</v>
      </c>
      <c r="H1841" s="248"/>
      <c r="I1841" s="248"/>
      <c r="J1841" s="248"/>
      <c r="K1841" s="248"/>
      <c r="L1841" s="248"/>
      <c r="M1841" s="248" t="s">
        <v>2401</v>
      </c>
    </row>
    <row r="1842" spans="1:13" ht="20.100000000000001" customHeight="1">
      <c r="A1842" s="248"/>
      <c r="B1842" s="248" t="s">
        <v>5709</v>
      </c>
      <c r="C1842" s="248" t="s">
        <v>4036</v>
      </c>
      <c r="D1842" s="248"/>
      <c r="E1842" s="248"/>
      <c r="F1842" s="248"/>
      <c r="G1842" s="248" t="s">
        <v>2402</v>
      </c>
      <c r="H1842" s="248"/>
      <c r="I1842" s="248"/>
      <c r="J1842" s="248"/>
      <c r="K1842" s="248"/>
      <c r="L1842" s="248"/>
      <c r="M1842" s="248" t="s">
        <v>2403</v>
      </c>
    </row>
    <row r="1843" spans="1:13" ht="20.100000000000001" customHeight="1">
      <c r="A1843" s="248"/>
      <c r="B1843" s="248" t="s">
        <v>5710</v>
      </c>
      <c r="C1843" s="248" t="s">
        <v>4005</v>
      </c>
      <c r="D1843" s="248"/>
      <c r="E1843" s="248"/>
      <c r="F1843" s="248"/>
      <c r="G1843" s="248" t="s">
        <v>2405</v>
      </c>
      <c r="H1843" s="248"/>
      <c r="I1843" s="248"/>
      <c r="J1843" s="248"/>
      <c r="K1843" s="248"/>
      <c r="L1843" s="248"/>
      <c r="M1843" s="248" t="s">
        <v>2406</v>
      </c>
    </row>
    <row r="1844" spans="1:13" ht="20.100000000000001" customHeight="1">
      <c r="A1844" s="248"/>
      <c r="B1844" s="248" t="s">
        <v>5711</v>
      </c>
      <c r="C1844" s="248" t="s">
        <v>4030</v>
      </c>
      <c r="D1844" s="248"/>
      <c r="E1844" s="248"/>
      <c r="F1844" s="248"/>
      <c r="G1844" s="248" t="s">
        <v>3400</v>
      </c>
      <c r="H1844" s="248"/>
      <c r="I1844" s="248"/>
      <c r="J1844" s="248"/>
      <c r="K1844" s="248"/>
      <c r="L1844" s="248"/>
      <c r="M1844" s="248" t="s">
        <v>2404</v>
      </c>
    </row>
    <row r="1845" spans="1:13" ht="20.100000000000001" customHeight="1">
      <c r="A1845" s="248"/>
      <c r="B1845" s="248" t="s">
        <v>5712</v>
      </c>
      <c r="C1845" s="248" t="s">
        <v>4025</v>
      </c>
      <c r="D1845" s="248"/>
      <c r="E1845" s="248"/>
      <c r="F1845" s="248"/>
      <c r="G1845" s="248" t="s">
        <v>2407</v>
      </c>
      <c r="H1845" s="248"/>
      <c r="I1845" s="248"/>
      <c r="J1845" s="248"/>
      <c r="K1845" s="248"/>
      <c r="L1845" s="248"/>
      <c r="M1845" s="248" t="s">
        <v>2408</v>
      </c>
    </row>
    <row r="1846" spans="1:13" ht="20.100000000000001" customHeight="1">
      <c r="A1846" s="248"/>
      <c r="B1846" s="248" t="s">
        <v>5713</v>
      </c>
      <c r="C1846" s="248" t="s">
        <v>4014</v>
      </c>
      <c r="D1846" s="248"/>
      <c r="E1846" s="248"/>
      <c r="F1846" s="248"/>
      <c r="G1846" s="248" t="s">
        <v>3029</v>
      </c>
      <c r="H1846" s="248"/>
      <c r="I1846" s="248"/>
      <c r="J1846" s="248"/>
      <c r="K1846" s="248"/>
      <c r="L1846" s="248"/>
      <c r="M1846" s="248" t="s">
        <v>2409</v>
      </c>
    </row>
    <row r="1847" spans="1:13" ht="20.100000000000001" customHeight="1">
      <c r="A1847" s="248"/>
      <c r="B1847" s="248" t="s">
        <v>5714</v>
      </c>
      <c r="C1847" s="248" t="s">
        <v>4012</v>
      </c>
      <c r="D1847" s="248"/>
      <c r="E1847" s="248"/>
      <c r="F1847" s="248"/>
      <c r="G1847" s="248" t="s">
        <v>2410</v>
      </c>
      <c r="H1847" s="248"/>
      <c r="I1847" s="248"/>
      <c r="J1847" s="248"/>
      <c r="K1847" s="248"/>
      <c r="L1847" s="248"/>
      <c r="M1847" s="248" t="s">
        <v>2411</v>
      </c>
    </row>
    <row r="1848" spans="1:13" ht="20.100000000000001" customHeight="1">
      <c r="A1848" s="248"/>
      <c r="B1848" s="248" t="s">
        <v>5715</v>
      </c>
      <c r="C1848" s="248" t="s">
        <v>4016</v>
      </c>
      <c r="D1848" s="248"/>
      <c r="E1848" s="248"/>
      <c r="F1848" s="248"/>
      <c r="G1848" s="248" t="s">
        <v>2412</v>
      </c>
      <c r="H1848" s="248"/>
      <c r="I1848" s="248"/>
      <c r="J1848" s="248"/>
      <c r="K1848" s="248"/>
      <c r="L1848" s="248"/>
      <c r="M1848" s="248" t="s">
        <v>2413</v>
      </c>
    </row>
    <row r="1849" spans="1:13" ht="20.100000000000001" customHeight="1">
      <c r="A1849" s="248"/>
      <c r="B1849" s="248" t="s">
        <v>5716</v>
      </c>
      <c r="C1849" s="248" t="s">
        <v>4030</v>
      </c>
      <c r="D1849" s="248"/>
      <c r="E1849" s="248"/>
      <c r="F1849" s="248"/>
      <c r="G1849" s="248" t="s">
        <v>3807</v>
      </c>
      <c r="H1849" s="248"/>
      <c r="I1849" s="248"/>
      <c r="J1849" s="248"/>
      <c r="K1849" s="248"/>
      <c r="L1849" s="248"/>
      <c r="M1849" s="248" t="s">
        <v>3808</v>
      </c>
    </row>
    <row r="1850" spans="1:13" ht="20.100000000000001" customHeight="1">
      <c r="A1850" s="248"/>
      <c r="B1850" s="248" t="s">
        <v>5717</v>
      </c>
      <c r="C1850" s="248" t="s">
        <v>4005</v>
      </c>
      <c r="D1850" s="248"/>
      <c r="E1850" s="248"/>
      <c r="F1850" s="248"/>
      <c r="G1850" s="248" t="s">
        <v>2414</v>
      </c>
      <c r="H1850" s="248"/>
      <c r="I1850" s="248"/>
      <c r="J1850" s="248"/>
      <c r="K1850" s="248"/>
      <c r="L1850" s="248"/>
      <c r="M1850" s="248" t="s">
        <v>2415</v>
      </c>
    </row>
    <row r="1851" spans="1:13" ht="20.100000000000001" customHeight="1">
      <c r="A1851" s="248"/>
      <c r="B1851" s="248" t="s">
        <v>5718</v>
      </c>
      <c r="C1851" s="248" t="s">
        <v>4036</v>
      </c>
      <c r="D1851" s="248"/>
      <c r="E1851" s="248"/>
      <c r="F1851" s="248"/>
      <c r="G1851" s="248" t="s">
        <v>2416</v>
      </c>
      <c r="H1851" s="248"/>
      <c r="I1851" s="248"/>
      <c r="J1851" s="248"/>
      <c r="K1851" s="248"/>
      <c r="L1851" s="248"/>
      <c r="M1851" s="248" t="s">
        <v>2417</v>
      </c>
    </row>
    <row r="1852" spans="1:13" ht="20.100000000000001" customHeight="1">
      <c r="A1852" s="248"/>
      <c r="B1852" s="248" t="s">
        <v>5719</v>
      </c>
      <c r="C1852" s="248" t="s">
        <v>4014</v>
      </c>
      <c r="D1852" s="248"/>
      <c r="E1852" s="248"/>
      <c r="F1852" s="248"/>
      <c r="G1852" s="248" t="s">
        <v>2418</v>
      </c>
      <c r="H1852" s="248"/>
      <c r="I1852" s="248"/>
      <c r="J1852" s="248"/>
      <c r="K1852" s="248"/>
      <c r="L1852" s="248"/>
      <c r="M1852" s="248" t="s">
        <v>2419</v>
      </c>
    </row>
    <row r="1853" spans="1:13" ht="20.100000000000001" customHeight="1">
      <c r="A1853" s="248"/>
      <c r="B1853" s="248" t="s">
        <v>5720</v>
      </c>
      <c r="C1853" s="248" t="s">
        <v>4014</v>
      </c>
      <c r="D1853" s="248"/>
      <c r="E1853" s="248"/>
      <c r="F1853" s="248"/>
      <c r="G1853" s="248" t="s">
        <v>3272</v>
      </c>
      <c r="H1853" s="248"/>
      <c r="I1853" s="248"/>
      <c r="J1853" s="248"/>
      <c r="K1853" s="248"/>
      <c r="L1853" s="248"/>
      <c r="M1853" s="248" t="s">
        <v>2420</v>
      </c>
    </row>
    <row r="1854" spans="1:13" ht="20.100000000000001" customHeight="1">
      <c r="A1854" s="248"/>
      <c r="B1854" s="248" t="s">
        <v>5721</v>
      </c>
      <c r="C1854" s="248" t="s">
        <v>4030</v>
      </c>
      <c r="D1854" s="248"/>
      <c r="E1854" s="248"/>
      <c r="F1854" s="248"/>
      <c r="G1854" s="248" t="s">
        <v>2421</v>
      </c>
      <c r="H1854" s="248"/>
      <c r="I1854" s="248"/>
      <c r="J1854" s="248"/>
      <c r="K1854" s="248"/>
      <c r="L1854" s="248"/>
      <c r="M1854" s="248" t="s">
        <v>2422</v>
      </c>
    </row>
    <row r="1855" spans="1:13" ht="20.100000000000001" customHeight="1">
      <c r="A1855" s="248"/>
      <c r="B1855" s="248" t="s">
        <v>5722</v>
      </c>
      <c r="C1855" s="248" t="s">
        <v>4025</v>
      </c>
      <c r="D1855" s="248"/>
      <c r="E1855" s="248"/>
      <c r="F1855" s="248"/>
      <c r="G1855" s="248" t="s">
        <v>3154</v>
      </c>
      <c r="H1855" s="248"/>
      <c r="I1855" s="248"/>
      <c r="J1855" s="248"/>
      <c r="K1855" s="248"/>
      <c r="L1855" s="248"/>
      <c r="M1855" s="248" t="s">
        <v>3550</v>
      </c>
    </row>
    <row r="1856" spans="1:13" ht="20.100000000000001" customHeight="1">
      <c r="A1856" s="248"/>
      <c r="B1856" s="248" t="s">
        <v>5723</v>
      </c>
      <c r="C1856" s="248" t="s">
        <v>4014</v>
      </c>
      <c r="D1856" s="248"/>
      <c r="E1856" s="248"/>
      <c r="F1856" s="248"/>
      <c r="G1856" s="248" t="s">
        <v>2423</v>
      </c>
      <c r="H1856" s="248"/>
      <c r="I1856" s="248"/>
      <c r="J1856" s="248"/>
      <c r="K1856" s="248"/>
      <c r="L1856" s="248"/>
      <c r="M1856" s="248" t="s">
        <v>2424</v>
      </c>
    </row>
    <row r="1857" spans="1:13" ht="20.100000000000001" customHeight="1">
      <c r="A1857" s="248"/>
      <c r="B1857" s="248" t="s">
        <v>5724</v>
      </c>
      <c r="C1857" s="248" t="s">
        <v>4016</v>
      </c>
      <c r="D1857" s="248"/>
      <c r="E1857" s="248"/>
      <c r="F1857" s="248"/>
      <c r="G1857" s="248" t="s">
        <v>3973</v>
      </c>
      <c r="H1857" s="248"/>
      <c r="I1857" s="248"/>
      <c r="J1857" s="248"/>
      <c r="K1857" s="248"/>
      <c r="L1857" s="248"/>
      <c r="M1857" s="248" t="s">
        <v>3550</v>
      </c>
    </row>
    <row r="1858" spans="1:13" ht="20.100000000000001" customHeight="1">
      <c r="A1858" s="248"/>
      <c r="B1858" s="248" t="s">
        <v>5725</v>
      </c>
      <c r="C1858" s="248" t="s">
        <v>4036</v>
      </c>
      <c r="D1858" s="248"/>
      <c r="E1858" s="248"/>
      <c r="F1858" s="248"/>
      <c r="G1858" s="248" t="s">
        <v>3888</v>
      </c>
      <c r="H1858" s="248"/>
      <c r="I1858" s="248"/>
      <c r="J1858" s="248"/>
      <c r="K1858" s="248"/>
      <c r="L1858" s="248"/>
      <c r="M1858" s="248" t="s">
        <v>3889</v>
      </c>
    </row>
    <row r="1859" spans="1:13" ht="20.100000000000001" customHeight="1">
      <c r="A1859" s="248"/>
      <c r="B1859" s="248" t="s">
        <v>6459</v>
      </c>
      <c r="C1859" s="248" t="s">
        <v>4036</v>
      </c>
      <c r="D1859" s="248"/>
      <c r="E1859" s="248"/>
      <c r="F1859" s="248"/>
      <c r="G1859" s="248" t="s">
        <v>6460</v>
      </c>
      <c r="H1859" s="248"/>
      <c r="I1859" s="248"/>
      <c r="J1859" s="248"/>
      <c r="K1859" s="248"/>
      <c r="L1859" s="248"/>
      <c r="M1859" s="248" t="s">
        <v>196</v>
      </c>
    </row>
    <row r="1860" spans="1:13" ht="20.100000000000001" customHeight="1">
      <c r="A1860" s="248"/>
      <c r="B1860" s="248" t="s">
        <v>5726</v>
      </c>
      <c r="C1860" s="248" t="s">
        <v>4016</v>
      </c>
      <c r="D1860" s="248"/>
      <c r="E1860" s="248"/>
      <c r="F1860" s="248"/>
      <c r="G1860" s="248" t="s">
        <v>2425</v>
      </c>
      <c r="H1860" s="248"/>
      <c r="I1860" s="248"/>
      <c r="J1860" s="248"/>
      <c r="K1860" s="248"/>
      <c r="L1860" s="248"/>
      <c r="M1860" s="248" t="s">
        <v>2426</v>
      </c>
    </row>
    <row r="1861" spans="1:13" ht="20.100000000000001" customHeight="1">
      <c r="A1861" s="248"/>
      <c r="B1861" s="248" t="s">
        <v>5727</v>
      </c>
      <c r="C1861" s="248" t="s">
        <v>4030</v>
      </c>
      <c r="D1861" s="248"/>
      <c r="E1861" s="248"/>
      <c r="F1861" s="248"/>
      <c r="G1861" s="248" t="s">
        <v>3307</v>
      </c>
      <c r="H1861" s="248"/>
      <c r="I1861" s="248"/>
      <c r="J1861" s="248"/>
      <c r="K1861" s="248"/>
      <c r="L1861" s="248"/>
      <c r="M1861" s="248" t="s">
        <v>3550</v>
      </c>
    </row>
    <row r="1862" spans="1:13" ht="20.100000000000001" customHeight="1">
      <c r="A1862" s="248"/>
      <c r="B1862" s="248" t="s">
        <v>5728</v>
      </c>
      <c r="C1862" s="248" t="s">
        <v>4016</v>
      </c>
      <c r="D1862" s="248"/>
      <c r="E1862" s="248"/>
      <c r="F1862" s="248"/>
      <c r="G1862" s="248" t="s">
        <v>6461</v>
      </c>
      <c r="H1862" s="248"/>
      <c r="I1862" s="248"/>
      <c r="J1862" s="248"/>
      <c r="K1862" s="248"/>
      <c r="L1862" s="248"/>
      <c r="M1862" s="248" t="s">
        <v>2427</v>
      </c>
    </row>
    <row r="1863" spans="1:13" ht="20.100000000000001" customHeight="1">
      <c r="A1863" s="248"/>
      <c r="B1863" s="248" t="s">
        <v>5729</v>
      </c>
      <c r="C1863" s="248" t="s">
        <v>4417</v>
      </c>
      <c r="D1863" s="248"/>
      <c r="E1863" s="248"/>
      <c r="F1863" s="248"/>
      <c r="G1863" s="248" t="s">
        <v>2428</v>
      </c>
      <c r="H1863" s="248"/>
      <c r="I1863" s="248"/>
      <c r="J1863" s="248"/>
      <c r="K1863" s="248"/>
      <c r="L1863" s="248"/>
      <c r="M1863" s="248" t="s">
        <v>2429</v>
      </c>
    </row>
    <row r="1864" spans="1:13" ht="20.100000000000001" customHeight="1">
      <c r="A1864" s="248"/>
      <c r="B1864" s="248" t="s">
        <v>5730</v>
      </c>
      <c r="C1864" s="248" t="s">
        <v>4008</v>
      </c>
      <c r="D1864" s="248"/>
      <c r="E1864" s="248"/>
      <c r="F1864" s="248"/>
      <c r="G1864" s="248" t="s">
        <v>3741</v>
      </c>
      <c r="H1864" s="248"/>
      <c r="I1864" s="248"/>
      <c r="J1864" s="248"/>
      <c r="K1864" s="248"/>
      <c r="L1864" s="248"/>
      <c r="M1864" s="248" t="s">
        <v>3742</v>
      </c>
    </row>
    <row r="1865" spans="1:13" ht="20.100000000000001" customHeight="1">
      <c r="A1865" s="248"/>
      <c r="B1865" s="248" t="s">
        <v>5731</v>
      </c>
      <c r="C1865" s="248" t="s">
        <v>4030</v>
      </c>
      <c r="D1865" s="248"/>
      <c r="E1865" s="248"/>
      <c r="F1865" s="248"/>
      <c r="G1865" s="248" t="s">
        <v>3974</v>
      </c>
      <c r="H1865" s="248"/>
      <c r="I1865" s="248"/>
      <c r="J1865" s="248"/>
      <c r="K1865" s="248"/>
      <c r="L1865" s="248"/>
      <c r="M1865" s="248" t="s">
        <v>3975</v>
      </c>
    </row>
    <row r="1866" spans="1:13" ht="20.100000000000001" customHeight="1">
      <c r="A1866" s="248"/>
      <c r="B1866" s="248" t="s">
        <v>5732</v>
      </c>
      <c r="C1866" s="248" t="s">
        <v>4025</v>
      </c>
      <c r="D1866" s="248"/>
      <c r="E1866" s="248"/>
      <c r="F1866" s="248"/>
      <c r="G1866" s="248" t="s">
        <v>2430</v>
      </c>
      <c r="H1866" s="248"/>
      <c r="I1866" s="248"/>
      <c r="J1866" s="248"/>
      <c r="K1866" s="248"/>
      <c r="L1866" s="248"/>
      <c r="M1866" s="248" t="s">
        <v>2431</v>
      </c>
    </row>
    <row r="1867" spans="1:13" ht="20.100000000000001" customHeight="1">
      <c r="A1867" s="248"/>
      <c r="B1867" s="248" t="s">
        <v>5733</v>
      </c>
      <c r="C1867" s="248" t="s">
        <v>4014</v>
      </c>
      <c r="D1867" s="248"/>
      <c r="E1867" s="248"/>
      <c r="F1867" s="248"/>
      <c r="G1867" s="248" t="s">
        <v>2432</v>
      </c>
      <c r="H1867" s="248"/>
      <c r="I1867" s="248"/>
      <c r="J1867" s="248"/>
      <c r="K1867" s="248"/>
      <c r="L1867" s="248"/>
      <c r="M1867" s="248" t="s">
        <v>2433</v>
      </c>
    </row>
    <row r="1868" spans="1:13" ht="20.100000000000001" customHeight="1">
      <c r="A1868" s="248"/>
      <c r="B1868" s="248" t="s">
        <v>5734</v>
      </c>
      <c r="C1868" s="248" t="s">
        <v>4036</v>
      </c>
      <c r="D1868" s="248"/>
      <c r="E1868" s="248"/>
      <c r="F1868" s="248"/>
      <c r="G1868" s="248" t="s">
        <v>2434</v>
      </c>
      <c r="H1868" s="248"/>
      <c r="I1868" s="248"/>
      <c r="J1868" s="248"/>
      <c r="K1868" s="248"/>
      <c r="L1868" s="248"/>
      <c r="M1868" s="248" t="s">
        <v>2435</v>
      </c>
    </row>
    <row r="1869" spans="1:13" ht="20.100000000000001" customHeight="1">
      <c r="A1869" s="248"/>
      <c r="B1869" s="248" t="s">
        <v>5735</v>
      </c>
      <c r="C1869" s="248" t="s">
        <v>4016</v>
      </c>
      <c r="D1869" s="248"/>
      <c r="E1869" s="248"/>
      <c r="F1869" s="248"/>
      <c r="G1869" s="248" t="s">
        <v>2436</v>
      </c>
      <c r="H1869" s="248"/>
      <c r="I1869" s="248"/>
      <c r="J1869" s="248"/>
      <c r="K1869" s="248"/>
      <c r="L1869" s="248"/>
      <c r="M1869" s="248" t="s">
        <v>2437</v>
      </c>
    </row>
    <row r="1870" spans="1:13" ht="20.100000000000001" customHeight="1">
      <c r="A1870" s="248"/>
      <c r="B1870" s="248" t="s">
        <v>5736</v>
      </c>
      <c r="C1870" s="248" t="s">
        <v>4146</v>
      </c>
      <c r="D1870" s="248"/>
      <c r="E1870" s="248"/>
      <c r="F1870" s="248"/>
      <c r="G1870" s="248" t="s">
        <v>2438</v>
      </c>
      <c r="H1870" s="248"/>
      <c r="I1870" s="248"/>
      <c r="J1870" s="248"/>
      <c r="K1870" s="248"/>
      <c r="L1870" s="248"/>
      <c r="M1870" s="248" t="s">
        <v>1089</v>
      </c>
    </row>
    <row r="1871" spans="1:13" ht="20.100000000000001" customHeight="1">
      <c r="A1871" s="248"/>
      <c r="B1871" s="248" t="s">
        <v>5737</v>
      </c>
      <c r="C1871" s="248" t="s">
        <v>4271</v>
      </c>
      <c r="D1871" s="248"/>
      <c r="E1871" s="248"/>
      <c r="F1871" s="248"/>
      <c r="G1871" s="248" t="s">
        <v>2439</v>
      </c>
      <c r="H1871" s="248"/>
      <c r="I1871" s="248"/>
      <c r="J1871" s="248"/>
      <c r="K1871" s="248"/>
      <c r="L1871" s="248"/>
      <c r="M1871" s="248" t="s">
        <v>2440</v>
      </c>
    </row>
    <row r="1872" spans="1:13" ht="20.100000000000001" customHeight="1">
      <c r="A1872" s="248"/>
      <c r="B1872" s="248" t="s">
        <v>5738</v>
      </c>
      <c r="C1872" s="248" t="s">
        <v>4030</v>
      </c>
      <c r="D1872" s="248"/>
      <c r="E1872" s="248"/>
      <c r="F1872" s="248"/>
      <c r="G1872" s="248" t="s">
        <v>3588</v>
      </c>
      <c r="H1872" s="248"/>
      <c r="I1872" s="248"/>
      <c r="J1872" s="248"/>
      <c r="K1872" s="248"/>
      <c r="L1872" s="248"/>
      <c r="M1872" s="248" t="s">
        <v>3589</v>
      </c>
    </row>
    <row r="1873" spans="1:13" ht="20.100000000000001" customHeight="1">
      <c r="A1873" s="248"/>
      <c r="B1873" s="248" t="s">
        <v>5739</v>
      </c>
      <c r="C1873" s="248" t="s">
        <v>4036</v>
      </c>
      <c r="D1873" s="248"/>
      <c r="E1873" s="248"/>
      <c r="F1873" s="248"/>
      <c r="G1873" s="248" t="s">
        <v>3095</v>
      </c>
      <c r="H1873" s="248"/>
      <c r="I1873" s="248"/>
      <c r="J1873" s="248"/>
      <c r="K1873" s="248"/>
      <c r="L1873" s="248"/>
      <c r="M1873" s="248" t="s">
        <v>3096</v>
      </c>
    </row>
    <row r="1874" spans="1:13" ht="20.100000000000001" customHeight="1">
      <c r="A1874" s="248"/>
      <c r="B1874" s="248" t="s">
        <v>5740</v>
      </c>
      <c r="C1874" s="248" t="s">
        <v>4008</v>
      </c>
      <c r="D1874" s="248"/>
      <c r="E1874" s="248"/>
      <c r="F1874" s="248"/>
      <c r="G1874" s="248" t="s">
        <v>2441</v>
      </c>
      <c r="H1874" s="248"/>
      <c r="I1874" s="248"/>
      <c r="J1874" s="248"/>
      <c r="K1874" s="248"/>
      <c r="L1874" s="248"/>
      <c r="M1874" s="248" t="s">
        <v>2442</v>
      </c>
    </row>
    <row r="1875" spans="1:13" ht="20.100000000000001" customHeight="1">
      <c r="A1875" s="248"/>
      <c r="B1875" s="248" t="s">
        <v>6592</v>
      </c>
      <c r="C1875" s="248" t="s">
        <v>4008</v>
      </c>
      <c r="D1875" s="248"/>
      <c r="E1875" s="248"/>
      <c r="F1875" s="248"/>
      <c r="G1875" s="248" t="s">
        <v>6593</v>
      </c>
      <c r="H1875" s="248"/>
      <c r="I1875" s="248"/>
      <c r="J1875" s="248"/>
      <c r="K1875" s="248"/>
      <c r="L1875" s="248"/>
      <c r="M1875" s="248" t="s">
        <v>6594</v>
      </c>
    </row>
    <row r="1876" spans="1:13" ht="20.100000000000001" customHeight="1">
      <c r="A1876" s="248"/>
      <c r="B1876" s="248" t="s">
        <v>5741</v>
      </c>
      <c r="C1876" s="248" t="s">
        <v>4003</v>
      </c>
      <c r="D1876" s="248"/>
      <c r="E1876" s="248"/>
      <c r="F1876" s="248"/>
      <c r="G1876" s="248" t="s">
        <v>3401</v>
      </c>
      <c r="H1876" s="248"/>
      <c r="I1876" s="248"/>
      <c r="J1876" s="248"/>
      <c r="K1876" s="248"/>
      <c r="L1876" s="248"/>
      <c r="M1876" s="248" t="s">
        <v>3402</v>
      </c>
    </row>
    <row r="1877" spans="1:13" ht="20.100000000000001" customHeight="1">
      <c r="A1877" s="248"/>
      <c r="B1877" s="248" t="s">
        <v>5742</v>
      </c>
      <c r="C1877" s="248" t="s">
        <v>4016</v>
      </c>
      <c r="D1877" s="248"/>
      <c r="E1877" s="248"/>
      <c r="F1877" s="248"/>
      <c r="G1877" s="248" t="s">
        <v>3710</v>
      </c>
      <c r="H1877" s="248"/>
      <c r="I1877" s="248"/>
      <c r="J1877" s="248"/>
      <c r="K1877" s="248"/>
      <c r="L1877" s="248"/>
      <c r="M1877" s="248" t="s">
        <v>196</v>
      </c>
    </row>
    <row r="1878" spans="1:13" ht="20.100000000000001" customHeight="1">
      <c r="A1878" s="248"/>
      <c r="B1878" s="248" t="s">
        <v>5743</v>
      </c>
      <c r="C1878" s="248" t="s">
        <v>4036</v>
      </c>
      <c r="D1878" s="248"/>
      <c r="E1878" s="248"/>
      <c r="F1878" s="248"/>
      <c r="G1878" s="248" t="s">
        <v>2443</v>
      </c>
      <c r="H1878" s="248"/>
      <c r="I1878" s="248"/>
      <c r="J1878" s="248"/>
      <c r="K1878" s="248"/>
      <c r="L1878" s="248"/>
      <c r="M1878" s="248" t="s">
        <v>2444</v>
      </c>
    </row>
    <row r="1879" spans="1:13" ht="20.100000000000001" customHeight="1">
      <c r="A1879" s="248"/>
      <c r="B1879" s="248" t="s">
        <v>5744</v>
      </c>
      <c r="C1879" s="248" t="s">
        <v>4036</v>
      </c>
      <c r="D1879" s="248"/>
      <c r="E1879" s="248"/>
      <c r="F1879" s="248"/>
      <c r="G1879" s="248" t="s">
        <v>2445</v>
      </c>
      <c r="H1879" s="248"/>
      <c r="I1879" s="248"/>
      <c r="J1879" s="248"/>
      <c r="K1879" s="248"/>
      <c r="L1879" s="248"/>
      <c r="M1879" s="248" t="s">
        <v>2446</v>
      </c>
    </row>
    <row r="1880" spans="1:13" ht="20.100000000000001" customHeight="1">
      <c r="A1880" s="248"/>
      <c r="B1880" s="248" t="s">
        <v>5745</v>
      </c>
      <c r="C1880" s="248" t="s">
        <v>4025</v>
      </c>
      <c r="D1880" s="248"/>
      <c r="E1880" s="248"/>
      <c r="F1880" s="248"/>
      <c r="G1880" s="248" t="s">
        <v>2447</v>
      </c>
      <c r="H1880" s="248"/>
      <c r="I1880" s="248"/>
      <c r="J1880" s="248"/>
      <c r="K1880" s="248"/>
      <c r="L1880" s="248"/>
      <c r="M1880" s="248" t="s">
        <v>2448</v>
      </c>
    </row>
    <row r="1881" spans="1:13" ht="20.100000000000001" customHeight="1">
      <c r="A1881" s="248"/>
      <c r="B1881" s="248" t="s">
        <v>5746</v>
      </c>
      <c r="C1881" s="248" t="s">
        <v>4030</v>
      </c>
      <c r="D1881" s="248"/>
      <c r="E1881" s="248"/>
      <c r="F1881" s="248"/>
      <c r="G1881" s="248" t="s">
        <v>2449</v>
      </c>
      <c r="H1881" s="248"/>
      <c r="I1881" s="248"/>
      <c r="J1881" s="248"/>
      <c r="K1881" s="248"/>
      <c r="L1881" s="248"/>
      <c r="M1881" s="248" t="s">
        <v>3550</v>
      </c>
    </row>
    <row r="1882" spans="1:13" ht="20.100000000000001" customHeight="1">
      <c r="A1882" s="248"/>
      <c r="B1882" s="248" t="s">
        <v>5747</v>
      </c>
      <c r="C1882" s="248" t="s">
        <v>4008</v>
      </c>
      <c r="D1882" s="248"/>
      <c r="E1882" s="248"/>
      <c r="F1882" s="248"/>
      <c r="G1882" s="248" t="s">
        <v>3308</v>
      </c>
      <c r="H1882" s="248"/>
      <c r="I1882" s="248"/>
      <c r="J1882" s="248"/>
      <c r="K1882" s="248"/>
      <c r="L1882" s="248"/>
      <c r="M1882" s="248" t="s">
        <v>2450</v>
      </c>
    </row>
    <row r="1883" spans="1:13" ht="20.100000000000001" customHeight="1">
      <c r="A1883" s="248"/>
      <c r="B1883" s="248" t="s">
        <v>5748</v>
      </c>
      <c r="C1883" s="248" t="s">
        <v>4036</v>
      </c>
      <c r="D1883" s="248"/>
      <c r="E1883" s="248"/>
      <c r="F1883" s="248"/>
      <c r="G1883" s="248" t="s">
        <v>3929</v>
      </c>
      <c r="H1883" s="248"/>
      <c r="I1883" s="248"/>
      <c r="J1883" s="248"/>
      <c r="K1883" s="248"/>
      <c r="L1883" s="248"/>
      <c r="M1883" s="248" t="s">
        <v>3930</v>
      </c>
    </row>
    <row r="1884" spans="1:13" ht="20.100000000000001" customHeight="1">
      <c r="A1884" s="248"/>
      <c r="B1884" s="248" t="s">
        <v>5749</v>
      </c>
      <c r="C1884" s="248" t="s">
        <v>4121</v>
      </c>
      <c r="D1884" s="248"/>
      <c r="E1884" s="248"/>
      <c r="F1884" s="248"/>
      <c r="G1884" s="248" t="s">
        <v>2451</v>
      </c>
      <c r="H1884" s="248"/>
      <c r="I1884" s="248"/>
      <c r="J1884" s="248"/>
      <c r="K1884" s="248"/>
      <c r="L1884" s="248"/>
      <c r="M1884" s="248" t="s">
        <v>2452</v>
      </c>
    </row>
    <row r="1885" spans="1:13" ht="20.100000000000001" customHeight="1">
      <c r="A1885" s="248"/>
      <c r="B1885" s="248" t="s">
        <v>5750</v>
      </c>
      <c r="C1885" s="248" t="s">
        <v>4008</v>
      </c>
      <c r="D1885" s="248"/>
      <c r="E1885" s="248"/>
      <c r="F1885" s="248"/>
      <c r="G1885" s="248" t="s">
        <v>2453</v>
      </c>
      <c r="H1885" s="248"/>
      <c r="I1885" s="248"/>
      <c r="J1885" s="248"/>
      <c r="K1885" s="248"/>
      <c r="L1885" s="248"/>
      <c r="M1885" s="248" t="s">
        <v>2454</v>
      </c>
    </row>
    <row r="1886" spans="1:13" ht="20.100000000000001" customHeight="1">
      <c r="A1886" s="248"/>
      <c r="B1886" s="248" t="s">
        <v>5751</v>
      </c>
      <c r="C1886" s="248" t="s">
        <v>4012</v>
      </c>
      <c r="D1886" s="248"/>
      <c r="E1886" s="248"/>
      <c r="F1886" s="248"/>
      <c r="G1886" s="248" t="s">
        <v>2455</v>
      </c>
      <c r="H1886" s="248"/>
      <c r="I1886" s="248"/>
      <c r="J1886" s="248"/>
      <c r="K1886" s="248"/>
      <c r="L1886" s="248"/>
      <c r="M1886" s="248" t="s">
        <v>2456</v>
      </c>
    </row>
    <row r="1887" spans="1:13" ht="20.100000000000001" customHeight="1">
      <c r="A1887" s="248"/>
      <c r="B1887" s="248" t="s">
        <v>5752</v>
      </c>
      <c r="C1887" s="248" t="s">
        <v>4016</v>
      </c>
      <c r="D1887" s="248"/>
      <c r="E1887" s="248"/>
      <c r="F1887" s="248"/>
      <c r="G1887" s="248" t="s">
        <v>2457</v>
      </c>
      <c r="H1887" s="248"/>
      <c r="I1887" s="248"/>
      <c r="J1887" s="248"/>
      <c r="K1887" s="248"/>
      <c r="L1887" s="248"/>
      <c r="M1887" s="248" t="s">
        <v>3550</v>
      </c>
    </row>
    <row r="1888" spans="1:13" ht="20.100000000000001" customHeight="1">
      <c r="A1888" s="248"/>
      <c r="B1888" s="248" t="s">
        <v>5753</v>
      </c>
      <c r="C1888" s="248" t="s">
        <v>4853</v>
      </c>
      <c r="D1888" s="248"/>
      <c r="E1888" s="248"/>
      <c r="F1888" s="248"/>
      <c r="G1888" s="248" t="s">
        <v>2458</v>
      </c>
      <c r="H1888" s="248"/>
      <c r="I1888" s="248"/>
      <c r="J1888" s="248"/>
      <c r="K1888" s="248"/>
      <c r="L1888" s="248"/>
      <c r="M1888" s="248" t="s">
        <v>2459</v>
      </c>
    </row>
    <row r="1889" spans="1:13" ht="20.100000000000001" customHeight="1">
      <c r="A1889" s="248"/>
      <c r="B1889" s="248" t="s">
        <v>5754</v>
      </c>
      <c r="C1889" s="248" t="s">
        <v>4008</v>
      </c>
      <c r="D1889" s="248"/>
      <c r="E1889" s="248"/>
      <c r="F1889" s="248"/>
      <c r="G1889" s="248" t="s">
        <v>2460</v>
      </c>
      <c r="H1889" s="248"/>
      <c r="I1889" s="248"/>
      <c r="J1889" s="248"/>
      <c r="K1889" s="248"/>
      <c r="L1889" s="248"/>
      <c r="M1889" s="248" t="s">
        <v>2461</v>
      </c>
    </row>
    <row r="1890" spans="1:13" ht="20.100000000000001" customHeight="1">
      <c r="A1890" s="248"/>
      <c r="B1890" s="248" t="s">
        <v>5755</v>
      </c>
      <c r="C1890" s="248" t="s">
        <v>4146</v>
      </c>
      <c r="D1890" s="248"/>
      <c r="E1890" s="248"/>
      <c r="F1890" s="248"/>
      <c r="G1890" s="248" t="s">
        <v>3338</v>
      </c>
      <c r="H1890" s="248"/>
      <c r="I1890" s="248"/>
      <c r="J1890" s="248"/>
      <c r="K1890" s="248"/>
      <c r="L1890" s="248"/>
      <c r="M1890" s="248" t="s">
        <v>3339</v>
      </c>
    </row>
    <row r="1891" spans="1:13" ht="20.100000000000001" customHeight="1">
      <c r="A1891" s="248"/>
      <c r="B1891" s="248" t="s">
        <v>5756</v>
      </c>
      <c r="C1891" s="248" t="s">
        <v>4121</v>
      </c>
      <c r="D1891" s="248"/>
      <c r="E1891" s="248"/>
      <c r="F1891" s="248"/>
      <c r="G1891" s="248" t="s">
        <v>2462</v>
      </c>
      <c r="H1891" s="248"/>
      <c r="I1891" s="248"/>
      <c r="J1891" s="248"/>
      <c r="K1891" s="248"/>
      <c r="L1891" s="248"/>
      <c r="M1891" s="248" t="s">
        <v>2463</v>
      </c>
    </row>
    <row r="1892" spans="1:13" ht="20.100000000000001" customHeight="1">
      <c r="A1892" s="248"/>
      <c r="B1892" s="248" t="s">
        <v>5757</v>
      </c>
      <c r="C1892" s="248" t="s">
        <v>4271</v>
      </c>
      <c r="D1892" s="248"/>
      <c r="E1892" s="248"/>
      <c r="F1892" s="248"/>
      <c r="G1892" s="248" t="s">
        <v>2464</v>
      </c>
      <c r="H1892" s="248"/>
      <c r="I1892" s="248"/>
      <c r="J1892" s="248"/>
      <c r="K1892" s="248"/>
      <c r="L1892" s="248"/>
      <c r="M1892" s="248" t="s">
        <v>2465</v>
      </c>
    </row>
    <row r="1893" spans="1:13" ht="20.100000000000001" customHeight="1">
      <c r="A1893" s="248"/>
      <c r="B1893" s="248" t="s">
        <v>5758</v>
      </c>
      <c r="C1893" s="248" t="s">
        <v>4008</v>
      </c>
      <c r="D1893" s="248"/>
      <c r="E1893" s="248"/>
      <c r="F1893" s="248"/>
      <c r="G1893" s="248" t="s">
        <v>2466</v>
      </c>
      <c r="H1893" s="248"/>
      <c r="I1893" s="248"/>
      <c r="J1893" s="248"/>
      <c r="K1893" s="248"/>
      <c r="L1893" s="248"/>
      <c r="M1893" s="248" t="s">
        <v>2467</v>
      </c>
    </row>
    <row r="1894" spans="1:13" ht="20.100000000000001" customHeight="1">
      <c r="A1894" s="248"/>
      <c r="B1894" s="248" t="s">
        <v>5759</v>
      </c>
      <c r="C1894" s="248" t="s">
        <v>4057</v>
      </c>
      <c r="D1894" s="248"/>
      <c r="E1894" s="248"/>
      <c r="F1894" s="248"/>
      <c r="G1894" s="248" t="s">
        <v>2468</v>
      </c>
      <c r="H1894" s="248"/>
      <c r="I1894" s="248"/>
      <c r="J1894" s="248"/>
      <c r="K1894" s="248"/>
      <c r="L1894" s="248"/>
      <c r="M1894" s="248" t="s">
        <v>3550</v>
      </c>
    </row>
    <row r="1895" spans="1:13" ht="20.100000000000001" customHeight="1">
      <c r="A1895" s="248"/>
      <c r="B1895" s="248" t="s">
        <v>5760</v>
      </c>
      <c r="C1895" s="248" t="s">
        <v>4025</v>
      </c>
      <c r="D1895" s="248"/>
      <c r="E1895" s="248"/>
      <c r="F1895" s="248"/>
      <c r="G1895" s="248" t="s">
        <v>2469</v>
      </c>
      <c r="H1895" s="248"/>
      <c r="I1895" s="248"/>
      <c r="J1895" s="248"/>
      <c r="K1895" s="248"/>
      <c r="L1895" s="248"/>
      <c r="M1895" s="248" t="s">
        <v>2470</v>
      </c>
    </row>
    <row r="1896" spans="1:13" ht="20.100000000000001" customHeight="1">
      <c r="A1896" s="248"/>
      <c r="B1896" s="248" t="s">
        <v>5761</v>
      </c>
      <c r="C1896" s="248" t="s">
        <v>4271</v>
      </c>
      <c r="D1896" s="248"/>
      <c r="E1896" s="248"/>
      <c r="F1896" s="248"/>
      <c r="G1896" s="248" t="s">
        <v>2471</v>
      </c>
      <c r="H1896" s="248"/>
      <c r="I1896" s="248"/>
      <c r="J1896" s="248"/>
      <c r="K1896" s="248"/>
      <c r="L1896" s="248"/>
      <c r="M1896" s="248" t="s">
        <v>2472</v>
      </c>
    </row>
    <row r="1897" spans="1:13" ht="20.100000000000001" customHeight="1">
      <c r="A1897" s="248"/>
      <c r="B1897" s="248" t="s">
        <v>5762</v>
      </c>
      <c r="C1897" s="248" t="s">
        <v>4008</v>
      </c>
      <c r="D1897" s="248"/>
      <c r="E1897" s="248"/>
      <c r="F1897" s="248"/>
      <c r="G1897" s="248" t="s">
        <v>3809</v>
      </c>
      <c r="H1897" s="248"/>
      <c r="I1897" s="248"/>
      <c r="J1897" s="248"/>
      <c r="K1897" s="248"/>
      <c r="L1897" s="248"/>
      <c r="M1897" s="248" t="s">
        <v>3810</v>
      </c>
    </row>
    <row r="1898" spans="1:13" ht="20.100000000000001" customHeight="1">
      <c r="A1898" s="248"/>
      <c r="B1898" s="248" t="s">
        <v>5763</v>
      </c>
      <c r="C1898" s="248" t="s">
        <v>4121</v>
      </c>
      <c r="D1898" s="248"/>
      <c r="E1898" s="248"/>
      <c r="F1898" s="248"/>
      <c r="G1898" s="248" t="s">
        <v>3659</v>
      </c>
      <c r="H1898" s="248"/>
      <c r="I1898" s="248"/>
      <c r="J1898" s="248"/>
      <c r="K1898" s="248"/>
      <c r="L1898" s="248"/>
      <c r="M1898" s="248" t="s">
        <v>2473</v>
      </c>
    </row>
    <row r="1899" spans="1:13" ht="20.100000000000001" customHeight="1">
      <c r="A1899" s="248"/>
      <c r="B1899" s="248" t="s">
        <v>5764</v>
      </c>
      <c r="C1899" s="248" t="s">
        <v>4008</v>
      </c>
      <c r="D1899" s="248"/>
      <c r="E1899" s="248"/>
      <c r="F1899" s="248"/>
      <c r="G1899" s="248" t="s">
        <v>3483</v>
      </c>
      <c r="H1899" s="248"/>
      <c r="I1899" s="248"/>
      <c r="J1899" s="248"/>
      <c r="K1899" s="248"/>
      <c r="L1899" s="248"/>
      <c r="M1899" s="248" t="s">
        <v>3484</v>
      </c>
    </row>
    <row r="1900" spans="1:13" ht="20.100000000000001" customHeight="1">
      <c r="A1900" s="248"/>
      <c r="B1900" s="248" t="s">
        <v>5765</v>
      </c>
      <c r="C1900" s="248" t="s">
        <v>4005</v>
      </c>
      <c r="D1900" s="248"/>
      <c r="E1900" s="248"/>
      <c r="F1900" s="248"/>
      <c r="G1900" s="248" t="s">
        <v>3517</v>
      </c>
      <c r="H1900" s="248"/>
      <c r="I1900" s="248"/>
      <c r="J1900" s="248"/>
      <c r="K1900" s="248"/>
      <c r="L1900" s="248"/>
      <c r="M1900" s="248" t="s">
        <v>3518</v>
      </c>
    </row>
    <row r="1901" spans="1:13" ht="20.100000000000001" customHeight="1">
      <c r="A1901" s="248"/>
      <c r="B1901" s="248" t="s">
        <v>5766</v>
      </c>
      <c r="C1901" s="248" t="s">
        <v>4124</v>
      </c>
      <c r="D1901" s="248"/>
      <c r="E1901" s="248"/>
      <c r="F1901" s="248"/>
      <c r="G1901" s="248" t="s">
        <v>2474</v>
      </c>
      <c r="H1901" s="248"/>
      <c r="I1901" s="248"/>
      <c r="J1901" s="248"/>
      <c r="K1901" s="248"/>
      <c r="L1901" s="248"/>
      <c r="M1901" s="248" t="s">
        <v>2475</v>
      </c>
    </row>
    <row r="1902" spans="1:13" ht="20.100000000000001" customHeight="1">
      <c r="A1902" s="248"/>
      <c r="B1902" s="248" t="s">
        <v>5767</v>
      </c>
      <c r="C1902" s="248" t="s">
        <v>4057</v>
      </c>
      <c r="D1902" s="248"/>
      <c r="E1902" s="248"/>
      <c r="F1902" s="248"/>
      <c r="G1902" s="248" t="s">
        <v>2476</v>
      </c>
      <c r="H1902" s="248"/>
      <c r="I1902" s="248"/>
      <c r="J1902" s="248"/>
      <c r="K1902" s="248"/>
      <c r="L1902" s="248"/>
      <c r="M1902" s="248" t="s">
        <v>2477</v>
      </c>
    </row>
    <row r="1903" spans="1:13" ht="20.100000000000001" customHeight="1">
      <c r="A1903" s="248"/>
      <c r="B1903" s="248" t="s">
        <v>5768</v>
      </c>
      <c r="C1903" s="248" t="s">
        <v>4174</v>
      </c>
      <c r="D1903" s="248"/>
      <c r="E1903" s="248"/>
      <c r="F1903" s="248"/>
      <c r="G1903" s="248" t="s">
        <v>2478</v>
      </c>
      <c r="H1903" s="248"/>
      <c r="I1903" s="248"/>
      <c r="J1903" s="248"/>
      <c r="K1903" s="248"/>
      <c r="L1903" s="248"/>
      <c r="M1903" s="248" t="s">
        <v>2479</v>
      </c>
    </row>
    <row r="1904" spans="1:13" ht="20.100000000000001" customHeight="1">
      <c r="A1904" s="248"/>
      <c r="B1904" s="248" t="s">
        <v>5769</v>
      </c>
      <c r="C1904" s="248" t="s">
        <v>4016</v>
      </c>
      <c r="D1904" s="248"/>
      <c r="E1904" s="248"/>
      <c r="F1904" s="248"/>
      <c r="G1904" s="248" t="s">
        <v>3048</v>
      </c>
      <c r="H1904" s="248"/>
      <c r="I1904" s="248"/>
      <c r="J1904" s="248"/>
      <c r="K1904" s="248"/>
      <c r="L1904" s="248"/>
      <c r="M1904" s="248" t="s">
        <v>3550</v>
      </c>
    </row>
    <row r="1905" spans="1:13" ht="20.100000000000001" customHeight="1">
      <c r="A1905" s="248"/>
      <c r="B1905" s="248" t="s">
        <v>5770</v>
      </c>
      <c r="C1905" s="248" t="s">
        <v>4005</v>
      </c>
      <c r="D1905" s="248"/>
      <c r="E1905" s="248"/>
      <c r="F1905" s="248"/>
      <c r="G1905" s="248" t="s">
        <v>2480</v>
      </c>
      <c r="H1905" s="248"/>
      <c r="I1905" s="248"/>
      <c r="J1905" s="248"/>
      <c r="K1905" s="248"/>
      <c r="L1905" s="248"/>
      <c r="M1905" s="248" t="s">
        <v>2481</v>
      </c>
    </row>
    <row r="1906" spans="1:13" ht="20.100000000000001" customHeight="1">
      <c r="A1906" s="248"/>
      <c r="B1906" s="248" t="s">
        <v>5771</v>
      </c>
      <c r="C1906" s="248" t="s">
        <v>4016</v>
      </c>
      <c r="D1906" s="248"/>
      <c r="E1906" s="248"/>
      <c r="F1906" s="248"/>
      <c r="G1906" s="248" t="s">
        <v>2482</v>
      </c>
      <c r="H1906" s="248"/>
      <c r="I1906" s="248"/>
      <c r="J1906" s="248"/>
      <c r="K1906" s="248"/>
      <c r="L1906" s="248"/>
      <c r="M1906" s="248" t="s">
        <v>2483</v>
      </c>
    </row>
    <row r="1907" spans="1:13" ht="20.100000000000001" customHeight="1">
      <c r="A1907" s="248"/>
      <c r="B1907" s="248" t="s">
        <v>5772</v>
      </c>
      <c r="C1907" s="248" t="s">
        <v>4025</v>
      </c>
      <c r="D1907" s="248"/>
      <c r="E1907" s="248"/>
      <c r="F1907" s="248"/>
      <c r="G1907" s="248" t="s">
        <v>2484</v>
      </c>
      <c r="H1907" s="248"/>
      <c r="I1907" s="248"/>
      <c r="J1907" s="248"/>
      <c r="K1907" s="248"/>
      <c r="L1907" s="248"/>
      <c r="M1907" s="248" t="s">
        <v>2485</v>
      </c>
    </row>
    <row r="1908" spans="1:13" ht="20.100000000000001" customHeight="1">
      <c r="A1908" s="248"/>
      <c r="B1908" s="248" t="s">
        <v>5773</v>
      </c>
      <c r="C1908" s="248" t="s">
        <v>4146</v>
      </c>
      <c r="D1908" s="248"/>
      <c r="E1908" s="248"/>
      <c r="F1908" s="248"/>
      <c r="G1908" s="248" t="s">
        <v>3340</v>
      </c>
      <c r="H1908" s="248"/>
      <c r="I1908" s="248"/>
      <c r="J1908" s="248"/>
      <c r="K1908" s="248"/>
      <c r="L1908" s="248"/>
      <c r="M1908" s="248" t="s">
        <v>3341</v>
      </c>
    </row>
    <row r="1909" spans="1:13" ht="20.100000000000001" customHeight="1">
      <c r="A1909" s="248"/>
      <c r="B1909" s="248" t="s">
        <v>5774</v>
      </c>
      <c r="C1909" s="248" t="s">
        <v>4025</v>
      </c>
      <c r="D1909" s="248"/>
      <c r="E1909" s="248"/>
      <c r="F1909" s="248"/>
      <c r="G1909" s="248" t="s">
        <v>2486</v>
      </c>
      <c r="H1909" s="248"/>
      <c r="I1909" s="248"/>
      <c r="J1909" s="248"/>
      <c r="K1909" s="248"/>
      <c r="L1909" s="248"/>
      <c r="M1909" s="248" t="s">
        <v>2487</v>
      </c>
    </row>
    <row r="1910" spans="1:13" ht="20.100000000000001" customHeight="1">
      <c r="A1910" s="248"/>
      <c r="B1910" s="248" t="s">
        <v>5775</v>
      </c>
      <c r="C1910" s="248" t="s">
        <v>4003</v>
      </c>
      <c r="D1910" s="248"/>
      <c r="E1910" s="248"/>
      <c r="F1910" s="248"/>
      <c r="G1910" s="248" t="s">
        <v>3763</v>
      </c>
      <c r="H1910" s="248"/>
      <c r="I1910" s="248"/>
      <c r="J1910" s="248"/>
      <c r="K1910" s="248"/>
      <c r="L1910" s="248"/>
      <c r="M1910" s="248" t="s">
        <v>3764</v>
      </c>
    </row>
    <row r="1911" spans="1:13" ht="20.100000000000001" customHeight="1">
      <c r="A1911" s="248"/>
      <c r="B1911" s="248" t="s">
        <v>5776</v>
      </c>
      <c r="C1911" s="248" t="s">
        <v>4030</v>
      </c>
      <c r="D1911" s="248"/>
      <c r="E1911" s="248"/>
      <c r="F1911" s="248"/>
      <c r="G1911" s="248" t="s">
        <v>2488</v>
      </c>
      <c r="H1911" s="248"/>
      <c r="I1911" s="248"/>
      <c r="J1911" s="248"/>
      <c r="K1911" s="248"/>
      <c r="L1911" s="248"/>
      <c r="M1911" s="248" t="s">
        <v>2489</v>
      </c>
    </row>
    <row r="1912" spans="1:13" ht="20.100000000000001" customHeight="1">
      <c r="A1912" s="248"/>
      <c r="B1912" s="248" t="s">
        <v>6462</v>
      </c>
      <c r="C1912" s="248" t="s">
        <v>4016</v>
      </c>
      <c r="D1912" s="248"/>
      <c r="E1912" s="248"/>
      <c r="F1912" s="248"/>
      <c r="G1912" s="248" t="s">
        <v>6463</v>
      </c>
      <c r="H1912" s="248"/>
      <c r="I1912" s="248"/>
      <c r="J1912" s="248"/>
      <c r="K1912" s="248"/>
      <c r="L1912" s="248"/>
      <c r="M1912" s="248" t="s">
        <v>196</v>
      </c>
    </row>
    <row r="1913" spans="1:13" ht="20.100000000000001" customHeight="1">
      <c r="A1913" s="248"/>
      <c r="B1913" s="248" t="s">
        <v>5777</v>
      </c>
      <c r="C1913" s="248" t="s">
        <v>4016</v>
      </c>
      <c r="D1913" s="248"/>
      <c r="E1913" s="248"/>
      <c r="F1913" s="248"/>
      <c r="G1913" s="248" t="s">
        <v>2490</v>
      </c>
      <c r="H1913" s="248"/>
      <c r="I1913" s="248"/>
      <c r="J1913" s="248"/>
      <c r="K1913" s="248"/>
      <c r="L1913" s="248"/>
      <c r="M1913" s="248" t="s">
        <v>3550</v>
      </c>
    </row>
    <row r="1914" spans="1:13" ht="20.100000000000001" customHeight="1">
      <c r="A1914" s="248"/>
      <c r="B1914" s="248" t="s">
        <v>5778</v>
      </c>
      <c r="C1914" s="248" t="s">
        <v>4036</v>
      </c>
      <c r="D1914" s="248"/>
      <c r="E1914" s="248"/>
      <c r="F1914" s="248"/>
      <c r="G1914" s="248" t="s">
        <v>3151</v>
      </c>
      <c r="H1914" s="248"/>
      <c r="I1914" s="248"/>
      <c r="J1914" s="248"/>
      <c r="K1914" s="248"/>
      <c r="L1914" s="248"/>
      <c r="M1914" s="248" t="s">
        <v>2491</v>
      </c>
    </row>
    <row r="1915" spans="1:13" ht="20.100000000000001" customHeight="1">
      <c r="A1915" s="248"/>
      <c r="B1915" s="248" t="s">
        <v>5779</v>
      </c>
      <c r="C1915" s="248" t="s">
        <v>4025</v>
      </c>
      <c r="D1915" s="248"/>
      <c r="E1915" s="248"/>
      <c r="F1915" s="248"/>
      <c r="G1915" s="248" t="s">
        <v>2492</v>
      </c>
      <c r="H1915" s="248"/>
      <c r="I1915" s="248"/>
      <c r="J1915" s="248"/>
      <c r="K1915" s="248"/>
      <c r="L1915" s="248"/>
      <c r="M1915" s="248" t="s">
        <v>2493</v>
      </c>
    </row>
    <row r="1916" spans="1:13" ht="20.100000000000001" customHeight="1">
      <c r="A1916" s="248"/>
      <c r="B1916" s="248" t="s">
        <v>5780</v>
      </c>
      <c r="C1916" s="248" t="s">
        <v>4008</v>
      </c>
      <c r="D1916" s="248"/>
      <c r="E1916" s="248"/>
      <c r="F1916" s="248"/>
      <c r="G1916" s="248" t="s">
        <v>3228</v>
      </c>
      <c r="H1916" s="248"/>
      <c r="I1916" s="248"/>
      <c r="J1916" s="248"/>
      <c r="K1916" s="248"/>
      <c r="L1916" s="248"/>
      <c r="M1916" s="248" t="s">
        <v>3229</v>
      </c>
    </row>
    <row r="1917" spans="1:13" ht="20.100000000000001" customHeight="1">
      <c r="A1917" s="248"/>
      <c r="B1917" s="248" t="s">
        <v>5781</v>
      </c>
      <c r="C1917" s="248" t="s">
        <v>4016</v>
      </c>
      <c r="D1917" s="248"/>
      <c r="E1917" s="248"/>
      <c r="F1917" s="248"/>
      <c r="G1917" s="248" t="s">
        <v>3976</v>
      </c>
      <c r="H1917" s="248"/>
      <c r="I1917" s="248"/>
      <c r="J1917" s="248"/>
      <c r="K1917" s="248"/>
      <c r="L1917" s="248"/>
      <c r="M1917" s="248" t="s">
        <v>3977</v>
      </c>
    </row>
    <row r="1918" spans="1:13" ht="20.100000000000001" customHeight="1">
      <c r="A1918" s="248"/>
      <c r="B1918" s="248" t="s">
        <v>5782</v>
      </c>
      <c r="C1918" s="248" t="s">
        <v>4008</v>
      </c>
      <c r="D1918" s="248"/>
      <c r="E1918" s="248"/>
      <c r="F1918" s="248"/>
      <c r="G1918" s="248" t="s">
        <v>2494</v>
      </c>
      <c r="H1918" s="248"/>
      <c r="I1918" s="248"/>
      <c r="J1918" s="248"/>
      <c r="K1918" s="248"/>
      <c r="L1918" s="248"/>
      <c r="M1918" s="248" t="s">
        <v>2495</v>
      </c>
    </row>
    <row r="1919" spans="1:13" ht="20.100000000000001" customHeight="1">
      <c r="A1919" s="248"/>
      <c r="B1919" s="248" t="s">
        <v>6464</v>
      </c>
      <c r="C1919" s="248" t="s">
        <v>4014</v>
      </c>
      <c r="D1919" s="248"/>
      <c r="E1919" s="248"/>
      <c r="F1919" s="248"/>
      <c r="G1919" s="248" t="s">
        <v>6465</v>
      </c>
      <c r="H1919" s="248"/>
      <c r="I1919" s="248"/>
      <c r="J1919" s="248"/>
      <c r="K1919" s="248"/>
      <c r="L1919" s="248"/>
      <c r="M1919" s="248" t="s">
        <v>3550</v>
      </c>
    </row>
    <row r="1920" spans="1:13" ht="20.100000000000001" customHeight="1">
      <c r="A1920" s="248"/>
      <c r="B1920" s="248" t="s">
        <v>6332</v>
      </c>
      <c r="C1920" s="248" t="s">
        <v>4008</v>
      </c>
      <c r="D1920" s="248"/>
      <c r="E1920" s="248"/>
      <c r="F1920" s="248"/>
      <c r="G1920" s="248" t="s">
        <v>6333</v>
      </c>
      <c r="H1920" s="248"/>
      <c r="I1920" s="248"/>
      <c r="J1920" s="248"/>
      <c r="K1920" s="248"/>
      <c r="L1920" s="248"/>
      <c r="M1920" s="248" t="s">
        <v>6334</v>
      </c>
    </row>
    <row r="1921" spans="1:13" ht="20.100000000000001" customHeight="1">
      <c r="A1921" s="248"/>
      <c r="B1921" s="248" t="s">
        <v>5783</v>
      </c>
      <c r="C1921" s="248" t="s">
        <v>4016</v>
      </c>
      <c r="D1921" s="248"/>
      <c r="E1921" s="248"/>
      <c r="F1921" s="248"/>
      <c r="G1921" s="248" t="s">
        <v>3607</v>
      </c>
      <c r="H1921" s="248"/>
      <c r="I1921" s="248"/>
      <c r="J1921" s="248"/>
      <c r="K1921" s="248"/>
      <c r="L1921" s="248"/>
      <c r="M1921" s="248" t="s">
        <v>3608</v>
      </c>
    </row>
    <row r="1922" spans="1:13" ht="20.100000000000001" customHeight="1">
      <c r="A1922" s="248"/>
      <c r="B1922" s="248" t="s">
        <v>5784</v>
      </c>
      <c r="C1922" s="248" t="s">
        <v>4008</v>
      </c>
      <c r="D1922" s="248"/>
      <c r="E1922" s="248"/>
      <c r="F1922" s="248"/>
      <c r="G1922" s="248" t="s">
        <v>2497</v>
      </c>
      <c r="H1922" s="248"/>
      <c r="I1922" s="248"/>
      <c r="J1922" s="248"/>
      <c r="K1922" s="248"/>
      <c r="L1922" s="248"/>
      <c r="M1922" s="248" t="s">
        <v>2498</v>
      </c>
    </row>
    <row r="1923" spans="1:13" ht="20.100000000000001" customHeight="1">
      <c r="A1923" s="248"/>
      <c r="B1923" s="248" t="s">
        <v>5785</v>
      </c>
      <c r="C1923" s="248" t="s">
        <v>4030</v>
      </c>
      <c r="D1923" s="248"/>
      <c r="E1923" s="248"/>
      <c r="F1923" s="248"/>
      <c r="G1923" s="248" t="s">
        <v>3321</v>
      </c>
      <c r="H1923" s="248"/>
      <c r="I1923" s="248"/>
      <c r="J1923" s="248"/>
      <c r="K1923" s="248"/>
      <c r="L1923" s="248"/>
      <c r="M1923" s="248" t="s">
        <v>196</v>
      </c>
    </row>
    <row r="1924" spans="1:13" ht="20.100000000000001" customHeight="1">
      <c r="A1924" s="248"/>
      <c r="B1924" s="248" t="s">
        <v>5786</v>
      </c>
      <c r="C1924" s="248" t="s">
        <v>4012</v>
      </c>
      <c r="D1924" s="248"/>
      <c r="E1924" s="248"/>
      <c r="F1924" s="248"/>
      <c r="G1924" s="248" t="s">
        <v>2499</v>
      </c>
      <c r="H1924" s="248"/>
      <c r="I1924" s="248"/>
      <c r="J1924" s="248"/>
      <c r="K1924" s="248"/>
      <c r="L1924" s="248"/>
      <c r="M1924" s="248" t="s">
        <v>3550</v>
      </c>
    </row>
    <row r="1925" spans="1:13" ht="20.100000000000001" customHeight="1">
      <c r="A1925" s="248"/>
      <c r="B1925" s="248" t="s">
        <v>5787</v>
      </c>
      <c r="C1925" s="248" t="s">
        <v>4036</v>
      </c>
      <c r="D1925" s="248"/>
      <c r="E1925" s="248"/>
      <c r="F1925" s="248"/>
      <c r="G1925" s="248" t="s">
        <v>3660</v>
      </c>
      <c r="H1925" s="248"/>
      <c r="I1925" s="248"/>
      <c r="J1925" s="248"/>
      <c r="K1925" s="248"/>
      <c r="L1925" s="248"/>
      <c r="M1925" s="248" t="s">
        <v>3661</v>
      </c>
    </row>
    <row r="1926" spans="1:13" ht="20.100000000000001" customHeight="1">
      <c r="A1926" s="248"/>
      <c r="B1926" s="248" t="s">
        <v>5788</v>
      </c>
      <c r="C1926" s="248" t="s">
        <v>4036</v>
      </c>
      <c r="D1926" s="248"/>
      <c r="E1926" s="248"/>
      <c r="F1926" s="248"/>
      <c r="G1926" s="248" t="s">
        <v>3662</v>
      </c>
      <c r="H1926" s="248"/>
      <c r="I1926" s="248"/>
      <c r="J1926" s="248"/>
      <c r="K1926" s="248"/>
      <c r="L1926" s="248"/>
      <c r="M1926" s="248" t="s">
        <v>3663</v>
      </c>
    </row>
    <row r="1927" spans="1:13" ht="20.100000000000001" customHeight="1">
      <c r="A1927" s="248"/>
      <c r="B1927" s="248" t="s">
        <v>5789</v>
      </c>
      <c r="C1927" s="248" t="s">
        <v>4271</v>
      </c>
      <c r="D1927" s="248"/>
      <c r="E1927" s="248"/>
      <c r="F1927" s="248"/>
      <c r="G1927" s="248" t="s">
        <v>2500</v>
      </c>
      <c r="H1927" s="248"/>
      <c r="I1927" s="248"/>
      <c r="J1927" s="248"/>
      <c r="K1927" s="248"/>
      <c r="L1927" s="248"/>
      <c r="M1927" s="248" t="s">
        <v>3550</v>
      </c>
    </row>
    <row r="1928" spans="1:13" ht="20.100000000000001" customHeight="1">
      <c r="A1928" s="248"/>
      <c r="B1928" s="248" t="s">
        <v>5790</v>
      </c>
      <c r="C1928" s="248" t="s">
        <v>4003</v>
      </c>
      <c r="D1928" s="248"/>
      <c r="E1928" s="248"/>
      <c r="F1928" s="248"/>
      <c r="G1928" s="248" t="s">
        <v>3711</v>
      </c>
      <c r="H1928" s="248"/>
      <c r="I1928" s="248"/>
      <c r="J1928" s="248"/>
      <c r="K1928" s="248"/>
      <c r="L1928" s="248"/>
      <c r="M1928" s="248" t="s">
        <v>3712</v>
      </c>
    </row>
    <row r="1929" spans="1:13" ht="20.100000000000001" customHeight="1">
      <c r="A1929" s="248"/>
      <c r="B1929" s="248" t="s">
        <v>5791</v>
      </c>
      <c r="C1929" s="248" t="s">
        <v>4003</v>
      </c>
      <c r="D1929" s="248"/>
      <c r="E1929" s="248"/>
      <c r="F1929" s="248"/>
      <c r="G1929" s="248" t="s">
        <v>2501</v>
      </c>
      <c r="H1929" s="248"/>
      <c r="I1929" s="248"/>
      <c r="J1929" s="248"/>
      <c r="K1929" s="248"/>
      <c r="L1929" s="248"/>
      <c r="M1929" s="248" t="s">
        <v>2502</v>
      </c>
    </row>
    <row r="1930" spans="1:13" ht="20.100000000000001" customHeight="1">
      <c r="A1930" s="248"/>
      <c r="B1930" s="248" t="s">
        <v>5792</v>
      </c>
      <c r="C1930" s="248" t="s">
        <v>4016</v>
      </c>
      <c r="D1930" s="248"/>
      <c r="E1930" s="248"/>
      <c r="F1930" s="248"/>
      <c r="G1930" s="248" t="s">
        <v>2503</v>
      </c>
      <c r="H1930" s="248"/>
      <c r="I1930" s="248"/>
      <c r="J1930" s="248"/>
      <c r="K1930" s="248"/>
      <c r="L1930" s="248"/>
      <c r="M1930" s="248" t="s">
        <v>2504</v>
      </c>
    </row>
    <row r="1931" spans="1:13" ht="20.100000000000001" customHeight="1">
      <c r="A1931" s="248"/>
      <c r="B1931" s="248" t="s">
        <v>5793</v>
      </c>
      <c r="C1931" s="248" t="s">
        <v>4016</v>
      </c>
      <c r="D1931" s="248"/>
      <c r="E1931" s="248"/>
      <c r="F1931" s="248"/>
      <c r="G1931" s="248" t="s">
        <v>6466</v>
      </c>
      <c r="H1931" s="248"/>
      <c r="I1931" s="248"/>
      <c r="J1931" s="248"/>
      <c r="K1931" s="248"/>
      <c r="L1931" s="248"/>
      <c r="M1931" s="248" t="s">
        <v>2505</v>
      </c>
    </row>
    <row r="1932" spans="1:13" ht="20.100000000000001" customHeight="1">
      <c r="A1932" s="248"/>
      <c r="B1932" s="248" t="s">
        <v>5794</v>
      </c>
      <c r="C1932" s="248" t="s">
        <v>4016</v>
      </c>
      <c r="D1932" s="248"/>
      <c r="E1932" s="248"/>
      <c r="F1932" s="248"/>
      <c r="G1932" s="248" t="s">
        <v>2506</v>
      </c>
      <c r="H1932" s="248"/>
      <c r="I1932" s="248"/>
      <c r="J1932" s="248"/>
      <c r="K1932" s="248"/>
      <c r="L1932" s="248"/>
      <c r="M1932" s="248" t="s">
        <v>2507</v>
      </c>
    </row>
    <row r="1933" spans="1:13" ht="20.100000000000001" customHeight="1">
      <c r="A1933" s="248"/>
      <c r="B1933" s="248" t="s">
        <v>5795</v>
      </c>
      <c r="C1933" s="248" t="s">
        <v>4014</v>
      </c>
      <c r="D1933" s="248"/>
      <c r="E1933" s="248"/>
      <c r="F1933" s="248"/>
      <c r="G1933" s="248" t="s">
        <v>2995</v>
      </c>
      <c r="H1933" s="248"/>
      <c r="I1933" s="248"/>
      <c r="J1933" s="248"/>
      <c r="K1933" s="248"/>
      <c r="L1933" s="248"/>
      <c r="M1933" s="248" t="s">
        <v>2996</v>
      </c>
    </row>
    <row r="1934" spans="1:13" ht="20.100000000000001" customHeight="1">
      <c r="A1934" s="248"/>
      <c r="B1934" s="248" t="s">
        <v>5796</v>
      </c>
      <c r="C1934" s="248" t="s">
        <v>4008</v>
      </c>
      <c r="D1934" s="248"/>
      <c r="E1934" s="248"/>
      <c r="F1934" s="248"/>
      <c r="G1934" s="248" t="s">
        <v>3140</v>
      </c>
      <c r="H1934" s="248"/>
      <c r="I1934" s="248"/>
      <c r="J1934" s="248"/>
      <c r="K1934" s="248"/>
      <c r="L1934" s="248"/>
      <c r="M1934" s="248" t="s">
        <v>3141</v>
      </c>
    </row>
    <row r="1935" spans="1:13" ht="20.100000000000001" customHeight="1">
      <c r="A1935" s="248"/>
      <c r="B1935" s="248" t="s">
        <v>6335</v>
      </c>
      <c r="C1935" s="248" t="s">
        <v>4014</v>
      </c>
      <c r="D1935" s="248"/>
      <c r="E1935" s="248"/>
      <c r="F1935" s="248"/>
      <c r="G1935" s="248" t="s">
        <v>6336</v>
      </c>
      <c r="H1935" s="248"/>
      <c r="I1935" s="248"/>
      <c r="J1935" s="248"/>
      <c r="K1935" s="248"/>
      <c r="L1935" s="248"/>
      <c r="M1935" s="248" t="s">
        <v>6337</v>
      </c>
    </row>
    <row r="1936" spans="1:13" ht="20.100000000000001" customHeight="1">
      <c r="A1936" s="248"/>
      <c r="B1936" s="248" t="s">
        <v>6528</v>
      </c>
      <c r="C1936" s="248" t="s">
        <v>4008</v>
      </c>
      <c r="D1936" s="248"/>
      <c r="E1936" s="248"/>
      <c r="F1936" s="248"/>
      <c r="G1936" s="248" t="s">
        <v>6529</v>
      </c>
      <c r="H1936" s="248"/>
      <c r="I1936" s="248"/>
      <c r="J1936" s="248"/>
      <c r="K1936" s="248"/>
      <c r="L1936" s="248"/>
      <c r="M1936" s="248" t="s">
        <v>6530</v>
      </c>
    </row>
    <row r="1937" spans="1:13" ht="20.100000000000001" customHeight="1">
      <c r="A1937" s="248"/>
      <c r="B1937" s="248" t="s">
        <v>5797</v>
      </c>
      <c r="C1937" s="248" t="s">
        <v>4008</v>
      </c>
      <c r="D1937" s="248"/>
      <c r="E1937" s="248"/>
      <c r="F1937" s="248"/>
      <c r="G1937" s="248" t="s">
        <v>2508</v>
      </c>
      <c r="H1937" s="248"/>
      <c r="I1937" s="248"/>
      <c r="J1937" s="248"/>
      <c r="K1937" s="248"/>
      <c r="L1937" s="248"/>
      <c r="M1937" s="248" t="s">
        <v>2509</v>
      </c>
    </row>
    <row r="1938" spans="1:13" ht="20.100000000000001" customHeight="1">
      <c r="A1938" s="248"/>
      <c r="B1938" s="248" t="s">
        <v>5798</v>
      </c>
      <c r="C1938" s="248" t="s">
        <v>4016</v>
      </c>
      <c r="D1938" s="248"/>
      <c r="E1938" s="248"/>
      <c r="F1938" s="248"/>
      <c r="G1938" s="248" t="s">
        <v>2510</v>
      </c>
      <c r="H1938" s="248"/>
      <c r="I1938" s="248"/>
      <c r="J1938" s="248"/>
      <c r="K1938" s="248"/>
      <c r="L1938" s="248"/>
      <c r="M1938" s="248" t="s">
        <v>2511</v>
      </c>
    </row>
    <row r="1939" spans="1:13" ht="20.100000000000001" customHeight="1">
      <c r="A1939" s="248"/>
      <c r="B1939" s="248" t="s">
        <v>5799</v>
      </c>
      <c r="C1939" s="248" t="s">
        <v>4008</v>
      </c>
      <c r="D1939" s="248"/>
      <c r="E1939" s="248"/>
      <c r="F1939" s="248"/>
      <c r="G1939" s="248" t="s">
        <v>2512</v>
      </c>
      <c r="H1939" s="248"/>
      <c r="I1939" s="248"/>
      <c r="J1939" s="248"/>
      <c r="K1939" s="248"/>
      <c r="L1939" s="248"/>
      <c r="M1939" s="248" t="s">
        <v>2513</v>
      </c>
    </row>
    <row r="1940" spans="1:13" ht="20.100000000000001" customHeight="1">
      <c r="A1940" s="248"/>
      <c r="B1940" s="248" t="s">
        <v>5800</v>
      </c>
      <c r="C1940" s="248" t="s">
        <v>5801</v>
      </c>
      <c r="D1940" s="248"/>
      <c r="E1940" s="248"/>
      <c r="F1940" s="248"/>
      <c r="G1940" s="248" t="s">
        <v>2514</v>
      </c>
      <c r="H1940" s="248"/>
      <c r="I1940" s="248"/>
      <c r="J1940" s="248"/>
      <c r="K1940" s="248"/>
      <c r="L1940" s="248"/>
      <c r="M1940" s="248" t="s">
        <v>2515</v>
      </c>
    </row>
    <row r="1941" spans="1:13" ht="20.100000000000001" customHeight="1">
      <c r="A1941" s="248"/>
      <c r="B1941" s="248" t="s">
        <v>5802</v>
      </c>
      <c r="C1941" s="248" t="s">
        <v>5801</v>
      </c>
      <c r="D1941" s="248"/>
      <c r="E1941" s="248"/>
      <c r="F1941" s="248"/>
      <c r="G1941" s="248" t="s">
        <v>2516</v>
      </c>
      <c r="H1941" s="248"/>
      <c r="I1941" s="248"/>
      <c r="J1941" s="248"/>
      <c r="K1941" s="248"/>
      <c r="L1941" s="248"/>
      <c r="M1941" s="248" t="s">
        <v>2517</v>
      </c>
    </row>
    <row r="1942" spans="1:13" ht="20.100000000000001" customHeight="1">
      <c r="A1942" s="248"/>
      <c r="B1942" s="248" t="s">
        <v>6338</v>
      </c>
      <c r="C1942" s="248" t="s">
        <v>5801</v>
      </c>
      <c r="D1942" s="248"/>
      <c r="E1942" s="248"/>
      <c r="F1942" s="248"/>
      <c r="G1942" s="248" t="s">
        <v>6339</v>
      </c>
      <c r="H1942" s="248"/>
      <c r="I1942" s="248"/>
      <c r="J1942" s="248"/>
      <c r="K1942" s="248"/>
      <c r="L1942" s="248"/>
      <c r="M1942" s="248" t="s">
        <v>6340</v>
      </c>
    </row>
    <row r="1943" spans="1:13" ht="20.100000000000001" customHeight="1">
      <c r="A1943" s="248"/>
      <c r="B1943" s="248" t="s">
        <v>5803</v>
      </c>
      <c r="C1943" s="248" t="s">
        <v>4025</v>
      </c>
      <c r="D1943" s="248"/>
      <c r="E1943" s="248"/>
      <c r="F1943" s="248"/>
      <c r="G1943" s="248" t="s">
        <v>2518</v>
      </c>
      <c r="H1943" s="248"/>
      <c r="I1943" s="248"/>
      <c r="J1943" s="248"/>
      <c r="K1943" s="248"/>
      <c r="L1943" s="248"/>
      <c r="M1943" s="248" t="s">
        <v>2519</v>
      </c>
    </row>
    <row r="1944" spans="1:13" ht="20.100000000000001" customHeight="1">
      <c r="A1944" s="248"/>
      <c r="B1944" s="248" t="s">
        <v>5804</v>
      </c>
      <c r="C1944" s="248" t="s">
        <v>4008</v>
      </c>
      <c r="D1944" s="248"/>
      <c r="E1944" s="248"/>
      <c r="F1944" s="248"/>
      <c r="G1944" s="248" t="s">
        <v>3545</v>
      </c>
      <c r="H1944" s="248"/>
      <c r="I1944" s="248"/>
      <c r="J1944" s="248"/>
      <c r="K1944" s="248"/>
      <c r="L1944" s="248"/>
      <c r="M1944" s="248" t="s">
        <v>3546</v>
      </c>
    </row>
    <row r="1945" spans="1:13" ht="20.100000000000001" customHeight="1">
      <c r="A1945" s="248"/>
      <c r="B1945" s="248" t="s">
        <v>5805</v>
      </c>
      <c r="C1945" s="248" t="s">
        <v>4003</v>
      </c>
      <c r="D1945" s="248"/>
      <c r="E1945" s="248"/>
      <c r="F1945" s="248"/>
      <c r="G1945" s="248" t="s">
        <v>3485</v>
      </c>
      <c r="H1945" s="248"/>
      <c r="I1945" s="248"/>
      <c r="J1945" s="248"/>
      <c r="K1945" s="248"/>
      <c r="L1945" s="248"/>
      <c r="M1945" s="248" t="s">
        <v>196</v>
      </c>
    </row>
    <row r="1946" spans="1:13" ht="20.100000000000001" customHeight="1">
      <c r="A1946" s="248"/>
      <c r="B1946" s="248" t="s">
        <v>5806</v>
      </c>
      <c r="C1946" s="248" t="s">
        <v>4016</v>
      </c>
      <c r="D1946" s="248"/>
      <c r="E1946" s="248"/>
      <c r="F1946" s="248"/>
      <c r="G1946" s="248" t="s">
        <v>2520</v>
      </c>
      <c r="H1946" s="248"/>
      <c r="I1946" s="248"/>
      <c r="J1946" s="248"/>
      <c r="K1946" s="248"/>
      <c r="L1946" s="248"/>
      <c r="M1946" s="248" t="s">
        <v>2521</v>
      </c>
    </row>
    <row r="1947" spans="1:13" ht="20.100000000000001" customHeight="1">
      <c r="A1947" s="248"/>
      <c r="B1947" s="248" t="s">
        <v>6341</v>
      </c>
      <c r="C1947" s="248" t="s">
        <v>4014</v>
      </c>
      <c r="D1947" s="248"/>
      <c r="E1947" s="248"/>
      <c r="F1947" s="248"/>
      <c r="G1947" s="248" t="s">
        <v>6342</v>
      </c>
      <c r="H1947" s="248"/>
      <c r="I1947" s="248"/>
      <c r="J1947" s="248"/>
      <c r="K1947" s="248"/>
      <c r="L1947" s="248"/>
      <c r="M1947" s="248" t="s">
        <v>400</v>
      </c>
    </row>
    <row r="1948" spans="1:13" ht="20.100000000000001" customHeight="1">
      <c r="A1948" s="248"/>
      <c r="B1948" s="248" t="s">
        <v>5807</v>
      </c>
      <c r="C1948" s="248" t="s">
        <v>4003</v>
      </c>
      <c r="D1948" s="248"/>
      <c r="E1948" s="248"/>
      <c r="F1948" s="248"/>
      <c r="G1948" s="248" t="s">
        <v>2522</v>
      </c>
      <c r="H1948" s="248"/>
      <c r="I1948" s="248"/>
      <c r="J1948" s="248"/>
      <c r="K1948" s="248"/>
      <c r="L1948" s="248"/>
      <c r="M1948" s="248" t="s">
        <v>2523</v>
      </c>
    </row>
    <row r="1949" spans="1:13" ht="20.100000000000001" customHeight="1">
      <c r="A1949" s="248"/>
      <c r="B1949" s="248" t="s">
        <v>5808</v>
      </c>
      <c r="C1949" s="248" t="s">
        <v>4036</v>
      </c>
      <c r="D1949" s="248"/>
      <c r="E1949" s="248"/>
      <c r="F1949" s="248"/>
      <c r="G1949" s="248" t="s">
        <v>2524</v>
      </c>
      <c r="H1949" s="248"/>
      <c r="I1949" s="248"/>
      <c r="J1949" s="248"/>
      <c r="K1949" s="248"/>
      <c r="L1949" s="248"/>
      <c r="M1949" s="248" t="s">
        <v>2227</v>
      </c>
    </row>
    <row r="1950" spans="1:13" ht="20.100000000000001" customHeight="1">
      <c r="A1950" s="248"/>
      <c r="B1950" s="248" t="s">
        <v>5809</v>
      </c>
      <c r="C1950" s="248" t="s">
        <v>4025</v>
      </c>
      <c r="D1950" s="248"/>
      <c r="E1950" s="248"/>
      <c r="F1950" s="248"/>
      <c r="G1950" s="248" t="s">
        <v>3713</v>
      </c>
      <c r="H1950" s="248"/>
      <c r="I1950" s="248"/>
      <c r="J1950" s="248"/>
      <c r="K1950" s="248"/>
      <c r="L1950" s="248"/>
      <c r="M1950" s="248" t="s">
        <v>3714</v>
      </c>
    </row>
    <row r="1951" spans="1:13" ht="20.100000000000001" customHeight="1">
      <c r="A1951" s="248"/>
      <c r="B1951" s="248" t="s">
        <v>5810</v>
      </c>
      <c r="C1951" s="248" t="s">
        <v>4003</v>
      </c>
      <c r="D1951" s="248"/>
      <c r="E1951" s="248"/>
      <c r="F1951" s="248"/>
      <c r="G1951" s="248" t="s">
        <v>2525</v>
      </c>
      <c r="H1951" s="248"/>
      <c r="I1951" s="248"/>
      <c r="J1951" s="248"/>
      <c r="K1951" s="248"/>
      <c r="L1951" s="248"/>
      <c r="M1951" s="248" t="s">
        <v>2526</v>
      </c>
    </row>
    <row r="1952" spans="1:13" ht="20.100000000000001" customHeight="1">
      <c r="A1952" s="248"/>
      <c r="B1952" s="248" t="s">
        <v>5811</v>
      </c>
      <c r="C1952" s="248" t="s">
        <v>4030</v>
      </c>
      <c r="D1952" s="248"/>
      <c r="E1952" s="248"/>
      <c r="F1952" s="248"/>
      <c r="G1952" s="248" t="s">
        <v>2527</v>
      </c>
      <c r="H1952" s="248"/>
      <c r="I1952" s="248"/>
      <c r="J1952" s="248"/>
      <c r="K1952" s="248"/>
      <c r="L1952" s="248"/>
      <c r="M1952" s="248" t="s">
        <v>2528</v>
      </c>
    </row>
    <row r="1953" spans="1:13" ht="20.100000000000001" customHeight="1">
      <c r="A1953" s="248"/>
      <c r="B1953" s="248" t="s">
        <v>5812</v>
      </c>
      <c r="C1953" s="248" t="s">
        <v>4014</v>
      </c>
      <c r="D1953" s="248"/>
      <c r="E1953" s="248"/>
      <c r="F1953" s="248"/>
      <c r="G1953" s="248" t="s">
        <v>3596</v>
      </c>
      <c r="H1953" s="248"/>
      <c r="I1953" s="248"/>
      <c r="J1953" s="248"/>
      <c r="K1953" s="248"/>
      <c r="L1953" s="248"/>
      <c r="M1953" s="248" t="s">
        <v>3597</v>
      </c>
    </row>
    <row r="1954" spans="1:13" ht="20.100000000000001" customHeight="1">
      <c r="A1954" s="248"/>
      <c r="B1954" s="248" t="s">
        <v>5813</v>
      </c>
      <c r="C1954" s="248" t="s">
        <v>4030</v>
      </c>
      <c r="D1954" s="248"/>
      <c r="E1954" s="248"/>
      <c r="F1954" s="248"/>
      <c r="G1954" s="248" t="s">
        <v>2529</v>
      </c>
      <c r="H1954" s="248"/>
      <c r="I1954" s="248"/>
      <c r="J1954" s="248"/>
      <c r="K1954" s="248"/>
      <c r="L1954" s="248"/>
      <c r="M1954" s="248" t="s">
        <v>2530</v>
      </c>
    </row>
    <row r="1955" spans="1:13" ht="20.100000000000001" customHeight="1">
      <c r="A1955" s="248"/>
      <c r="B1955" s="248" t="s">
        <v>5814</v>
      </c>
      <c r="C1955" s="248" t="s">
        <v>4003</v>
      </c>
      <c r="D1955" s="248"/>
      <c r="E1955" s="248"/>
      <c r="F1955" s="248"/>
      <c r="G1955" s="248" t="s">
        <v>3664</v>
      </c>
      <c r="H1955" s="248"/>
      <c r="I1955" s="248"/>
      <c r="J1955" s="248"/>
      <c r="K1955" s="248"/>
      <c r="L1955" s="248"/>
      <c r="M1955" s="248" t="s">
        <v>3665</v>
      </c>
    </row>
    <row r="1956" spans="1:13" ht="20.100000000000001" customHeight="1">
      <c r="A1956" s="248"/>
      <c r="B1956" s="248" t="s">
        <v>5815</v>
      </c>
      <c r="C1956" s="248" t="s">
        <v>4124</v>
      </c>
      <c r="D1956" s="248"/>
      <c r="E1956" s="248"/>
      <c r="F1956" s="248"/>
      <c r="G1956" s="248" t="s">
        <v>2531</v>
      </c>
      <c r="H1956" s="248"/>
      <c r="I1956" s="248"/>
      <c r="J1956" s="248"/>
      <c r="K1956" s="248"/>
      <c r="L1956" s="248"/>
      <c r="M1956" s="248" t="s">
        <v>2532</v>
      </c>
    </row>
    <row r="1957" spans="1:13" ht="20.100000000000001" customHeight="1">
      <c r="A1957" s="248"/>
      <c r="B1957" s="248" t="s">
        <v>5816</v>
      </c>
      <c r="C1957" s="248" t="s">
        <v>4016</v>
      </c>
      <c r="D1957" s="248"/>
      <c r="E1957" s="248"/>
      <c r="F1957" s="248"/>
      <c r="G1957" s="248" t="s">
        <v>2533</v>
      </c>
      <c r="H1957" s="248"/>
      <c r="I1957" s="248"/>
      <c r="J1957" s="248"/>
      <c r="K1957" s="248"/>
      <c r="L1957" s="248"/>
      <c r="M1957" s="248" t="s">
        <v>2534</v>
      </c>
    </row>
    <row r="1958" spans="1:13" ht="20.100000000000001" customHeight="1">
      <c r="A1958" s="248"/>
      <c r="B1958" s="248" t="s">
        <v>5817</v>
      </c>
      <c r="C1958" s="248" t="s">
        <v>4014</v>
      </c>
      <c r="D1958" s="248"/>
      <c r="E1958" s="248"/>
      <c r="F1958" s="248"/>
      <c r="G1958" s="248" t="s">
        <v>2535</v>
      </c>
      <c r="H1958" s="248"/>
      <c r="I1958" s="248"/>
      <c r="J1958" s="248"/>
      <c r="K1958" s="248"/>
      <c r="L1958" s="248"/>
      <c r="M1958" s="248" t="s">
        <v>3550</v>
      </c>
    </row>
    <row r="1959" spans="1:13" ht="20.100000000000001" customHeight="1">
      <c r="A1959" s="248"/>
      <c r="B1959" s="248" t="s">
        <v>6467</v>
      </c>
      <c r="C1959" s="248" t="s">
        <v>4003</v>
      </c>
      <c r="D1959" s="248"/>
      <c r="E1959" s="248"/>
      <c r="F1959" s="248"/>
      <c r="G1959" s="248" t="s">
        <v>6468</v>
      </c>
      <c r="H1959" s="248"/>
      <c r="I1959" s="248"/>
      <c r="J1959" s="248"/>
      <c r="K1959" s="248"/>
      <c r="L1959" s="248"/>
      <c r="M1959" s="248" t="s">
        <v>6469</v>
      </c>
    </row>
    <row r="1960" spans="1:13" ht="20.100000000000001" customHeight="1">
      <c r="A1960" s="248"/>
      <c r="B1960" s="248" t="s">
        <v>5818</v>
      </c>
      <c r="C1960" s="248" t="s">
        <v>4012</v>
      </c>
      <c r="D1960" s="248"/>
      <c r="E1960" s="248"/>
      <c r="F1960" s="248"/>
      <c r="G1960" s="248" t="s">
        <v>2536</v>
      </c>
      <c r="H1960" s="248"/>
      <c r="I1960" s="248"/>
      <c r="J1960" s="248"/>
      <c r="K1960" s="248"/>
      <c r="L1960" s="248"/>
      <c r="M1960" s="248" t="s">
        <v>2537</v>
      </c>
    </row>
    <row r="1961" spans="1:13" ht="20.100000000000001" customHeight="1">
      <c r="A1961" s="248"/>
      <c r="B1961" s="248" t="s">
        <v>5819</v>
      </c>
      <c r="C1961" s="248" t="s">
        <v>4025</v>
      </c>
      <c r="D1961" s="248"/>
      <c r="E1961" s="248"/>
      <c r="F1961" s="248"/>
      <c r="G1961" s="248" t="s">
        <v>2538</v>
      </c>
      <c r="H1961" s="248"/>
      <c r="I1961" s="248"/>
      <c r="J1961" s="248"/>
      <c r="K1961" s="248"/>
      <c r="L1961" s="248"/>
      <c r="M1961" s="248" t="s">
        <v>2539</v>
      </c>
    </row>
    <row r="1962" spans="1:13" ht="20.100000000000001" customHeight="1">
      <c r="A1962" s="248"/>
      <c r="B1962" s="248" t="s">
        <v>5820</v>
      </c>
      <c r="C1962" s="248" t="s">
        <v>4008</v>
      </c>
      <c r="D1962" s="248"/>
      <c r="E1962" s="248"/>
      <c r="F1962" s="248"/>
      <c r="G1962" s="248" t="s">
        <v>2540</v>
      </c>
      <c r="H1962" s="248"/>
      <c r="I1962" s="248"/>
      <c r="J1962" s="248"/>
      <c r="K1962" s="248"/>
      <c r="L1962" s="248"/>
      <c r="M1962" s="248" t="s">
        <v>2541</v>
      </c>
    </row>
    <row r="1963" spans="1:13" ht="20.100000000000001" customHeight="1">
      <c r="A1963" s="248"/>
      <c r="B1963" s="248" t="s">
        <v>5821</v>
      </c>
      <c r="C1963" s="248" t="s">
        <v>4008</v>
      </c>
      <c r="D1963" s="248"/>
      <c r="E1963" s="248"/>
      <c r="F1963" s="248"/>
      <c r="G1963" s="248" t="s">
        <v>2542</v>
      </c>
      <c r="H1963" s="248"/>
      <c r="I1963" s="248"/>
      <c r="J1963" s="248"/>
      <c r="K1963" s="248"/>
      <c r="L1963" s="248"/>
      <c r="M1963" s="248" t="s">
        <v>2543</v>
      </c>
    </row>
    <row r="1964" spans="1:13" ht="20.100000000000001" customHeight="1">
      <c r="A1964" s="248"/>
      <c r="B1964" s="248" t="s">
        <v>5822</v>
      </c>
      <c r="C1964" s="248" t="s">
        <v>4025</v>
      </c>
      <c r="D1964" s="248"/>
      <c r="E1964" s="248"/>
      <c r="F1964" s="248"/>
      <c r="G1964" s="248" t="s">
        <v>2544</v>
      </c>
      <c r="H1964" s="248"/>
      <c r="I1964" s="248"/>
      <c r="J1964" s="248"/>
      <c r="K1964" s="248"/>
      <c r="L1964" s="248"/>
      <c r="M1964" s="248" t="s">
        <v>2545</v>
      </c>
    </row>
    <row r="1965" spans="1:13" ht="20.100000000000001" customHeight="1">
      <c r="A1965" s="248"/>
      <c r="B1965" s="248" t="s">
        <v>5823</v>
      </c>
      <c r="C1965" s="248" t="s">
        <v>4030</v>
      </c>
      <c r="D1965" s="248"/>
      <c r="E1965" s="248"/>
      <c r="F1965" s="248"/>
      <c r="G1965" s="248" t="s">
        <v>2546</v>
      </c>
      <c r="H1965" s="248"/>
      <c r="I1965" s="248"/>
      <c r="J1965" s="248"/>
      <c r="K1965" s="248"/>
      <c r="L1965" s="248"/>
      <c r="M1965" s="248" t="s">
        <v>3550</v>
      </c>
    </row>
    <row r="1966" spans="1:13" ht="20.100000000000001" customHeight="1">
      <c r="A1966" s="248"/>
      <c r="B1966" s="248" t="s">
        <v>5824</v>
      </c>
      <c r="C1966" s="248" t="s">
        <v>4016</v>
      </c>
      <c r="D1966" s="248"/>
      <c r="E1966" s="248"/>
      <c r="F1966" s="248"/>
      <c r="G1966" s="248" t="s">
        <v>3285</v>
      </c>
      <c r="H1966" s="248"/>
      <c r="I1966" s="248"/>
      <c r="J1966" s="248"/>
      <c r="K1966" s="248"/>
      <c r="L1966" s="248"/>
      <c r="M1966" s="248" t="s">
        <v>3550</v>
      </c>
    </row>
    <row r="1967" spans="1:13" ht="20.100000000000001" customHeight="1">
      <c r="A1967" s="248"/>
      <c r="B1967" s="248" t="s">
        <v>6343</v>
      </c>
      <c r="C1967" s="248" t="s">
        <v>4008</v>
      </c>
      <c r="D1967" s="248"/>
      <c r="E1967" s="248"/>
      <c r="F1967" s="248"/>
      <c r="G1967" s="248" t="s">
        <v>6344</v>
      </c>
      <c r="H1967" s="248"/>
      <c r="I1967" s="248"/>
      <c r="J1967" s="248"/>
      <c r="K1967" s="248"/>
      <c r="L1967" s="248"/>
      <c r="M1967" s="248" t="s">
        <v>6345</v>
      </c>
    </row>
    <row r="1968" spans="1:13" ht="20.100000000000001" customHeight="1">
      <c r="A1968" s="248"/>
      <c r="B1968" s="248" t="s">
        <v>5825</v>
      </c>
      <c r="C1968" s="248" t="s">
        <v>4003</v>
      </c>
      <c r="D1968" s="248"/>
      <c r="E1968" s="248"/>
      <c r="F1968" s="248"/>
      <c r="G1968" s="248" t="s">
        <v>3666</v>
      </c>
      <c r="H1968" s="248"/>
      <c r="I1968" s="248"/>
      <c r="J1968" s="248"/>
      <c r="K1968" s="248"/>
      <c r="L1968" s="248"/>
      <c r="M1968" s="248" t="s">
        <v>3667</v>
      </c>
    </row>
    <row r="1969" spans="1:13" ht="20.100000000000001" customHeight="1">
      <c r="A1969" s="248"/>
      <c r="B1969" s="248" t="s">
        <v>5826</v>
      </c>
      <c r="C1969" s="248" t="s">
        <v>4003</v>
      </c>
      <c r="D1969" s="248"/>
      <c r="E1969" s="248"/>
      <c r="F1969" s="248"/>
      <c r="G1969" s="248" t="s">
        <v>2547</v>
      </c>
      <c r="H1969" s="248"/>
      <c r="I1969" s="248"/>
      <c r="J1969" s="248"/>
      <c r="K1969" s="248"/>
      <c r="L1969" s="248"/>
      <c r="M1969" s="248" t="s">
        <v>3550</v>
      </c>
    </row>
    <row r="1970" spans="1:13" ht="20.100000000000001" customHeight="1">
      <c r="A1970" s="248"/>
      <c r="B1970" s="248" t="s">
        <v>5827</v>
      </c>
      <c r="C1970" s="248" t="s">
        <v>4036</v>
      </c>
      <c r="D1970" s="248"/>
      <c r="E1970" s="248"/>
      <c r="F1970" s="248"/>
      <c r="G1970" s="248" t="s">
        <v>2548</v>
      </c>
      <c r="H1970" s="248"/>
      <c r="I1970" s="248"/>
      <c r="J1970" s="248"/>
      <c r="K1970" s="248"/>
      <c r="L1970" s="248"/>
      <c r="M1970" s="248" t="s">
        <v>2549</v>
      </c>
    </row>
    <row r="1971" spans="1:13" ht="20.100000000000001" customHeight="1">
      <c r="A1971" s="248"/>
      <c r="B1971" s="248" t="s">
        <v>5828</v>
      </c>
      <c r="C1971" s="248" t="s">
        <v>4036</v>
      </c>
      <c r="D1971" s="248"/>
      <c r="E1971" s="248"/>
      <c r="F1971" s="248"/>
      <c r="G1971" s="248" t="s">
        <v>3931</v>
      </c>
      <c r="H1971" s="248"/>
      <c r="I1971" s="248"/>
      <c r="J1971" s="248"/>
      <c r="K1971" s="248"/>
      <c r="L1971" s="248"/>
      <c r="M1971" s="248" t="s">
        <v>196</v>
      </c>
    </row>
    <row r="1972" spans="1:13" ht="20.100000000000001" customHeight="1">
      <c r="A1972" s="248"/>
      <c r="B1972" s="248" t="s">
        <v>5829</v>
      </c>
      <c r="C1972" s="248" t="s">
        <v>4003</v>
      </c>
      <c r="D1972" s="248"/>
      <c r="E1972" s="248"/>
      <c r="F1972" s="248"/>
      <c r="G1972" s="248" t="s">
        <v>3932</v>
      </c>
      <c r="H1972" s="248"/>
      <c r="I1972" s="248"/>
      <c r="J1972" s="248"/>
      <c r="K1972" s="248"/>
      <c r="L1972" s="248"/>
      <c r="M1972" s="248" t="s">
        <v>3933</v>
      </c>
    </row>
    <row r="1973" spans="1:13" ht="20.100000000000001" customHeight="1">
      <c r="A1973" s="248"/>
      <c r="B1973" s="248" t="s">
        <v>5830</v>
      </c>
      <c r="C1973" s="248" t="s">
        <v>4025</v>
      </c>
      <c r="D1973" s="248"/>
      <c r="E1973" s="248"/>
      <c r="F1973" s="248"/>
      <c r="G1973" s="248" t="s">
        <v>2550</v>
      </c>
      <c r="H1973" s="248"/>
      <c r="I1973" s="248"/>
      <c r="J1973" s="248"/>
      <c r="K1973" s="248"/>
      <c r="L1973" s="248"/>
      <c r="M1973" s="248" t="s">
        <v>2551</v>
      </c>
    </row>
    <row r="1974" spans="1:13" ht="20.100000000000001" customHeight="1">
      <c r="A1974" s="248"/>
      <c r="B1974" s="248" t="s">
        <v>5831</v>
      </c>
      <c r="C1974" s="248" t="s">
        <v>4003</v>
      </c>
      <c r="D1974" s="248"/>
      <c r="E1974" s="248"/>
      <c r="F1974" s="248"/>
      <c r="G1974" s="248" t="s">
        <v>2552</v>
      </c>
      <c r="H1974" s="248"/>
      <c r="I1974" s="248"/>
      <c r="J1974" s="248"/>
      <c r="K1974" s="248"/>
      <c r="L1974" s="248"/>
      <c r="M1974" s="248" t="s">
        <v>2553</v>
      </c>
    </row>
    <row r="1975" spans="1:13" ht="20.100000000000001" customHeight="1">
      <c r="A1975" s="248"/>
      <c r="B1975" s="248" t="s">
        <v>6649</v>
      </c>
      <c r="C1975" s="248" t="s">
        <v>4121</v>
      </c>
      <c r="D1975" s="248"/>
      <c r="E1975" s="248"/>
      <c r="F1975" s="248"/>
      <c r="G1975" s="248" t="s">
        <v>6650</v>
      </c>
      <c r="H1975" s="248"/>
      <c r="I1975" s="248"/>
      <c r="J1975" s="248"/>
      <c r="K1975" s="248"/>
      <c r="L1975" s="248"/>
      <c r="M1975" s="248" t="s">
        <v>2554</v>
      </c>
    </row>
    <row r="1976" spans="1:13" ht="20.100000000000001" customHeight="1">
      <c r="A1976" s="248"/>
      <c r="B1976" s="248" t="s">
        <v>5832</v>
      </c>
      <c r="C1976" s="248" t="s">
        <v>4012</v>
      </c>
      <c r="D1976" s="248"/>
      <c r="E1976" s="248"/>
      <c r="F1976" s="248"/>
      <c r="G1976" s="248" t="s">
        <v>2555</v>
      </c>
      <c r="H1976" s="248"/>
      <c r="I1976" s="248"/>
      <c r="J1976" s="248"/>
      <c r="K1976" s="248"/>
      <c r="L1976" s="248"/>
      <c r="M1976" s="248" t="s">
        <v>2556</v>
      </c>
    </row>
    <row r="1977" spans="1:13" ht="20.100000000000001" customHeight="1">
      <c r="A1977" s="248"/>
      <c r="B1977" s="248" t="s">
        <v>5833</v>
      </c>
      <c r="C1977" s="248" t="s">
        <v>4012</v>
      </c>
      <c r="D1977" s="248"/>
      <c r="E1977" s="248"/>
      <c r="F1977" s="248"/>
      <c r="G1977" s="248" t="s">
        <v>2557</v>
      </c>
      <c r="H1977" s="248"/>
      <c r="I1977" s="248"/>
      <c r="J1977" s="248"/>
      <c r="K1977" s="248"/>
      <c r="L1977" s="248"/>
      <c r="M1977" s="248" t="s">
        <v>2558</v>
      </c>
    </row>
    <row r="1978" spans="1:13" ht="20.100000000000001" customHeight="1">
      <c r="A1978" s="248"/>
      <c r="B1978" s="248" t="s">
        <v>5834</v>
      </c>
      <c r="C1978" s="248" t="s">
        <v>4012</v>
      </c>
      <c r="D1978" s="248"/>
      <c r="E1978" s="248"/>
      <c r="F1978" s="248"/>
      <c r="G1978" s="248" t="s">
        <v>2559</v>
      </c>
      <c r="H1978" s="248"/>
      <c r="I1978" s="248"/>
      <c r="J1978" s="248"/>
      <c r="K1978" s="248"/>
      <c r="L1978" s="248"/>
      <c r="M1978" s="248" t="s">
        <v>2558</v>
      </c>
    </row>
    <row r="1979" spans="1:13" ht="20.100000000000001" customHeight="1">
      <c r="A1979" s="248"/>
      <c r="B1979" s="248" t="s">
        <v>5835</v>
      </c>
      <c r="C1979" s="248" t="s">
        <v>4014</v>
      </c>
      <c r="D1979" s="248"/>
      <c r="E1979" s="248"/>
      <c r="F1979" s="248"/>
      <c r="G1979" s="248" t="s">
        <v>2560</v>
      </c>
      <c r="H1979" s="248"/>
      <c r="I1979" s="248"/>
      <c r="J1979" s="248"/>
      <c r="K1979" s="248"/>
      <c r="L1979" s="248"/>
      <c r="M1979" s="248" t="s">
        <v>2561</v>
      </c>
    </row>
    <row r="1980" spans="1:13" ht="20.100000000000001" customHeight="1">
      <c r="A1980" s="248"/>
      <c r="B1980" s="248" t="s">
        <v>5836</v>
      </c>
      <c r="C1980" s="248" t="s">
        <v>4014</v>
      </c>
      <c r="D1980" s="248"/>
      <c r="E1980" s="248"/>
      <c r="F1980" s="248"/>
      <c r="G1980" s="248" t="s">
        <v>2562</v>
      </c>
      <c r="H1980" s="248"/>
      <c r="I1980" s="248"/>
      <c r="J1980" s="248"/>
      <c r="K1980" s="248"/>
      <c r="L1980" s="248"/>
      <c r="M1980" s="248" t="s">
        <v>2563</v>
      </c>
    </row>
    <row r="1981" spans="1:13" ht="20.100000000000001" customHeight="1">
      <c r="A1981" s="248"/>
      <c r="B1981" s="248" t="s">
        <v>5837</v>
      </c>
      <c r="C1981" s="248" t="s">
        <v>4003</v>
      </c>
      <c r="D1981" s="248"/>
      <c r="E1981" s="248"/>
      <c r="F1981" s="248"/>
      <c r="G1981" s="248" t="s">
        <v>2564</v>
      </c>
      <c r="H1981" s="248"/>
      <c r="I1981" s="248"/>
      <c r="J1981" s="248"/>
      <c r="K1981" s="248"/>
      <c r="L1981" s="248"/>
      <c r="M1981" s="248" t="s">
        <v>2565</v>
      </c>
    </row>
    <row r="1982" spans="1:13" ht="20.100000000000001" customHeight="1">
      <c r="A1982" s="248"/>
      <c r="B1982" s="248" t="s">
        <v>5838</v>
      </c>
      <c r="C1982" s="248" t="s">
        <v>4030</v>
      </c>
      <c r="D1982" s="248"/>
      <c r="E1982" s="248"/>
      <c r="F1982" s="248"/>
      <c r="G1982" s="248" t="s">
        <v>2566</v>
      </c>
      <c r="H1982" s="248"/>
      <c r="I1982" s="248"/>
      <c r="J1982" s="248"/>
      <c r="K1982" s="248"/>
      <c r="L1982" s="248"/>
      <c r="M1982" s="248" t="s">
        <v>2567</v>
      </c>
    </row>
    <row r="1983" spans="1:13" ht="20.100000000000001" customHeight="1">
      <c r="A1983" s="248"/>
      <c r="B1983" s="248" t="s">
        <v>5839</v>
      </c>
      <c r="C1983" s="248" t="s">
        <v>4003</v>
      </c>
      <c r="D1983" s="248"/>
      <c r="E1983" s="248"/>
      <c r="F1983" s="248"/>
      <c r="G1983" s="248" t="s">
        <v>3155</v>
      </c>
      <c r="H1983" s="248"/>
      <c r="I1983" s="248"/>
      <c r="J1983" s="248"/>
      <c r="K1983" s="248"/>
      <c r="L1983" s="248"/>
      <c r="M1983" s="248" t="s">
        <v>3156</v>
      </c>
    </row>
    <row r="1984" spans="1:13" ht="20.100000000000001" customHeight="1">
      <c r="A1984" s="248"/>
      <c r="B1984" s="248" t="s">
        <v>5840</v>
      </c>
      <c r="C1984" s="248" t="s">
        <v>4025</v>
      </c>
      <c r="D1984" s="248"/>
      <c r="E1984" s="248"/>
      <c r="F1984" s="248"/>
      <c r="G1984" s="248" t="s">
        <v>3309</v>
      </c>
      <c r="H1984" s="248"/>
      <c r="I1984" s="248"/>
      <c r="J1984" s="248"/>
      <c r="K1984" s="248"/>
      <c r="L1984" s="248"/>
      <c r="M1984" s="248" t="s">
        <v>2568</v>
      </c>
    </row>
    <row r="1985" spans="1:13" ht="20.100000000000001" customHeight="1">
      <c r="A1985" s="248"/>
      <c r="B1985" s="248" t="s">
        <v>5841</v>
      </c>
      <c r="C1985" s="248" t="s">
        <v>4014</v>
      </c>
      <c r="D1985" s="248"/>
      <c r="E1985" s="248"/>
      <c r="F1985" s="248"/>
      <c r="G1985" s="248" t="s">
        <v>2569</v>
      </c>
      <c r="H1985" s="248"/>
      <c r="I1985" s="248"/>
      <c r="J1985" s="248"/>
      <c r="K1985" s="248"/>
      <c r="L1985" s="248"/>
      <c r="M1985" s="248" t="s">
        <v>2570</v>
      </c>
    </row>
    <row r="1986" spans="1:13" ht="20.100000000000001" customHeight="1">
      <c r="A1986" s="248"/>
      <c r="B1986" s="248" t="s">
        <v>6531</v>
      </c>
      <c r="C1986" s="248" t="s">
        <v>4003</v>
      </c>
      <c r="D1986" s="248"/>
      <c r="E1986" s="248"/>
      <c r="F1986" s="248"/>
      <c r="G1986" s="248" t="s">
        <v>6532</v>
      </c>
      <c r="H1986" s="248"/>
      <c r="I1986" s="248"/>
      <c r="J1986" s="248"/>
      <c r="K1986" s="248"/>
      <c r="L1986" s="248"/>
      <c r="M1986" s="248" t="s">
        <v>6533</v>
      </c>
    </row>
    <row r="1987" spans="1:13" ht="20.100000000000001" customHeight="1">
      <c r="A1987" s="248"/>
      <c r="B1987" s="248" t="s">
        <v>5842</v>
      </c>
      <c r="C1987" s="248" t="s">
        <v>4016</v>
      </c>
      <c r="D1987" s="248"/>
      <c r="E1987" s="248"/>
      <c r="F1987" s="248"/>
      <c r="G1987" s="248" t="s">
        <v>2571</v>
      </c>
      <c r="H1987" s="248"/>
      <c r="I1987" s="248"/>
      <c r="J1987" s="248"/>
      <c r="K1987" s="248"/>
      <c r="L1987" s="248"/>
      <c r="M1987" s="248" t="s">
        <v>2572</v>
      </c>
    </row>
    <row r="1988" spans="1:13" ht="20.100000000000001" customHeight="1">
      <c r="A1988" s="248"/>
      <c r="B1988" s="248" t="s">
        <v>5843</v>
      </c>
      <c r="C1988" s="248" t="s">
        <v>4121</v>
      </c>
      <c r="D1988" s="248"/>
      <c r="E1988" s="248"/>
      <c r="F1988" s="248"/>
      <c r="G1988" s="248" t="s">
        <v>2573</v>
      </c>
      <c r="H1988" s="248"/>
      <c r="I1988" s="248"/>
      <c r="J1988" s="248"/>
      <c r="K1988" s="248"/>
      <c r="L1988" s="248"/>
      <c r="M1988" s="248" t="s">
        <v>2574</v>
      </c>
    </row>
    <row r="1989" spans="1:13" ht="20.100000000000001" customHeight="1">
      <c r="A1989" s="248"/>
      <c r="B1989" s="248" t="s">
        <v>5844</v>
      </c>
      <c r="C1989" s="248" t="s">
        <v>4016</v>
      </c>
      <c r="D1989" s="248"/>
      <c r="E1989" s="248"/>
      <c r="F1989" s="248"/>
      <c r="G1989" s="248" t="s">
        <v>2575</v>
      </c>
      <c r="H1989" s="248"/>
      <c r="I1989" s="248"/>
      <c r="J1989" s="248"/>
      <c r="K1989" s="248"/>
      <c r="L1989" s="248"/>
      <c r="M1989" s="248" t="s">
        <v>2576</v>
      </c>
    </row>
    <row r="1990" spans="1:13" ht="20.100000000000001" customHeight="1">
      <c r="A1990" s="248"/>
      <c r="B1990" s="248" t="s">
        <v>5845</v>
      </c>
      <c r="C1990" s="248" t="s">
        <v>4014</v>
      </c>
      <c r="D1990" s="248"/>
      <c r="E1990" s="248"/>
      <c r="F1990" s="248"/>
      <c r="G1990" s="248" t="s">
        <v>2577</v>
      </c>
      <c r="H1990" s="248"/>
      <c r="I1990" s="248"/>
      <c r="J1990" s="248"/>
      <c r="K1990" s="248"/>
      <c r="L1990" s="248"/>
      <c r="M1990" s="248" t="s">
        <v>2578</v>
      </c>
    </row>
    <row r="1991" spans="1:13" ht="20.100000000000001" customHeight="1">
      <c r="A1991" s="248"/>
      <c r="B1991" s="248" t="s">
        <v>5846</v>
      </c>
      <c r="C1991" s="248" t="s">
        <v>4016</v>
      </c>
      <c r="D1991" s="248"/>
      <c r="E1991" s="248"/>
      <c r="F1991" s="248"/>
      <c r="G1991" s="248" t="s">
        <v>3222</v>
      </c>
      <c r="H1991" s="248"/>
      <c r="I1991" s="248"/>
      <c r="J1991" s="248"/>
      <c r="K1991" s="248"/>
      <c r="L1991" s="248"/>
      <c r="M1991" s="248" t="s">
        <v>2579</v>
      </c>
    </row>
    <row r="1992" spans="1:13" ht="20.100000000000001" customHeight="1">
      <c r="A1992" s="248"/>
      <c r="B1992" s="248" t="s">
        <v>5847</v>
      </c>
      <c r="C1992" s="248" t="s">
        <v>4030</v>
      </c>
      <c r="D1992" s="248"/>
      <c r="E1992" s="248"/>
      <c r="F1992" s="248"/>
      <c r="G1992" s="248" t="s">
        <v>2580</v>
      </c>
      <c r="H1992" s="248"/>
      <c r="I1992" s="248"/>
      <c r="J1992" s="248"/>
      <c r="K1992" s="248"/>
      <c r="L1992" s="248"/>
      <c r="M1992" s="248" t="s">
        <v>1748</v>
      </c>
    </row>
    <row r="1993" spans="1:13" ht="20.100000000000001" customHeight="1">
      <c r="A1993" s="248"/>
      <c r="B1993" s="248" t="s">
        <v>5848</v>
      </c>
      <c r="C1993" s="248" t="s">
        <v>4016</v>
      </c>
      <c r="D1993" s="248"/>
      <c r="E1993" s="248"/>
      <c r="F1993" s="248"/>
      <c r="G1993" s="248" t="s">
        <v>2581</v>
      </c>
      <c r="H1993" s="248"/>
      <c r="I1993" s="248"/>
      <c r="J1993" s="248"/>
      <c r="K1993" s="248"/>
      <c r="L1993" s="248"/>
      <c r="M1993" s="248" t="s">
        <v>3550</v>
      </c>
    </row>
    <row r="1994" spans="1:13" ht="20.100000000000001" customHeight="1">
      <c r="A1994" s="248"/>
      <c r="B1994" s="248" t="s">
        <v>5849</v>
      </c>
      <c r="C1994" s="248" t="s">
        <v>4008</v>
      </c>
      <c r="D1994" s="248"/>
      <c r="E1994" s="248"/>
      <c r="F1994" s="248"/>
      <c r="G1994" s="248" t="s">
        <v>3403</v>
      </c>
      <c r="H1994" s="248"/>
      <c r="I1994" s="248"/>
      <c r="J1994" s="248"/>
      <c r="K1994" s="248"/>
      <c r="L1994" s="248"/>
      <c r="M1994" s="248" t="s">
        <v>3404</v>
      </c>
    </row>
    <row r="1995" spans="1:13" ht="20.100000000000001" customHeight="1">
      <c r="A1995" s="248"/>
      <c r="B1995" s="248" t="s">
        <v>5850</v>
      </c>
      <c r="C1995" s="248" t="s">
        <v>4003</v>
      </c>
      <c r="D1995" s="248"/>
      <c r="E1995" s="248"/>
      <c r="F1995" s="248"/>
      <c r="G1995" s="248" t="s">
        <v>2582</v>
      </c>
      <c r="H1995" s="248"/>
      <c r="I1995" s="248"/>
      <c r="J1995" s="248"/>
      <c r="K1995" s="248"/>
      <c r="L1995" s="248"/>
      <c r="M1995" s="248" t="s">
        <v>3550</v>
      </c>
    </row>
    <row r="1996" spans="1:13" ht="20.100000000000001" customHeight="1">
      <c r="A1996" s="248"/>
      <c r="B1996" s="248" t="s">
        <v>5851</v>
      </c>
      <c r="C1996" s="248" t="s">
        <v>4008</v>
      </c>
      <c r="D1996" s="248"/>
      <c r="E1996" s="248"/>
      <c r="F1996" s="248"/>
      <c r="G1996" s="248" t="s">
        <v>2583</v>
      </c>
      <c r="H1996" s="248"/>
      <c r="I1996" s="248"/>
      <c r="J1996" s="248"/>
      <c r="K1996" s="248"/>
      <c r="L1996" s="248"/>
      <c r="M1996" s="248" t="s">
        <v>2584</v>
      </c>
    </row>
    <row r="1997" spans="1:13" ht="20.100000000000001" customHeight="1">
      <c r="A1997" s="248"/>
      <c r="B1997" s="248" t="s">
        <v>5852</v>
      </c>
      <c r="C1997" s="248" t="s">
        <v>4030</v>
      </c>
      <c r="D1997" s="248"/>
      <c r="E1997" s="248"/>
      <c r="F1997" s="248"/>
      <c r="G1997" s="248" t="s">
        <v>3934</v>
      </c>
      <c r="H1997" s="248"/>
      <c r="I1997" s="248"/>
      <c r="J1997" s="248"/>
      <c r="K1997" s="248"/>
      <c r="L1997" s="248"/>
      <c r="M1997" s="248" t="s">
        <v>3935</v>
      </c>
    </row>
    <row r="1998" spans="1:13" ht="20.100000000000001" customHeight="1">
      <c r="A1998" s="248"/>
      <c r="B1998" s="248" t="s">
        <v>5853</v>
      </c>
      <c r="C1998" s="248" t="s">
        <v>4014</v>
      </c>
      <c r="D1998" s="248"/>
      <c r="E1998" s="248"/>
      <c r="F1998" s="248"/>
      <c r="G1998" s="248" t="s">
        <v>2585</v>
      </c>
      <c r="H1998" s="248"/>
      <c r="I1998" s="248"/>
      <c r="J1998" s="248"/>
      <c r="K1998" s="248"/>
      <c r="L1998" s="248"/>
      <c r="M1998" s="248" t="s">
        <v>3550</v>
      </c>
    </row>
    <row r="1999" spans="1:13" ht="20.100000000000001" customHeight="1">
      <c r="A1999" s="248"/>
      <c r="B1999" s="248" t="s">
        <v>5854</v>
      </c>
      <c r="C1999" s="248" t="s">
        <v>4271</v>
      </c>
      <c r="D1999" s="248"/>
      <c r="E1999" s="248"/>
      <c r="F1999" s="248"/>
      <c r="G1999" s="248" t="s">
        <v>2586</v>
      </c>
      <c r="H1999" s="248"/>
      <c r="I1999" s="248"/>
      <c r="J1999" s="248"/>
      <c r="K1999" s="248"/>
      <c r="L1999" s="248"/>
      <c r="M1999" s="248" t="s">
        <v>2587</v>
      </c>
    </row>
    <row r="2000" spans="1:13" ht="20.100000000000001" customHeight="1">
      <c r="A2000" s="248"/>
      <c r="B2000" s="248" t="s">
        <v>5855</v>
      </c>
      <c r="C2000" s="248" t="s">
        <v>4016</v>
      </c>
      <c r="D2000" s="248"/>
      <c r="E2000" s="248"/>
      <c r="F2000" s="248"/>
      <c r="G2000" s="248" t="s">
        <v>2588</v>
      </c>
      <c r="H2000" s="248"/>
      <c r="I2000" s="248"/>
      <c r="J2000" s="248"/>
      <c r="K2000" s="248"/>
      <c r="L2000" s="248"/>
      <c r="M2000" s="248" t="s">
        <v>2589</v>
      </c>
    </row>
    <row r="2001" spans="1:13" ht="20.100000000000001" customHeight="1">
      <c r="A2001" s="248"/>
      <c r="B2001" s="248" t="s">
        <v>5856</v>
      </c>
      <c r="C2001" s="248" t="s">
        <v>4025</v>
      </c>
      <c r="D2001" s="248"/>
      <c r="E2001" s="248"/>
      <c r="F2001" s="248"/>
      <c r="G2001" s="248" t="s">
        <v>2590</v>
      </c>
      <c r="H2001" s="248"/>
      <c r="I2001" s="248"/>
      <c r="J2001" s="248"/>
      <c r="K2001" s="248"/>
      <c r="L2001" s="248"/>
      <c r="M2001" s="248" t="s">
        <v>2591</v>
      </c>
    </row>
    <row r="2002" spans="1:13" ht="20.100000000000001" customHeight="1">
      <c r="A2002" s="248"/>
      <c r="B2002" s="248" t="s">
        <v>5857</v>
      </c>
      <c r="C2002" s="248" t="s">
        <v>4124</v>
      </c>
      <c r="D2002" s="248"/>
      <c r="E2002" s="248"/>
      <c r="F2002" s="248"/>
      <c r="G2002" s="248" t="s">
        <v>2592</v>
      </c>
      <c r="H2002" s="248"/>
      <c r="I2002" s="248"/>
      <c r="J2002" s="248"/>
      <c r="K2002" s="248"/>
      <c r="L2002" s="248"/>
      <c r="M2002" s="248" t="s">
        <v>2593</v>
      </c>
    </row>
    <row r="2003" spans="1:13" ht="20.100000000000001" customHeight="1">
      <c r="A2003" s="248"/>
      <c r="B2003" s="248" t="s">
        <v>5858</v>
      </c>
      <c r="C2003" s="248" t="s">
        <v>4003</v>
      </c>
      <c r="D2003" s="248"/>
      <c r="E2003" s="248"/>
      <c r="F2003" s="248"/>
      <c r="G2003" s="248" t="s">
        <v>2993</v>
      </c>
      <c r="H2003" s="248"/>
      <c r="I2003" s="248"/>
      <c r="J2003" s="248"/>
      <c r="K2003" s="248"/>
      <c r="L2003" s="248"/>
      <c r="M2003" s="248" t="s">
        <v>2994</v>
      </c>
    </row>
    <row r="2004" spans="1:13" ht="20.100000000000001" customHeight="1">
      <c r="A2004" s="248"/>
      <c r="B2004" s="248" t="s">
        <v>5859</v>
      </c>
      <c r="C2004" s="248" t="s">
        <v>4174</v>
      </c>
      <c r="D2004" s="248"/>
      <c r="E2004" s="248"/>
      <c r="F2004" s="248"/>
      <c r="G2004" s="248" t="s">
        <v>2594</v>
      </c>
      <c r="H2004" s="248"/>
      <c r="I2004" s="248"/>
      <c r="J2004" s="248"/>
      <c r="K2004" s="248"/>
      <c r="L2004" s="248"/>
      <c r="M2004" s="248" t="s">
        <v>2595</v>
      </c>
    </row>
    <row r="2005" spans="1:13" ht="20.100000000000001" customHeight="1">
      <c r="A2005" s="248"/>
      <c r="B2005" s="248" t="s">
        <v>5860</v>
      </c>
      <c r="C2005" s="248" t="s">
        <v>4174</v>
      </c>
      <c r="D2005" s="248"/>
      <c r="E2005" s="248"/>
      <c r="F2005" s="248"/>
      <c r="G2005" s="248" t="s">
        <v>3811</v>
      </c>
      <c r="H2005" s="248"/>
      <c r="I2005" s="248"/>
      <c r="J2005" s="248"/>
      <c r="K2005" s="248"/>
      <c r="L2005" s="248"/>
      <c r="M2005" s="248" t="s">
        <v>3812</v>
      </c>
    </row>
    <row r="2006" spans="1:13" ht="20.100000000000001" customHeight="1">
      <c r="A2006" s="248"/>
      <c r="B2006" s="248" t="s">
        <v>5861</v>
      </c>
      <c r="C2006" s="248" t="s">
        <v>4036</v>
      </c>
      <c r="D2006" s="248"/>
      <c r="E2006" s="248"/>
      <c r="F2006" s="248"/>
      <c r="G2006" s="248" t="s">
        <v>2596</v>
      </c>
      <c r="H2006" s="248"/>
      <c r="I2006" s="248"/>
      <c r="J2006" s="248"/>
      <c r="K2006" s="248"/>
      <c r="L2006" s="248"/>
      <c r="M2006" s="248" t="s">
        <v>2597</v>
      </c>
    </row>
    <row r="2007" spans="1:13" ht="20.100000000000001" customHeight="1">
      <c r="A2007" s="248"/>
      <c r="B2007" s="248" t="s">
        <v>5862</v>
      </c>
      <c r="C2007" s="248" t="s">
        <v>4016</v>
      </c>
      <c r="D2007" s="248"/>
      <c r="E2007" s="248"/>
      <c r="F2007" s="248"/>
      <c r="G2007" s="248" t="s">
        <v>2598</v>
      </c>
      <c r="H2007" s="248"/>
      <c r="I2007" s="248"/>
      <c r="J2007" s="248"/>
      <c r="K2007" s="248"/>
      <c r="L2007" s="248"/>
      <c r="M2007" s="248" t="s">
        <v>3550</v>
      </c>
    </row>
    <row r="2008" spans="1:13" ht="20.100000000000001" customHeight="1">
      <c r="A2008" s="248"/>
      <c r="B2008" s="248" t="s">
        <v>5863</v>
      </c>
      <c r="C2008" s="248" t="s">
        <v>4008</v>
      </c>
      <c r="D2008" s="248"/>
      <c r="E2008" s="248"/>
      <c r="F2008" s="248"/>
      <c r="G2008" s="248" t="s">
        <v>2599</v>
      </c>
      <c r="H2008" s="248"/>
      <c r="I2008" s="248"/>
      <c r="J2008" s="248"/>
      <c r="K2008" s="248"/>
      <c r="L2008" s="248"/>
      <c r="M2008" s="248" t="s">
        <v>2600</v>
      </c>
    </row>
    <row r="2009" spans="1:13" ht="20.100000000000001" customHeight="1">
      <c r="A2009" s="248"/>
      <c r="B2009" s="248" t="s">
        <v>5864</v>
      </c>
      <c r="C2009" s="248" t="s">
        <v>4036</v>
      </c>
      <c r="D2009" s="248"/>
      <c r="E2009" s="248"/>
      <c r="F2009" s="248"/>
      <c r="G2009" s="248" t="s">
        <v>2601</v>
      </c>
      <c r="H2009" s="248"/>
      <c r="I2009" s="248"/>
      <c r="J2009" s="248"/>
      <c r="K2009" s="248"/>
      <c r="L2009" s="248"/>
      <c r="M2009" s="248" t="s">
        <v>2602</v>
      </c>
    </row>
    <row r="2010" spans="1:13" ht="20.100000000000001" customHeight="1">
      <c r="A2010" s="248"/>
      <c r="B2010" s="248" t="s">
        <v>5865</v>
      </c>
      <c r="C2010" s="248" t="s">
        <v>4014</v>
      </c>
      <c r="D2010" s="248"/>
      <c r="E2010" s="248"/>
      <c r="F2010" s="248"/>
      <c r="G2010" s="248" t="s">
        <v>2603</v>
      </c>
      <c r="H2010" s="248"/>
      <c r="I2010" s="248"/>
      <c r="J2010" s="248"/>
      <c r="K2010" s="248"/>
      <c r="L2010" s="248"/>
      <c r="M2010" s="248" t="s">
        <v>2604</v>
      </c>
    </row>
    <row r="2011" spans="1:13" ht="20.100000000000001" customHeight="1">
      <c r="A2011" s="248"/>
      <c r="B2011" s="248" t="s">
        <v>5866</v>
      </c>
      <c r="C2011" s="248" t="s">
        <v>4036</v>
      </c>
      <c r="D2011" s="248"/>
      <c r="E2011" s="248"/>
      <c r="F2011" s="248"/>
      <c r="G2011" s="248" t="s">
        <v>2605</v>
      </c>
      <c r="H2011" s="248"/>
      <c r="I2011" s="248"/>
      <c r="J2011" s="248"/>
      <c r="K2011" s="248"/>
      <c r="L2011" s="248"/>
      <c r="M2011" s="248" t="s">
        <v>3550</v>
      </c>
    </row>
    <row r="2012" spans="1:13" ht="20.100000000000001" customHeight="1">
      <c r="A2012" s="248"/>
      <c r="B2012" s="248" t="s">
        <v>5867</v>
      </c>
      <c r="C2012" s="248" t="s">
        <v>4016</v>
      </c>
      <c r="D2012" s="248"/>
      <c r="E2012" s="248"/>
      <c r="F2012" s="248"/>
      <c r="G2012" s="248" t="s">
        <v>2606</v>
      </c>
      <c r="H2012" s="248"/>
      <c r="I2012" s="248"/>
      <c r="J2012" s="248"/>
      <c r="K2012" s="248"/>
      <c r="L2012" s="248"/>
      <c r="M2012" s="248" t="s">
        <v>2607</v>
      </c>
    </row>
    <row r="2013" spans="1:13" ht="20.100000000000001" customHeight="1">
      <c r="A2013" s="248"/>
      <c r="B2013" s="248" t="s">
        <v>5868</v>
      </c>
      <c r="C2013" s="248" t="s">
        <v>4008</v>
      </c>
      <c r="D2013" s="248"/>
      <c r="E2013" s="248"/>
      <c r="F2013" s="248"/>
      <c r="G2013" s="248" t="s">
        <v>2608</v>
      </c>
      <c r="H2013" s="248"/>
      <c r="I2013" s="248"/>
      <c r="J2013" s="248"/>
      <c r="K2013" s="248"/>
      <c r="L2013" s="248"/>
      <c r="M2013" s="248" t="s">
        <v>2609</v>
      </c>
    </row>
    <row r="2014" spans="1:13" ht="20.100000000000001" customHeight="1">
      <c r="A2014" s="248"/>
      <c r="B2014" s="248" t="s">
        <v>5869</v>
      </c>
      <c r="C2014" s="248" t="s">
        <v>4003</v>
      </c>
      <c r="D2014" s="248"/>
      <c r="E2014" s="248"/>
      <c r="F2014" s="248"/>
      <c r="G2014" s="248" t="s">
        <v>2610</v>
      </c>
      <c r="H2014" s="248"/>
      <c r="I2014" s="248"/>
      <c r="J2014" s="248"/>
      <c r="K2014" s="248"/>
      <c r="L2014" s="248"/>
      <c r="M2014" s="248" t="s">
        <v>3550</v>
      </c>
    </row>
    <row r="2015" spans="1:13" ht="20.100000000000001" customHeight="1">
      <c r="A2015" s="248"/>
      <c r="B2015" s="248" t="s">
        <v>6470</v>
      </c>
      <c r="C2015" s="248" t="s">
        <v>4005</v>
      </c>
      <c r="D2015" s="248"/>
      <c r="E2015" s="248"/>
      <c r="F2015" s="248"/>
      <c r="G2015" s="248" t="s">
        <v>6471</v>
      </c>
      <c r="H2015" s="248"/>
      <c r="I2015" s="248"/>
      <c r="J2015" s="248"/>
      <c r="K2015" s="248"/>
      <c r="L2015" s="248"/>
      <c r="M2015" s="248" t="s">
        <v>6472</v>
      </c>
    </row>
    <row r="2016" spans="1:13" ht="20.100000000000001" customHeight="1">
      <c r="A2016" s="248"/>
      <c r="B2016" s="248" t="s">
        <v>5870</v>
      </c>
      <c r="C2016" s="248" t="s">
        <v>4003</v>
      </c>
      <c r="D2016" s="248"/>
      <c r="E2016" s="248"/>
      <c r="F2016" s="248"/>
      <c r="G2016" s="248" t="s">
        <v>2611</v>
      </c>
      <c r="H2016" s="248"/>
      <c r="I2016" s="248"/>
      <c r="J2016" s="248"/>
      <c r="K2016" s="248"/>
      <c r="L2016" s="248"/>
      <c r="M2016" s="248" t="s">
        <v>2612</v>
      </c>
    </row>
    <row r="2017" spans="1:13" ht="20.100000000000001" customHeight="1">
      <c r="A2017" s="248"/>
      <c r="B2017" s="248" t="s">
        <v>5871</v>
      </c>
      <c r="C2017" s="248" t="s">
        <v>4008</v>
      </c>
      <c r="D2017" s="248"/>
      <c r="E2017" s="248"/>
      <c r="F2017" s="248"/>
      <c r="G2017" s="248" t="s">
        <v>4000</v>
      </c>
      <c r="H2017" s="248"/>
      <c r="I2017" s="248"/>
      <c r="J2017" s="248"/>
      <c r="K2017" s="248"/>
      <c r="L2017" s="248"/>
      <c r="M2017" s="248" t="s">
        <v>3550</v>
      </c>
    </row>
    <row r="2018" spans="1:13" ht="20.100000000000001" customHeight="1">
      <c r="A2018" s="248"/>
      <c r="B2018" s="248" t="s">
        <v>5872</v>
      </c>
      <c r="C2018" s="248" t="s">
        <v>4036</v>
      </c>
      <c r="D2018" s="248"/>
      <c r="E2018" s="248"/>
      <c r="F2018" s="248"/>
      <c r="G2018" s="248" t="s">
        <v>2613</v>
      </c>
      <c r="H2018" s="248"/>
      <c r="I2018" s="248"/>
      <c r="J2018" s="248"/>
      <c r="K2018" s="248"/>
      <c r="L2018" s="248"/>
      <c r="M2018" s="248" t="s">
        <v>2614</v>
      </c>
    </row>
    <row r="2019" spans="1:13" ht="20.100000000000001" customHeight="1">
      <c r="A2019" s="248"/>
      <c r="B2019" s="248" t="s">
        <v>5873</v>
      </c>
      <c r="C2019" s="248" t="s">
        <v>4014</v>
      </c>
      <c r="D2019" s="248"/>
      <c r="E2019" s="248"/>
      <c r="F2019" s="248"/>
      <c r="G2019" s="248" t="s">
        <v>2615</v>
      </c>
      <c r="H2019" s="248"/>
      <c r="I2019" s="248"/>
      <c r="J2019" s="248"/>
      <c r="K2019" s="248"/>
      <c r="L2019" s="248"/>
      <c r="M2019" s="248" t="s">
        <v>2616</v>
      </c>
    </row>
    <row r="2020" spans="1:13" ht="20.100000000000001" customHeight="1">
      <c r="A2020" s="248"/>
      <c r="B2020" s="248" t="s">
        <v>5874</v>
      </c>
      <c r="C2020" s="248" t="s">
        <v>4036</v>
      </c>
      <c r="D2020" s="248"/>
      <c r="E2020" s="248"/>
      <c r="F2020" s="248"/>
      <c r="G2020" s="248" t="s">
        <v>2617</v>
      </c>
      <c r="H2020" s="248"/>
      <c r="I2020" s="248"/>
      <c r="J2020" s="248"/>
      <c r="K2020" s="248"/>
      <c r="L2020" s="248"/>
      <c r="M2020" s="248" t="s">
        <v>2618</v>
      </c>
    </row>
    <row r="2021" spans="1:13" ht="20.100000000000001" customHeight="1">
      <c r="A2021" s="248"/>
      <c r="B2021" s="248" t="s">
        <v>5875</v>
      </c>
      <c r="C2021" s="248" t="s">
        <v>4174</v>
      </c>
      <c r="D2021" s="248"/>
      <c r="E2021" s="248"/>
      <c r="F2021" s="248"/>
      <c r="G2021" s="248" t="s">
        <v>2619</v>
      </c>
      <c r="H2021" s="248"/>
      <c r="I2021" s="248"/>
      <c r="J2021" s="248"/>
      <c r="K2021" s="248"/>
      <c r="L2021" s="248"/>
      <c r="M2021" s="248" t="s">
        <v>2620</v>
      </c>
    </row>
    <row r="2022" spans="1:13" ht="20.100000000000001" customHeight="1">
      <c r="A2022" s="248"/>
      <c r="B2022" s="248" t="s">
        <v>5876</v>
      </c>
      <c r="C2022" s="248" t="s">
        <v>4005</v>
      </c>
      <c r="D2022" s="248"/>
      <c r="E2022" s="248"/>
      <c r="F2022" s="248"/>
      <c r="G2022" s="248" t="s">
        <v>2621</v>
      </c>
      <c r="H2022" s="248"/>
      <c r="I2022" s="248"/>
      <c r="J2022" s="248"/>
      <c r="K2022" s="248"/>
      <c r="L2022" s="248"/>
      <c r="M2022" s="248" t="s">
        <v>2622</v>
      </c>
    </row>
    <row r="2023" spans="1:13" ht="20.100000000000001" customHeight="1">
      <c r="A2023" s="248"/>
      <c r="B2023" s="248" t="s">
        <v>5877</v>
      </c>
      <c r="C2023" s="248" t="s">
        <v>4008</v>
      </c>
      <c r="D2023" s="248"/>
      <c r="E2023" s="248"/>
      <c r="F2023" s="248"/>
      <c r="G2023" s="248" t="s">
        <v>2623</v>
      </c>
      <c r="H2023" s="248"/>
      <c r="I2023" s="248"/>
      <c r="J2023" s="248"/>
      <c r="K2023" s="248"/>
      <c r="L2023" s="248"/>
      <c r="M2023" s="248" t="s">
        <v>3550</v>
      </c>
    </row>
    <row r="2024" spans="1:13" ht="20.100000000000001" customHeight="1">
      <c r="A2024" s="248"/>
      <c r="B2024" s="248" t="s">
        <v>5878</v>
      </c>
      <c r="C2024" s="248" t="s">
        <v>4025</v>
      </c>
      <c r="D2024" s="248"/>
      <c r="E2024" s="248"/>
      <c r="F2024" s="248"/>
      <c r="G2024" s="248" t="s">
        <v>3058</v>
      </c>
      <c r="H2024" s="248"/>
      <c r="I2024" s="248"/>
      <c r="J2024" s="248"/>
      <c r="K2024" s="248"/>
      <c r="L2024" s="248"/>
      <c r="M2024" s="248" t="s">
        <v>196</v>
      </c>
    </row>
    <row r="2025" spans="1:13" ht="20.100000000000001" customHeight="1">
      <c r="A2025" s="248"/>
      <c r="B2025" s="248" t="s">
        <v>5879</v>
      </c>
      <c r="C2025" s="248" t="s">
        <v>4012</v>
      </c>
      <c r="D2025" s="248"/>
      <c r="E2025" s="248"/>
      <c r="F2025" s="248"/>
      <c r="G2025" s="248" t="s">
        <v>2624</v>
      </c>
      <c r="H2025" s="248"/>
      <c r="I2025" s="248"/>
      <c r="J2025" s="248"/>
      <c r="K2025" s="248"/>
      <c r="L2025" s="248"/>
      <c r="M2025" s="248" t="s">
        <v>2625</v>
      </c>
    </row>
    <row r="2026" spans="1:13" ht="20.100000000000001" customHeight="1">
      <c r="A2026" s="248"/>
      <c r="B2026" s="248" t="s">
        <v>5880</v>
      </c>
      <c r="C2026" s="248" t="s">
        <v>4025</v>
      </c>
      <c r="D2026" s="248"/>
      <c r="E2026" s="248"/>
      <c r="F2026" s="248"/>
      <c r="G2026" s="248" t="s">
        <v>2626</v>
      </c>
      <c r="H2026" s="248"/>
      <c r="I2026" s="248"/>
      <c r="J2026" s="248"/>
      <c r="K2026" s="248"/>
      <c r="L2026" s="248"/>
      <c r="M2026" s="248" t="s">
        <v>2627</v>
      </c>
    </row>
    <row r="2027" spans="1:13" ht="20.100000000000001" customHeight="1">
      <c r="A2027" s="248"/>
      <c r="B2027" s="248" t="s">
        <v>6419</v>
      </c>
      <c r="C2027" s="248" t="s">
        <v>4012</v>
      </c>
      <c r="D2027" s="248"/>
      <c r="E2027" s="248"/>
      <c r="F2027" s="248"/>
      <c r="G2027" s="248" t="s">
        <v>6420</v>
      </c>
      <c r="H2027" s="248"/>
      <c r="I2027" s="248"/>
      <c r="J2027" s="248"/>
      <c r="K2027" s="248"/>
      <c r="L2027" s="248"/>
      <c r="M2027" s="248" t="s">
        <v>6421</v>
      </c>
    </row>
    <row r="2028" spans="1:13" ht="20.100000000000001" customHeight="1">
      <c r="A2028" s="248"/>
      <c r="B2028" s="248" t="s">
        <v>5881</v>
      </c>
      <c r="C2028" s="248" t="s">
        <v>4016</v>
      </c>
      <c r="D2028" s="248"/>
      <c r="E2028" s="248"/>
      <c r="F2028" s="248"/>
      <c r="G2028" s="248" t="s">
        <v>2628</v>
      </c>
      <c r="H2028" s="248"/>
      <c r="I2028" s="248"/>
      <c r="J2028" s="248"/>
      <c r="K2028" s="248"/>
      <c r="L2028" s="248"/>
      <c r="M2028" s="248" t="s">
        <v>3550</v>
      </c>
    </row>
    <row r="2029" spans="1:13" ht="20.100000000000001" customHeight="1">
      <c r="A2029" s="248"/>
      <c r="B2029" s="248" t="s">
        <v>5882</v>
      </c>
      <c r="C2029" s="248" t="s">
        <v>4030</v>
      </c>
      <c r="D2029" s="248"/>
      <c r="E2029" s="248"/>
      <c r="F2029" s="248"/>
      <c r="G2029" s="248" t="s">
        <v>2629</v>
      </c>
      <c r="H2029" s="248"/>
      <c r="I2029" s="248"/>
      <c r="J2029" s="248"/>
      <c r="K2029" s="248"/>
      <c r="L2029" s="248"/>
      <c r="M2029" s="248" t="s">
        <v>2630</v>
      </c>
    </row>
    <row r="2030" spans="1:13" ht="20.100000000000001" customHeight="1">
      <c r="A2030" s="248"/>
      <c r="B2030" s="248" t="s">
        <v>5883</v>
      </c>
      <c r="C2030" s="248" t="s">
        <v>4012</v>
      </c>
      <c r="D2030" s="248"/>
      <c r="E2030" s="248"/>
      <c r="F2030" s="248"/>
      <c r="G2030" s="248" t="s">
        <v>2631</v>
      </c>
      <c r="H2030" s="248"/>
      <c r="I2030" s="248"/>
      <c r="J2030" s="248"/>
      <c r="K2030" s="248"/>
      <c r="L2030" s="248"/>
      <c r="M2030" s="248" t="s">
        <v>2632</v>
      </c>
    </row>
    <row r="2031" spans="1:13" ht="20.100000000000001" customHeight="1">
      <c r="A2031" s="248"/>
      <c r="B2031" s="248" t="s">
        <v>5884</v>
      </c>
      <c r="C2031" s="248" t="s">
        <v>4008</v>
      </c>
      <c r="D2031" s="248"/>
      <c r="E2031" s="248"/>
      <c r="F2031" s="248"/>
      <c r="G2031" s="248" t="s">
        <v>2633</v>
      </c>
      <c r="H2031" s="248"/>
      <c r="I2031" s="248"/>
      <c r="J2031" s="248"/>
      <c r="K2031" s="248"/>
      <c r="L2031" s="248"/>
      <c r="M2031" s="248" t="s">
        <v>2634</v>
      </c>
    </row>
    <row r="2032" spans="1:13" ht="20.100000000000001" customHeight="1">
      <c r="A2032" s="248"/>
      <c r="B2032" s="248" t="s">
        <v>5885</v>
      </c>
      <c r="C2032" s="248" t="s">
        <v>4008</v>
      </c>
      <c r="D2032" s="248"/>
      <c r="E2032" s="248"/>
      <c r="F2032" s="248"/>
      <c r="G2032" s="248" t="s">
        <v>3590</v>
      </c>
      <c r="H2032" s="248"/>
      <c r="I2032" s="248"/>
      <c r="J2032" s="248"/>
      <c r="K2032" s="248"/>
      <c r="L2032" s="248"/>
      <c r="M2032" s="248" t="s">
        <v>3591</v>
      </c>
    </row>
    <row r="2033" spans="1:13" ht="20.100000000000001" customHeight="1">
      <c r="A2033" s="248"/>
      <c r="B2033" s="248" t="s">
        <v>5886</v>
      </c>
      <c r="C2033" s="248" t="s">
        <v>4012</v>
      </c>
      <c r="D2033" s="248"/>
      <c r="E2033" s="248"/>
      <c r="F2033" s="248"/>
      <c r="G2033" s="248" t="s">
        <v>2635</v>
      </c>
      <c r="H2033" s="248"/>
      <c r="I2033" s="248"/>
      <c r="J2033" s="248"/>
      <c r="K2033" s="248"/>
      <c r="L2033" s="248"/>
      <c r="M2033" s="248" t="s">
        <v>2636</v>
      </c>
    </row>
    <row r="2034" spans="1:13" ht="20.100000000000001" customHeight="1">
      <c r="A2034" s="248"/>
      <c r="B2034" s="248" t="s">
        <v>5887</v>
      </c>
      <c r="C2034" s="248" t="s">
        <v>4025</v>
      </c>
      <c r="D2034" s="248"/>
      <c r="E2034" s="248"/>
      <c r="F2034" s="248"/>
      <c r="G2034" s="248" t="s">
        <v>2637</v>
      </c>
      <c r="H2034" s="248"/>
      <c r="I2034" s="248"/>
      <c r="J2034" s="248"/>
      <c r="K2034" s="248"/>
      <c r="L2034" s="248"/>
      <c r="M2034" s="248" t="s">
        <v>2638</v>
      </c>
    </row>
    <row r="2035" spans="1:13" ht="20.100000000000001" customHeight="1">
      <c r="A2035" s="248"/>
      <c r="B2035" s="248" t="s">
        <v>5888</v>
      </c>
      <c r="C2035" s="248" t="s">
        <v>4016</v>
      </c>
      <c r="D2035" s="248"/>
      <c r="E2035" s="248"/>
      <c r="F2035" s="248"/>
      <c r="G2035" s="248" t="s">
        <v>2639</v>
      </c>
      <c r="H2035" s="248"/>
      <c r="I2035" s="248"/>
      <c r="J2035" s="248"/>
      <c r="K2035" s="248"/>
      <c r="L2035" s="248"/>
      <c r="M2035" s="248" t="s">
        <v>2640</v>
      </c>
    </row>
    <row r="2036" spans="1:13" ht="20.100000000000001" customHeight="1">
      <c r="A2036" s="248"/>
      <c r="B2036" s="248" t="s">
        <v>5889</v>
      </c>
      <c r="C2036" s="248" t="s">
        <v>4025</v>
      </c>
      <c r="D2036" s="248"/>
      <c r="E2036" s="248"/>
      <c r="F2036" s="248"/>
      <c r="G2036" s="248" t="s">
        <v>2641</v>
      </c>
      <c r="H2036" s="248"/>
      <c r="I2036" s="248"/>
      <c r="J2036" s="248"/>
      <c r="K2036" s="248"/>
      <c r="L2036" s="248"/>
      <c r="M2036" s="248" t="s">
        <v>2642</v>
      </c>
    </row>
    <row r="2037" spans="1:13" ht="20.100000000000001" customHeight="1">
      <c r="A2037" s="248"/>
      <c r="B2037" s="248" t="s">
        <v>5890</v>
      </c>
      <c r="C2037" s="248" t="s">
        <v>4008</v>
      </c>
      <c r="D2037" s="248"/>
      <c r="E2037" s="248"/>
      <c r="F2037" s="248"/>
      <c r="G2037" s="248" t="s">
        <v>3057</v>
      </c>
      <c r="H2037" s="248"/>
      <c r="I2037" s="248"/>
      <c r="J2037" s="248"/>
      <c r="K2037" s="248"/>
      <c r="L2037" s="248"/>
      <c r="M2037" s="248" t="s">
        <v>3550</v>
      </c>
    </row>
    <row r="2038" spans="1:13" ht="20.100000000000001" customHeight="1">
      <c r="A2038" s="248"/>
      <c r="B2038" s="248" t="s">
        <v>5891</v>
      </c>
      <c r="C2038" s="248" t="s">
        <v>4014</v>
      </c>
      <c r="D2038" s="248"/>
      <c r="E2038" s="248"/>
      <c r="F2038" s="248"/>
      <c r="G2038" s="248" t="s">
        <v>2643</v>
      </c>
      <c r="H2038" s="248"/>
      <c r="I2038" s="248"/>
      <c r="J2038" s="248"/>
      <c r="K2038" s="248"/>
      <c r="L2038" s="248"/>
      <c r="M2038" s="248" t="s">
        <v>2644</v>
      </c>
    </row>
    <row r="2039" spans="1:13" ht="20.100000000000001" customHeight="1">
      <c r="A2039" s="248"/>
      <c r="B2039" s="248" t="s">
        <v>5892</v>
      </c>
      <c r="C2039" s="248" t="s">
        <v>4121</v>
      </c>
      <c r="D2039" s="248"/>
      <c r="E2039" s="248"/>
      <c r="F2039" s="248"/>
      <c r="G2039" s="248" t="s">
        <v>2645</v>
      </c>
      <c r="H2039" s="248"/>
      <c r="I2039" s="248"/>
      <c r="J2039" s="248"/>
      <c r="K2039" s="248"/>
      <c r="L2039" s="248"/>
      <c r="M2039" s="248" t="s">
        <v>2646</v>
      </c>
    </row>
    <row r="2040" spans="1:13" ht="20.100000000000001" customHeight="1">
      <c r="A2040" s="248"/>
      <c r="B2040" s="248" t="s">
        <v>5893</v>
      </c>
      <c r="C2040" s="248" t="s">
        <v>4036</v>
      </c>
      <c r="D2040" s="248"/>
      <c r="E2040" s="248"/>
      <c r="F2040" s="248"/>
      <c r="G2040" s="248" t="s">
        <v>2647</v>
      </c>
      <c r="H2040" s="248"/>
      <c r="I2040" s="248"/>
      <c r="J2040" s="248"/>
      <c r="K2040" s="248"/>
      <c r="L2040" s="248"/>
      <c r="M2040" s="248" t="s">
        <v>2648</v>
      </c>
    </row>
    <row r="2041" spans="1:13" ht="20.100000000000001" customHeight="1">
      <c r="A2041" s="248"/>
      <c r="B2041" s="248" t="s">
        <v>5894</v>
      </c>
      <c r="C2041" s="248" t="s">
        <v>4008</v>
      </c>
      <c r="D2041" s="248"/>
      <c r="E2041" s="248"/>
      <c r="F2041" s="248"/>
      <c r="G2041" s="248" t="s">
        <v>3486</v>
      </c>
      <c r="H2041" s="248"/>
      <c r="I2041" s="248"/>
      <c r="J2041" s="248"/>
      <c r="K2041" s="248"/>
      <c r="L2041" s="248"/>
      <c r="M2041" s="248" t="s">
        <v>3487</v>
      </c>
    </row>
    <row r="2042" spans="1:13" ht="20.100000000000001" customHeight="1">
      <c r="A2042" s="248"/>
      <c r="B2042" s="248" t="s">
        <v>6651</v>
      </c>
      <c r="C2042" s="248" t="s">
        <v>4030</v>
      </c>
      <c r="D2042" s="248"/>
      <c r="E2042" s="248"/>
      <c r="F2042" s="248"/>
      <c r="G2042" s="248" t="s">
        <v>6652</v>
      </c>
      <c r="H2042" s="248"/>
      <c r="I2042" s="248"/>
      <c r="J2042" s="248"/>
      <c r="K2042" s="248"/>
      <c r="L2042" s="248"/>
      <c r="M2042" s="248" t="s">
        <v>6653</v>
      </c>
    </row>
    <row r="2043" spans="1:13" ht="20.100000000000001" customHeight="1">
      <c r="A2043" s="248"/>
      <c r="B2043" s="248" t="s">
        <v>5895</v>
      </c>
      <c r="C2043" s="248" t="s">
        <v>4146</v>
      </c>
      <c r="D2043" s="248"/>
      <c r="E2043" s="248"/>
      <c r="F2043" s="248"/>
      <c r="G2043" s="248" t="s">
        <v>2649</v>
      </c>
      <c r="H2043" s="248"/>
      <c r="I2043" s="248"/>
      <c r="J2043" s="248"/>
      <c r="K2043" s="248"/>
      <c r="L2043" s="248"/>
      <c r="M2043" s="248" t="s">
        <v>2650</v>
      </c>
    </row>
    <row r="2044" spans="1:13" ht="20.100000000000001" customHeight="1">
      <c r="A2044" s="248"/>
      <c r="B2044" s="248" t="s">
        <v>5896</v>
      </c>
      <c r="C2044" s="248" t="s">
        <v>4036</v>
      </c>
      <c r="D2044" s="248"/>
      <c r="E2044" s="248"/>
      <c r="F2044" s="248"/>
      <c r="G2044" s="248" t="s">
        <v>2651</v>
      </c>
      <c r="H2044" s="248"/>
      <c r="I2044" s="248"/>
      <c r="J2044" s="248"/>
      <c r="K2044" s="248"/>
      <c r="L2044" s="248"/>
      <c r="M2044" s="248" t="s">
        <v>2652</v>
      </c>
    </row>
    <row r="2045" spans="1:13" ht="20.100000000000001" customHeight="1">
      <c r="A2045" s="248"/>
      <c r="B2045" s="248" t="s">
        <v>5897</v>
      </c>
      <c r="C2045" s="248" t="s">
        <v>4036</v>
      </c>
      <c r="D2045" s="248"/>
      <c r="E2045" s="248"/>
      <c r="F2045" s="248"/>
      <c r="G2045" s="248" t="s">
        <v>3273</v>
      </c>
      <c r="H2045" s="248"/>
      <c r="I2045" s="248"/>
      <c r="J2045" s="248"/>
      <c r="K2045" s="248"/>
      <c r="L2045" s="248"/>
      <c r="M2045" s="248" t="s">
        <v>2653</v>
      </c>
    </row>
    <row r="2046" spans="1:13" ht="20.100000000000001" customHeight="1">
      <c r="A2046" s="248"/>
      <c r="B2046" s="248" t="s">
        <v>5898</v>
      </c>
      <c r="C2046" s="248" t="s">
        <v>4016</v>
      </c>
      <c r="D2046" s="248"/>
      <c r="E2046" s="248"/>
      <c r="F2046" s="248"/>
      <c r="G2046" s="248" t="s">
        <v>2654</v>
      </c>
      <c r="H2046" s="248"/>
      <c r="I2046" s="248"/>
      <c r="J2046" s="248"/>
      <c r="K2046" s="248"/>
      <c r="L2046" s="248"/>
      <c r="M2046" s="248" t="s">
        <v>2655</v>
      </c>
    </row>
    <row r="2047" spans="1:13" ht="20.100000000000001" customHeight="1">
      <c r="A2047" s="248"/>
      <c r="B2047" s="248" t="s">
        <v>5899</v>
      </c>
      <c r="C2047" s="248" t="s">
        <v>4005</v>
      </c>
      <c r="D2047" s="248"/>
      <c r="E2047" s="248"/>
      <c r="F2047" s="248"/>
      <c r="G2047" s="248" t="s">
        <v>3813</v>
      </c>
      <c r="H2047" s="248"/>
      <c r="I2047" s="248"/>
      <c r="J2047" s="248"/>
      <c r="K2047" s="248"/>
      <c r="L2047" s="248"/>
      <c r="M2047" s="248" t="s">
        <v>3814</v>
      </c>
    </row>
    <row r="2048" spans="1:13" ht="20.100000000000001" customHeight="1">
      <c r="A2048" s="248"/>
      <c r="B2048" s="248" t="s">
        <v>5900</v>
      </c>
      <c r="C2048" s="248" t="s">
        <v>4016</v>
      </c>
      <c r="D2048" s="248"/>
      <c r="E2048" s="248"/>
      <c r="F2048" s="248"/>
      <c r="G2048" s="248" t="s">
        <v>2656</v>
      </c>
      <c r="H2048" s="248"/>
      <c r="I2048" s="248"/>
      <c r="J2048" s="248"/>
      <c r="K2048" s="248"/>
      <c r="L2048" s="248"/>
      <c r="M2048" s="248" t="s">
        <v>2657</v>
      </c>
    </row>
    <row r="2049" spans="1:13" ht="20.100000000000001" customHeight="1">
      <c r="A2049" s="248"/>
      <c r="B2049" s="248" t="s">
        <v>5901</v>
      </c>
      <c r="C2049" s="248" t="s">
        <v>4036</v>
      </c>
      <c r="D2049" s="248"/>
      <c r="E2049" s="248"/>
      <c r="F2049" s="248"/>
      <c r="G2049" s="248" t="s">
        <v>2658</v>
      </c>
      <c r="H2049" s="248"/>
      <c r="I2049" s="248"/>
      <c r="J2049" s="248"/>
      <c r="K2049" s="248"/>
      <c r="L2049" s="248"/>
      <c r="M2049" s="248" t="s">
        <v>3550</v>
      </c>
    </row>
    <row r="2050" spans="1:13" ht="20.100000000000001" customHeight="1">
      <c r="A2050" s="248"/>
      <c r="B2050" s="248" t="s">
        <v>5902</v>
      </c>
      <c r="C2050" s="248" t="s">
        <v>4014</v>
      </c>
      <c r="D2050" s="248"/>
      <c r="E2050" s="248"/>
      <c r="F2050" s="248"/>
      <c r="G2050" s="248" t="s">
        <v>2659</v>
      </c>
      <c r="H2050" s="248"/>
      <c r="I2050" s="248"/>
      <c r="J2050" s="248"/>
      <c r="K2050" s="248"/>
      <c r="L2050" s="248"/>
      <c r="M2050" s="248" t="s">
        <v>2660</v>
      </c>
    </row>
    <row r="2051" spans="1:13" ht="20.100000000000001" customHeight="1">
      <c r="A2051" s="248"/>
      <c r="B2051" s="248" t="s">
        <v>5903</v>
      </c>
      <c r="C2051" s="248" t="s">
        <v>4025</v>
      </c>
      <c r="D2051" s="248"/>
      <c r="E2051" s="248"/>
      <c r="F2051" s="248"/>
      <c r="G2051" s="248" t="s">
        <v>2661</v>
      </c>
      <c r="H2051" s="248"/>
      <c r="I2051" s="248"/>
      <c r="J2051" s="248"/>
      <c r="K2051" s="248"/>
      <c r="L2051" s="248"/>
      <c r="M2051" s="248" t="s">
        <v>3550</v>
      </c>
    </row>
    <row r="2052" spans="1:13" ht="20.100000000000001" customHeight="1">
      <c r="A2052" s="248"/>
      <c r="B2052" s="248" t="s">
        <v>5904</v>
      </c>
      <c r="C2052" s="248" t="s">
        <v>4030</v>
      </c>
      <c r="D2052" s="248"/>
      <c r="E2052" s="248"/>
      <c r="F2052" s="248"/>
      <c r="G2052" s="248" t="s">
        <v>2662</v>
      </c>
      <c r="H2052" s="248"/>
      <c r="I2052" s="248"/>
      <c r="J2052" s="248"/>
      <c r="K2052" s="248"/>
      <c r="L2052" s="248"/>
      <c r="M2052" s="248" t="s">
        <v>2663</v>
      </c>
    </row>
    <row r="2053" spans="1:13" ht="20.100000000000001" customHeight="1">
      <c r="A2053" s="248"/>
      <c r="B2053" s="248" t="s">
        <v>5905</v>
      </c>
      <c r="C2053" s="248" t="s">
        <v>4121</v>
      </c>
      <c r="D2053" s="248"/>
      <c r="E2053" s="248"/>
      <c r="F2053" s="248"/>
      <c r="G2053" s="248" t="s">
        <v>6595</v>
      </c>
      <c r="H2053" s="248"/>
      <c r="I2053" s="248"/>
      <c r="J2053" s="248"/>
      <c r="K2053" s="248"/>
      <c r="L2053" s="248"/>
      <c r="M2053" s="248" t="s">
        <v>2664</v>
      </c>
    </row>
    <row r="2054" spans="1:13" ht="20.100000000000001" customHeight="1">
      <c r="A2054" s="248"/>
      <c r="B2054" s="248" t="s">
        <v>5906</v>
      </c>
      <c r="C2054" s="248" t="s">
        <v>4174</v>
      </c>
      <c r="D2054" s="248"/>
      <c r="E2054" s="248"/>
      <c r="F2054" s="248"/>
      <c r="G2054" s="248" t="s">
        <v>2665</v>
      </c>
      <c r="H2054" s="248"/>
      <c r="I2054" s="248"/>
      <c r="J2054" s="248"/>
      <c r="K2054" s="248"/>
      <c r="L2054" s="248"/>
      <c r="M2054" s="248" t="s">
        <v>2666</v>
      </c>
    </row>
    <row r="2055" spans="1:13" ht="20.100000000000001" customHeight="1">
      <c r="A2055" s="248"/>
      <c r="B2055" s="248" t="s">
        <v>5907</v>
      </c>
      <c r="C2055" s="248" t="s">
        <v>4008</v>
      </c>
      <c r="D2055" s="248"/>
      <c r="E2055" s="248"/>
      <c r="F2055" s="248"/>
      <c r="G2055" s="248" t="s">
        <v>2667</v>
      </c>
      <c r="H2055" s="248"/>
      <c r="I2055" s="248"/>
      <c r="J2055" s="248"/>
      <c r="K2055" s="248"/>
      <c r="L2055" s="248"/>
      <c r="M2055" s="248" t="s">
        <v>2668</v>
      </c>
    </row>
    <row r="2056" spans="1:13" ht="20.100000000000001" customHeight="1">
      <c r="A2056" s="248"/>
      <c r="B2056" s="248" t="s">
        <v>5908</v>
      </c>
      <c r="C2056" s="248" t="s">
        <v>4016</v>
      </c>
      <c r="D2056" s="248"/>
      <c r="E2056" s="248"/>
      <c r="F2056" s="248"/>
      <c r="G2056" s="248" t="s">
        <v>3283</v>
      </c>
      <c r="H2056" s="248"/>
      <c r="I2056" s="248"/>
      <c r="J2056" s="248"/>
      <c r="K2056" s="248"/>
      <c r="L2056" s="248"/>
      <c r="M2056" s="248" t="s">
        <v>3284</v>
      </c>
    </row>
    <row r="2057" spans="1:13" ht="20.100000000000001" customHeight="1">
      <c r="A2057" s="248"/>
      <c r="B2057" s="248" t="s">
        <v>6422</v>
      </c>
      <c r="C2057" s="248" t="s">
        <v>4016</v>
      </c>
      <c r="D2057" s="248"/>
      <c r="E2057" s="248"/>
      <c r="F2057" s="248"/>
      <c r="G2057" s="248" t="s">
        <v>6423</v>
      </c>
      <c r="H2057" s="248"/>
      <c r="I2057" s="248"/>
      <c r="J2057" s="248"/>
      <c r="K2057" s="248"/>
      <c r="L2057" s="248"/>
      <c r="M2057" s="248" t="s">
        <v>3550</v>
      </c>
    </row>
    <row r="2058" spans="1:13" ht="20.100000000000001" customHeight="1">
      <c r="A2058" s="248"/>
      <c r="B2058" s="248" t="s">
        <v>5909</v>
      </c>
      <c r="C2058" s="248" t="s">
        <v>4008</v>
      </c>
      <c r="D2058" s="248"/>
      <c r="E2058" s="248"/>
      <c r="F2058" s="248"/>
      <c r="G2058" s="248" t="s">
        <v>2669</v>
      </c>
      <c r="H2058" s="248"/>
      <c r="I2058" s="248"/>
      <c r="J2058" s="248"/>
      <c r="K2058" s="248"/>
      <c r="L2058" s="248"/>
      <c r="M2058" s="248" t="s">
        <v>3550</v>
      </c>
    </row>
    <row r="2059" spans="1:13" ht="20.100000000000001" customHeight="1">
      <c r="A2059" s="248"/>
      <c r="B2059" s="248" t="s">
        <v>5910</v>
      </c>
      <c r="C2059" s="248" t="s">
        <v>4014</v>
      </c>
      <c r="D2059" s="248"/>
      <c r="E2059" s="248"/>
      <c r="F2059" s="248"/>
      <c r="G2059" s="248" t="s">
        <v>2670</v>
      </c>
      <c r="H2059" s="248"/>
      <c r="I2059" s="248"/>
      <c r="J2059" s="248"/>
      <c r="K2059" s="248"/>
      <c r="L2059" s="248"/>
      <c r="M2059" s="248" t="s">
        <v>2671</v>
      </c>
    </row>
    <row r="2060" spans="1:13" ht="20.100000000000001" customHeight="1">
      <c r="A2060" s="248"/>
      <c r="B2060" s="248" t="s">
        <v>5911</v>
      </c>
      <c r="C2060" s="248" t="s">
        <v>4016</v>
      </c>
      <c r="D2060" s="248"/>
      <c r="E2060" s="248"/>
      <c r="F2060" s="248"/>
      <c r="G2060" s="248" t="s">
        <v>2672</v>
      </c>
      <c r="H2060" s="248"/>
      <c r="I2060" s="248"/>
      <c r="J2060" s="248"/>
      <c r="K2060" s="248"/>
      <c r="L2060" s="248"/>
      <c r="M2060" s="248" t="s">
        <v>2673</v>
      </c>
    </row>
    <row r="2061" spans="1:13" ht="20.100000000000001" customHeight="1">
      <c r="A2061" s="248"/>
      <c r="B2061" s="248" t="s">
        <v>6380</v>
      </c>
      <c r="C2061" s="248" t="s">
        <v>4016</v>
      </c>
      <c r="D2061" s="248"/>
      <c r="E2061" s="248"/>
      <c r="F2061" s="248"/>
      <c r="G2061" s="248" t="s">
        <v>6381</v>
      </c>
      <c r="H2061" s="248"/>
      <c r="I2061" s="248"/>
      <c r="J2061" s="248"/>
      <c r="K2061" s="248"/>
      <c r="L2061" s="248"/>
      <c r="M2061" s="248" t="s">
        <v>6382</v>
      </c>
    </row>
    <row r="2062" spans="1:13" ht="20.100000000000001" customHeight="1">
      <c r="A2062" s="248"/>
      <c r="B2062" s="248" t="s">
        <v>6267</v>
      </c>
      <c r="C2062" s="248" t="s">
        <v>4036</v>
      </c>
      <c r="D2062" s="248"/>
      <c r="E2062" s="248"/>
      <c r="F2062" s="248"/>
      <c r="G2062" s="248" t="s">
        <v>6268</v>
      </c>
      <c r="H2062" s="248"/>
      <c r="I2062" s="248"/>
      <c r="J2062" s="248"/>
      <c r="K2062" s="248"/>
      <c r="L2062" s="248"/>
      <c r="M2062" s="248" t="s">
        <v>6269</v>
      </c>
    </row>
    <row r="2063" spans="1:13" ht="20.100000000000001" customHeight="1">
      <c r="A2063" s="248"/>
      <c r="B2063" s="248" t="s">
        <v>5912</v>
      </c>
      <c r="C2063" s="248" t="s">
        <v>4016</v>
      </c>
      <c r="D2063" s="248"/>
      <c r="E2063" s="248"/>
      <c r="F2063" s="248"/>
      <c r="G2063" s="248" t="s">
        <v>3083</v>
      </c>
      <c r="H2063" s="248"/>
      <c r="I2063" s="248"/>
      <c r="J2063" s="248"/>
      <c r="K2063" s="248"/>
      <c r="L2063" s="248"/>
      <c r="M2063" s="248" t="s">
        <v>3082</v>
      </c>
    </row>
    <row r="2064" spans="1:13" ht="20.100000000000001" customHeight="1">
      <c r="A2064" s="248"/>
      <c r="B2064" s="248" t="s">
        <v>5913</v>
      </c>
      <c r="C2064" s="248" t="s">
        <v>4008</v>
      </c>
      <c r="D2064" s="248"/>
      <c r="E2064" s="248"/>
      <c r="F2064" s="248"/>
      <c r="G2064" s="248" t="s">
        <v>2674</v>
      </c>
      <c r="H2064" s="248"/>
      <c r="I2064" s="248"/>
      <c r="J2064" s="248"/>
      <c r="K2064" s="248"/>
      <c r="L2064" s="248"/>
      <c r="M2064" s="248" t="s">
        <v>2675</v>
      </c>
    </row>
    <row r="2065" spans="1:13" ht="20.100000000000001" customHeight="1">
      <c r="A2065" s="248"/>
      <c r="B2065" s="248" t="s">
        <v>5914</v>
      </c>
      <c r="C2065" s="248" t="s">
        <v>4030</v>
      </c>
      <c r="D2065" s="248"/>
      <c r="E2065" s="248"/>
      <c r="F2065" s="248"/>
      <c r="G2065" s="248" t="s">
        <v>2676</v>
      </c>
      <c r="H2065" s="248"/>
      <c r="I2065" s="248"/>
      <c r="J2065" s="248"/>
      <c r="K2065" s="248"/>
      <c r="L2065" s="248"/>
      <c r="M2065" s="248" t="s">
        <v>3550</v>
      </c>
    </row>
    <row r="2066" spans="1:13" ht="20.100000000000001" customHeight="1">
      <c r="A2066" s="248"/>
      <c r="B2066" s="248" t="s">
        <v>5915</v>
      </c>
      <c r="C2066" s="248" t="s">
        <v>4012</v>
      </c>
      <c r="D2066" s="248"/>
      <c r="E2066" s="248"/>
      <c r="F2066" s="248"/>
      <c r="G2066" s="248" t="s">
        <v>2677</v>
      </c>
      <c r="H2066" s="248"/>
      <c r="I2066" s="248"/>
      <c r="J2066" s="248"/>
      <c r="K2066" s="248"/>
      <c r="L2066" s="248"/>
      <c r="M2066" s="248" t="s">
        <v>2678</v>
      </c>
    </row>
    <row r="2067" spans="1:13" ht="20.100000000000001" customHeight="1">
      <c r="A2067" s="248"/>
      <c r="B2067" s="248" t="s">
        <v>5916</v>
      </c>
      <c r="C2067" s="248" t="s">
        <v>4008</v>
      </c>
      <c r="D2067" s="248"/>
      <c r="E2067" s="248"/>
      <c r="F2067" s="248"/>
      <c r="G2067" s="248" t="s">
        <v>2679</v>
      </c>
      <c r="H2067" s="248"/>
      <c r="I2067" s="248"/>
      <c r="J2067" s="248"/>
      <c r="K2067" s="248"/>
      <c r="L2067" s="248"/>
      <c r="M2067" s="248" t="s">
        <v>2680</v>
      </c>
    </row>
    <row r="2068" spans="1:13" ht="20.100000000000001" customHeight="1">
      <c r="A2068" s="248"/>
      <c r="B2068" s="248" t="s">
        <v>5917</v>
      </c>
      <c r="C2068" s="248" t="s">
        <v>4025</v>
      </c>
      <c r="D2068" s="248"/>
      <c r="E2068" s="248"/>
      <c r="F2068" s="248"/>
      <c r="G2068" s="248" t="s">
        <v>2681</v>
      </c>
      <c r="H2068" s="248"/>
      <c r="I2068" s="248"/>
      <c r="J2068" s="248"/>
      <c r="K2068" s="248"/>
      <c r="L2068" s="248"/>
      <c r="M2068" s="248" t="s">
        <v>2682</v>
      </c>
    </row>
    <row r="2069" spans="1:13" ht="20.100000000000001" customHeight="1">
      <c r="A2069" s="248"/>
      <c r="B2069" s="248" t="s">
        <v>5918</v>
      </c>
      <c r="C2069" s="248" t="s">
        <v>4030</v>
      </c>
      <c r="D2069" s="248"/>
      <c r="E2069" s="248"/>
      <c r="F2069" s="248"/>
      <c r="G2069" s="248" t="s">
        <v>2683</v>
      </c>
      <c r="H2069" s="248"/>
      <c r="I2069" s="248"/>
      <c r="J2069" s="248"/>
      <c r="K2069" s="248"/>
      <c r="L2069" s="248"/>
      <c r="M2069" s="248" t="s">
        <v>1721</v>
      </c>
    </row>
    <row r="2070" spans="1:13" ht="20.100000000000001" customHeight="1">
      <c r="A2070" s="248"/>
      <c r="B2070" s="248" t="s">
        <v>5919</v>
      </c>
      <c r="C2070" s="248" t="s">
        <v>4008</v>
      </c>
      <c r="D2070" s="248"/>
      <c r="E2070" s="248"/>
      <c r="F2070" s="248"/>
      <c r="G2070" s="248" t="s">
        <v>2684</v>
      </c>
      <c r="H2070" s="248"/>
      <c r="I2070" s="248"/>
      <c r="J2070" s="248"/>
      <c r="K2070" s="248"/>
      <c r="L2070" s="248"/>
      <c r="M2070" s="248" t="s">
        <v>2685</v>
      </c>
    </row>
    <row r="2071" spans="1:13" ht="20.100000000000001" customHeight="1">
      <c r="A2071" s="248"/>
      <c r="B2071" s="248" t="s">
        <v>6157</v>
      </c>
      <c r="C2071" s="248" t="s">
        <v>4016</v>
      </c>
      <c r="D2071" s="248"/>
      <c r="E2071" s="248"/>
      <c r="F2071" s="248"/>
      <c r="G2071" s="248" t="s">
        <v>6158</v>
      </c>
      <c r="H2071" s="248"/>
      <c r="I2071" s="248"/>
      <c r="J2071" s="248"/>
      <c r="K2071" s="248"/>
      <c r="L2071" s="248"/>
      <c r="M2071" s="248" t="s">
        <v>3550</v>
      </c>
    </row>
    <row r="2072" spans="1:13" ht="20.100000000000001" customHeight="1">
      <c r="A2072" s="248"/>
      <c r="B2072" s="248" t="s">
        <v>5920</v>
      </c>
      <c r="C2072" s="248" t="s">
        <v>4008</v>
      </c>
      <c r="D2072" s="248"/>
      <c r="E2072" s="248"/>
      <c r="F2072" s="248"/>
      <c r="G2072" s="248" t="s">
        <v>2686</v>
      </c>
      <c r="H2072" s="248"/>
      <c r="I2072" s="248"/>
      <c r="J2072" s="248"/>
      <c r="K2072" s="248"/>
      <c r="L2072" s="248"/>
      <c r="M2072" s="248" t="s">
        <v>2687</v>
      </c>
    </row>
    <row r="2073" spans="1:13" ht="20.100000000000001" customHeight="1">
      <c r="A2073" s="248"/>
      <c r="B2073" s="248" t="s">
        <v>5921</v>
      </c>
      <c r="C2073" s="248" t="s">
        <v>4008</v>
      </c>
      <c r="D2073" s="248"/>
      <c r="E2073" s="248"/>
      <c r="F2073" s="248"/>
      <c r="G2073" s="248" t="s">
        <v>3668</v>
      </c>
      <c r="H2073" s="248"/>
      <c r="I2073" s="248"/>
      <c r="J2073" s="248"/>
      <c r="K2073" s="248"/>
      <c r="L2073" s="248"/>
      <c r="M2073" s="248" t="s">
        <v>3669</v>
      </c>
    </row>
    <row r="2074" spans="1:13" ht="20.100000000000001" customHeight="1">
      <c r="A2074" s="248"/>
      <c r="B2074" s="248" t="s">
        <v>5922</v>
      </c>
      <c r="C2074" s="248" t="s">
        <v>4016</v>
      </c>
      <c r="D2074" s="248"/>
      <c r="E2074" s="248"/>
      <c r="F2074" s="248"/>
      <c r="G2074" s="248" t="s">
        <v>3936</v>
      </c>
      <c r="H2074" s="248"/>
      <c r="I2074" s="248"/>
      <c r="J2074" s="248"/>
      <c r="K2074" s="248"/>
      <c r="L2074" s="248"/>
      <c r="M2074" s="248" t="s">
        <v>3337</v>
      </c>
    </row>
    <row r="2075" spans="1:13" ht="20.100000000000001" customHeight="1">
      <c r="A2075" s="248"/>
      <c r="B2075" s="248" t="s">
        <v>5923</v>
      </c>
      <c r="C2075" s="248" t="s">
        <v>4016</v>
      </c>
      <c r="D2075" s="248"/>
      <c r="E2075" s="248"/>
      <c r="F2075" s="248"/>
      <c r="G2075" s="248" t="s">
        <v>2688</v>
      </c>
      <c r="H2075" s="248"/>
      <c r="I2075" s="248"/>
      <c r="J2075" s="248"/>
      <c r="K2075" s="248"/>
      <c r="L2075" s="248"/>
      <c r="M2075" s="248" t="s">
        <v>2689</v>
      </c>
    </row>
    <row r="2076" spans="1:13" ht="20.100000000000001" customHeight="1">
      <c r="A2076" s="248"/>
      <c r="B2076" s="248" t="s">
        <v>5924</v>
      </c>
      <c r="C2076" s="248" t="s">
        <v>4025</v>
      </c>
      <c r="D2076" s="248"/>
      <c r="E2076" s="248"/>
      <c r="F2076" s="248"/>
      <c r="G2076" s="248" t="s">
        <v>2690</v>
      </c>
      <c r="H2076" s="248"/>
      <c r="I2076" s="248"/>
      <c r="J2076" s="248"/>
      <c r="K2076" s="248"/>
      <c r="L2076" s="248"/>
      <c r="M2076" s="248" t="s">
        <v>2691</v>
      </c>
    </row>
    <row r="2077" spans="1:13" ht="20.100000000000001" customHeight="1">
      <c r="A2077" s="248"/>
      <c r="B2077" s="248" t="s">
        <v>5925</v>
      </c>
      <c r="C2077" s="248" t="s">
        <v>4008</v>
      </c>
      <c r="D2077" s="248"/>
      <c r="E2077" s="248"/>
      <c r="F2077" s="248"/>
      <c r="G2077" s="248" t="s">
        <v>2692</v>
      </c>
      <c r="H2077" s="248"/>
      <c r="I2077" s="248"/>
      <c r="J2077" s="248"/>
      <c r="K2077" s="248"/>
      <c r="L2077" s="248"/>
      <c r="M2077" s="248" t="s">
        <v>2693</v>
      </c>
    </row>
    <row r="2078" spans="1:13" ht="20.100000000000001" customHeight="1">
      <c r="A2078" s="248"/>
      <c r="B2078" s="248" t="s">
        <v>5926</v>
      </c>
      <c r="C2078" s="248" t="s">
        <v>4008</v>
      </c>
      <c r="D2078" s="248"/>
      <c r="E2078" s="248"/>
      <c r="F2078" s="248"/>
      <c r="G2078" s="248" t="s">
        <v>2694</v>
      </c>
      <c r="H2078" s="248"/>
      <c r="I2078" s="248"/>
      <c r="J2078" s="248"/>
      <c r="K2078" s="248"/>
      <c r="L2078" s="248"/>
      <c r="M2078" s="248" t="s">
        <v>2695</v>
      </c>
    </row>
    <row r="2079" spans="1:13" ht="20.100000000000001" customHeight="1">
      <c r="A2079" s="248"/>
      <c r="B2079" s="248" t="s">
        <v>5927</v>
      </c>
      <c r="C2079" s="248" t="s">
        <v>4016</v>
      </c>
      <c r="D2079" s="248"/>
      <c r="E2079" s="248"/>
      <c r="F2079" s="248"/>
      <c r="G2079" s="248" t="s">
        <v>4001</v>
      </c>
      <c r="H2079" s="248"/>
      <c r="I2079" s="248"/>
      <c r="J2079" s="248"/>
      <c r="K2079" s="248"/>
      <c r="L2079" s="248"/>
      <c r="M2079" s="248" t="s">
        <v>3550</v>
      </c>
    </row>
    <row r="2080" spans="1:13" ht="20.100000000000001" customHeight="1">
      <c r="A2080" s="248"/>
      <c r="B2080" s="248" t="s">
        <v>5928</v>
      </c>
      <c r="C2080" s="248" t="s">
        <v>4016</v>
      </c>
      <c r="D2080" s="248"/>
      <c r="E2080" s="248"/>
      <c r="F2080" s="248"/>
      <c r="G2080" s="248" t="s">
        <v>3043</v>
      </c>
      <c r="H2080" s="248"/>
      <c r="I2080" s="248"/>
      <c r="J2080" s="248"/>
      <c r="K2080" s="248"/>
      <c r="L2080" s="248"/>
      <c r="M2080" s="248" t="s">
        <v>3044</v>
      </c>
    </row>
    <row r="2081" spans="1:13" ht="20.100000000000001" customHeight="1">
      <c r="A2081" s="248"/>
      <c r="B2081" s="248" t="s">
        <v>5929</v>
      </c>
      <c r="C2081" s="248" t="s">
        <v>4008</v>
      </c>
      <c r="D2081" s="248"/>
      <c r="E2081" s="248"/>
      <c r="F2081" s="248"/>
      <c r="G2081" s="248" t="s">
        <v>2696</v>
      </c>
      <c r="H2081" s="248"/>
      <c r="I2081" s="248"/>
      <c r="J2081" s="248"/>
      <c r="K2081" s="248"/>
      <c r="L2081" s="248"/>
      <c r="M2081" s="248" t="s">
        <v>2697</v>
      </c>
    </row>
    <row r="2082" spans="1:13" ht="20.100000000000001" customHeight="1">
      <c r="A2082" s="248"/>
      <c r="B2082" s="248" t="s">
        <v>5930</v>
      </c>
      <c r="C2082" s="248" t="s">
        <v>4003</v>
      </c>
      <c r="D2082" s="248"/>
      <c r="E2082" s="248"/>
      <c r="F2082" s="248"/>
      <c r="G2082" s="248" t="s">
        <v>3670</v>
      </c>
      <c r="H2082" s="248"/>
      <c r="I2082" s="248"/>
      <c r="J2082" s="248"/>
      <c r="K2082" s="248"/>
      <c r="L2082" s="248"/>
      <c r="M2082" s="248" t="s">
        <v>3418</v>
      </c>
    </row>
    <row r="2083" spans="1:13" ht="20.100000000000001" customHeight="1">
      <c r="A2083" s="248"/>
      <c r="B2083" s="248" t="s">
        <v>5931</v>
      </c>
      <c r="C2083" s="248" t="s">
        <v>4016</v>
      </c>
      <c r="D2083" s="248"/>
      <c r="E2083" s="248"/>
      <c r="F2083" s="248"/>
      <c r="G2083" s="248" t="s">
        <v>2698</v>
      </c>
      <c r="H2083" s="248"/>
      <c r="I2083" s="248"/>
      <c r="J2083" s="248"/>
      <c r="K2083" s="248"/>
      <c r="L2083" s="248"/>
      <c r="M2083" s="248" t="s">
        <v>2699</v>
      </c>
    </row>
    <row r="2084" spans="1:13" ht="20.100000000000001" customHeight="1">
      <c r="A2084" s="248"/>
      <c r="B2084" s="248" t="s">
        <v>5932</v>
      </c>
      <c r="C2084" s="248" t="s">
        <v>4025</v>
      </c>
      <c r="D2084" s="248"/>
      <c r="E2084" s="248"/>
      <c r="F2084" s="248"/>
      <c r="G2084" s="248" t="s">
        <v>2700</v>
      </c>
      <c r="H2084" s="248"/>
      <c r="I2084" s="248"/>
      <c r="J2084" s="248"/>
      <c r="K2084" s="248"/>
      <c r="L2084" s="248"/>
      <c r="M2084" s="248" t="s">
        <v>2701</v>
      </c>
    </row>
    <row r="2085" spans="1:13" ht="20.100000000000001" customHeight="1">
      <c r="A2085" s="248"/>
      <c r="B2085" s="248" t="s">
        <v>5933</v>
      </c>
      <c r="C2085" s="248" t="s">
        <v>4014</v>
      </c>
      <c r="D2085" s="248"/>
      <c r="E2085" s="248"/>
      <c r="F2085" s="248"/>
      <c r="G2085" s="248" t="s">
        <v>3815</v>
      </c>
      <c r="H2085" s="248"/>
      <c r="I2085" s="248"/>
      <c r="J2085" s="248"/>
      <c r="K2085" s="248"/>
      <c r="L2085" s="248"/>
      <c r="M2085" s="248" t="s">
        <v>196</v>
      </c>
    </row>
    <row r="2086" spans="1:13" ht="20.100000000000001" customHeight="1">
      <c r="A2086" s="248"/>
      <c r="B2086" s="248" t="s">
        <v>5934</v>
      </c>
      <c r="C2086" s="248" t="s">
        <v>4003</v>
      </c>
      <c r="D2086" s="248"/>
      <c r="E2086" s="248"/>
      <c r="F2086" s="248"/>
      <c r="G2086" s="248" t="s">
        <v>3816</v>
      </c>
      <c r="H2086" s="248"/>
      <c r="I2086" s="248"/>
      <c r="J2086" s="248"/>
      <c r="K2086" s="248"/>
      <c r="L2086" s="248"/>
      <c r="M2086" s="248" t="s">
        <v>3547</v>
      </c>
    </row>
    <row r="2087" spans="1:13" ht="20.100000000000001" customHeight="1">
      <c r="A2087" s="248"/>
      <c r="B2087" s="248" t="s">
        <v>5935</v>
      </c>
      <c r="C2087" s="248" t="s">
        <v>4036</v>
      </c>
      <c r="D2087" s="248"/>
      <c r="E2087" s="248"/>
      <c r="F2087" s="248"/>
      <c r="G2087" s="248" t="s">
        <v>2702</v>
      </c>
      <c r="H2087" s="248"/>
      <c r="I2087" s="248"/>
      <c r="J2087" s="248"/>
      <c r="K2087" s="248"/>
      <c r="L2087" s="248"/>
      <c r="M2087" s="248" t="s">
        <v>3550</v>
      </c>
    </row>
    <row r="2088" spans="1:13" ht="20.100000000000001" customHeight="1">
      <c r="A2088" s="248"/>
      <c r="B2088" s="248" t="s">
        <v>5936</v>
      </c>
      <c r="C2088" s="248" t="s">
        <v>4025</v>
      </c>
      <c r="D2088" s="248"/>
      <c r="E2088" s="248"/>
      <c r="F2088" s="248"/>
      <c r="G2088" s="248" t="s">
        <v>2703</v>
      </c>
      <c r="H2088" s="248"/>
      <c r="I2088" s="248"/>
      <c r="J2088" s="248"/>
      <c r="K2088" s="248"/>
      <c r="L2088" s="248"/>
      <c r="M2088" s="248" t="s">
        <v>2704</v>
      </c>
    </row>
    <row r="2089" spans="1:13" ht="20.100000000000001" customHeight="1">
      <c r="A2089" s="248"/>
      <c r="B2089" s="248" t="s">
        <v>5937</v>
      </c>
      <c r="C2089" s="248" t="s">
        <v>4030</v>
      </c>
      <c r="D2089" s="248"/>
      <c r="E2089" s="248"/>
      <c r="F2089" s="248"/>
      <c r="G2089" s="248" t="s">
        <v>2705</v>
      </c>
      <c r="H2089" s="248"/>
      <c r="I2089" s="248"/>
      <c r="J2089" s="248"/>
      <c r="K2089" s="248"/>
      <c r="L2089" s="248"/>
      <c r="M2089" s="248" t="s">
        <v>2706</v>
      </c>
    </row>
    <row r="2090" spans="1:13" ht="20.100000000000001" customHeight="1">
      <c r="A2090" s="248"/>
      <c r="B2090" s="248" t="s">
        <v>5938</v>
      </c>
      <c r="C2090" s="248" t="s">
        <v>4016</v>
      </c>
      <c r="D2090" s="248"/>
      <c r="E2090" s="248"/>
      <c r="F2090" s="248"/>
      <c r="G2090" s="248" t="s">
        <v>2707</v>
      </c>
      <c r="H2090" s="248"/>
      <c r="I2090" s="248"/>
      <c r="J2090" s="248"/>
      <c r="K2090" s="248"/>
      <c r="L2090" s="248"/>
      <c r="M2090" s="248" t="s">
        <v>2708</v>
      </c>
    </row>
    <row r="2091" spans="1:13" ht="20.100000000000001" customHeight="1">
      <c r="A2091" s="248"/>
      <c r="B2091" s="248" t="s">
        <v>5939</v>
      </c>
      <c r="C2091" s="248" t="s">
        <v>4016</v>
      </c>
      <c r="D2091" s="248"/>
      <c r="E2091" s="248"/>
      <c r="F2091" s="248"/>
      <c r="G2091" s="248" t="s">
        <v>3036</v>
      </c>
      <c r="H2091" s="248"/>
      <c r="I2091" s="248"/>
      <c r="J2091" s="248"/>
      <c r="K2091" s="248"/>
      <c r="L2091" s="248"/>
      <c r="M2091" s="248" t="s">
        <v>3037</v>
      </c>
    </row>
    <row r="2092" spans="1:13" ht="20.100000000000001" customHeight="1">
      <c r="A2092" s="248"/>
      <c r="B2092" s="248" t="s">
        <v>5940</v>
      </c>
      <c r="C2092" s="248" t="s">
        <v>4003</v>
      </c>
      <c r="D2092" s="248"/>
      <c r="E2092" s="248"/>
      <c r="F2092" s="248"/>
      <c r="G2092" s="248" t="s">
        <v>2709</v>
      </c>
      <c r="H2092" s="248"/>
      <c r="I2092" s="248"/>
      <c r="J2092" s="248"/>
      <c r="K2092" s="248"/>
      <c r="L2092" s="248"/>
      <c r="M2092" s="248" t="s">
        <v>2710</v>
      </c>
    </row>
    <row r="2093" spans="1:13" ht="20.100000000000001" customHeight="1">
      <c r="A2093" s="248"/>
      <c r="B2093" s="248" t="s">
        <v>5941</v>
      </c>
      <c r="C2093" s="248" t="s">
        <v>4036</v>
      </c>
      <c r="D2093" s="248"/>
      <c r="E2093" s="248"/>
      <c r="F2093" s="248"/>
      <c r="G2093" s="248" t="s">
        <v>3158</v>
      </c>
      <c r="H2093" s="248"/>
      <c r="I2093" s="248"/>
      <c r="J2093" s="248"/>
      <c r="K2093" s="248"/>
      <c r="L2093" s="248"/>
      <c r="M2093" s="248" t="s">
        <v>3550</v>
      </c>
    </row>
    <row r="2094" spans="1:13" ht="20.100000000000001" customHeight="1">
      <c r="A2094" s="248"/>
      <c r="B2094" s="248" t="s">
        <v>5942</v>
      </c>
      <c r="C2094" s="248" t="s">
        <v>4012</v>
      </c>
      <c r="D2094" s="248"/>
      <c r="E2094" s="248"/>
      <c r="F2094" s="248"/>
      <c r="G2094" s="248" t="s">
        <v>3488</v>
      </c>
      <c r="H2094" s="248"/>
      <c r="I2094" s="248"/>
      <c r="J2094" s="248"/>
      <c r="K2094" s="248"/>
      <c r="L2094" s="248"/>
      <c r="M2094" s="248" t="s">
        <v>3489</v>
      </c>
    </row>
    <row r="2095" spans="1:13" ht="20.100000000000001" customHeight="1">
      <c r="A2095" s="248"/>
      <c r="B2095" s="248" t="s">
        <v>5943</v>
      </c>
      <c r="C2095" s="248" t="s">
        <v>4008</v>
      </c>
      <c r="D2095" s="248"/>
      <c r="E2095" s="248"/>
      <c r="F2095" s="248"/>
      <c r="G2095" s="248" t="s">
        <v>2711</v>
      </c>
      <c r="H2095" s="248"/>
      <c r="I2095" s="248"/>
      <c r="J2095" s="248"/>
      <c r="K2095" s="248"/>
      <c r="L2095" s="248"/>
      <c r="M2095" s="248" t="s">
        <v>2712</v>
      </c>
    </row>
    <row r="2096" spans="1:13" ht="20.100000000000001" customHeight="1">
      <c r="A2096" s="248"/>
      <c r="B2096" s="248" t="s">
        <v>5944</v>
      </c>
      <c r="C2096" s="248" t="s">
        <v>4005</v>
      </c>
      <c r="D2096" s="248"/>
      <c r="E2096" s="248"/>
      <c r="F2096" s="248"/>
      <c r="G2096" s="248" t="s">
        <v>3671</v>
      </c>
      <c r="H2096" s="248"/>
      <c r="I2096" s="248"/>
      <c r="J2096" s="248"/>
      <c r="K2096" s="248"/>
      <c r="L2096" s="248"/>
      <c r="M2096" s="248" t="s">
        <v>2713</v>
      </c>
    </row>
    <row r="2097" spans="1:13" ht="20.100000000000001" customHeight="1">
      <c r="A2097" s="248"/>
      <c r="B2097" s="248" t="s">
        <v>6654</v>
      </c>
      <c r="C2097" s="248" t="s">
        <v>4036</v>
      </c>
      <c r="D2097" s="248"/>
      <c r="E2097" s="248"/>
      <c r="F2097" s="248"/>
      <c r="G2097" s="248" t="s">
        <v>6655</v>
      </c>
      <c r="H2097" s="248"/>
      <c r="I2097" s="248"/>
      <c r="J2097" s="248"/>
      <c r="K2097" s="248"/>
      <c r="L2097" s="248"/>
      <c r="M2097" s="248" t="s">
        <v>6656</v>
      </c>
    </row>
    <row r="2098" spans="1:13" ht="20.100000000000001" customHeight="1">
      <c r="A2098" s="248"/>
      <c r="B2098" s="248" t="s">
        <v>5945</v>
      </c>
      <c r="C2098" s="248" t="s">
        <v>4025</v>
      </c>
      <c r="D2098" s="248"/>
      <c r="E2098" s="248"/>
      <c r="F2098" s="248"/>
      <c r="G2098" s="248" t="s">
        <v>2714</v>
      </c>
      <c r="H2098" s="248"/>
      <c r="I2098" s="248"/>
      <c r="J2098" s="248"/>
      <c r="K2098" s="248"/>
      <c r="L2098" s="248"/>
      <c r="M2098" s="248" t="s">
        <v>3550</v>
      </c>
    </row>
    <row r="2099" spans="1:13" ht="20.100000000000001" customHeight="1">
      <c r="A2099" s="248"/>
      <c r="B2099" s="248" t="s">
        <v>5946</v>
      </c>
      <c r="C2099" s="248" t="s">
        <v>4014</v>
      </c>
      <c r="D2099" s="248"/>
      <c r="E2099" s="248"/>
      <c r="F2099" s="248"/>
      <c r="G2099" s="248" t="s">
        <v>2715</v>
      </c>
      <c r="H2099" s="248"/>
      <c r="I2099" s="248"/>
      <c r="J2099" s="248"/>
      <c r="K2099" s="248"/>
      <c r="L2099" s="248"/>
      <c r="M2099" s="248" t="s">
        <v>2716</v>
      </c>
    </row>
    <row r="2100" spans="1:13" ht="20.100000000000001" customHeight="1">
      <c r="A2100" s="248"/>
      <c r="B2100" s="248" t="s">
        <v>5947</v>
      </c>
      <c r="C2100" s="248" t="s">
        <v>4036</v>
      </c>
      <c r="D2100" s="248"/>
      <c r="E2100" s="248"/>
      <c r="F2100" s="248"/>
      <c r="G2100" s="248" t="s">
        <v>2717</v>
      </c>
      <c r="H2100" s="248"/>
      <c r="I2100" s="248"/>
      <c r="J2100" s="248"/>
      <c r="K2100" s="248"/>
      <c r="L2100" s="248"/>
      <c r="M2100" s="248" t="s">
        <v>2718</v>
      </c>
    </row>
    <row r="2101" spans="1:13" ht="20.100000000000001" customHeight="1">
      <c r="A2101" s="248"/>
      <c r="B2101" s="248" t="s">
        <v>5948</v>
      </c>
      <c r="C2101" s="248" t="s">
        <v>4016</v>
      </c>
      <c r="D2101" s="248"/>
      <c r="E2101" s="248"/>
      <c r="F2101" s="248"/>
      <c r="G2101" s="248" t="s">
        <v>3119</v>
      </c>
      <c r="H2101" s="248"/>
      <c r="I2101" s="248"/>
      <c r="J2101" s="248"/>
      <c r="K2101" s="248"/>
      <c r="L2101" s="248"/>
      <c r="M2101" s="248" t="s">
        <v>3120</v>
      </c>
    </row>
    <row r="2102" spans="1:13" ht="20.100000000000001" customHeight="1">
      <c r="A2102" s="248"/>
      <c r="B2102" s="248" t="s">
        <v>5949</v>
      </c>
      <c r="C2102" s="248" t="s">
        <v>4025</v>
      </c>
      <c r="D2102" s="248"/>
      <c r="E2102" s="248"/>
      <c r="F2102" s="248"/>
      <c r="G2102" s="248" t="s">
        <v>2719</v>
      </c>
      <c r="H2102" s="248"/>
      <c r="I2102" s="248"/>
      <c r="J2102" s="248"/>
      <c r="K2102" s="248"/>
      <c r="L2102" s="248"/>
      <c r="M2102" s="248" t="s">
        <v>2720</v>
      </c>
    </row>
    <row r="2103" spans="1:13" ht="20.100000000000001" customHeight="1">
      <c r="A2103" s="248"/>
      <c r="B2103" s="248" t="s">
        <v>5950</v>
      </c>
      <c r="C2103" s="248" t="s">
        <v>4030</v>
      </c>
      <c r="D2103" s="248"/>
      <c r="E2103" s="248"/>
      <c r="F2103" s="248"/>
      <c r="G2103" s="248" t="s">
        <v>2721</v>
      </c>
      <c r="H2103" s="248"/>
      <c r="I2103" s="248"/>
      <c r="J2103" s="248"/>
      <c r="K2103" s="248"/>
      <c r="L2103" s="248"/>
      <c r="M2103" s="248" t="s">
        <v>2722</v>
      </c>
    </row>
    <row r="2104" spans="1:13" ht="20.100000000000001" customHeight="1">
      <c r="A2104" s="248"/>
      <c r="B2104" s="248" t="s">
        <v>5951</v>
      </c>
      <c r="C2104" s="248" t="s">
        <v>4008</v>
      </c>
      <c r="D2104" s="248"/>
      <c r="E2104" s="248"/>
      <c r="F2104" s="248"/>
      <c r="G2104" s="248" t="s">
        <v>2723</v>
      </c>
      <c r="H2104" s="248"/>
      <c r="I2104" s="248"/>
      <c r="J2104" s="248"/>
      <c r="K2104" s="248"/>
      <c r="L2104" s="248"/>
      <c r="M2104" s="248" t="s">
        <v>2724</v>
      </c>
    </row>
    <row r="2105" spans="1:13" ht="20.100000000000001" customHeight="1">
      <c r="A2105" s="248"/>
      <c r="B2105" s="248" t="s">
        <v>6383</v>
      </c>
      <c r="C2105" s="248" t="s">
        <v>4036</v>
      </c>
      <c r="D2105" s="248"/>
      <c r="E2105" s="248"/>
      <c r="F2105" s="248"/>
      <c r="G2105" s="248" t="s">
        <v>3743</v>
      </c>
      <c r="H2105" s="248"/>
      <c r="I2105" s="248"/>
      <c r="J2105" s="248"/>
      <c r="K2105" s="248"/>
      <c r="L2105" s="248"/>
      <c r="M2105" s="248" t="s">
        <v>2435</v>
      </c>
    </row>
    <row r="2106" spans="1:13" ht="20.100000000000001" customHeight="1">
      <c r="A2106" s="248"/>
      <c r="B2106" s="248" t="s">
        <v>5952</v>
      </c>
      <c r="C2106" s="248" t="s">
        <v>4016</v>
      </c>
      <c r="D2106" s="248"/>
      <c r="E2106" s="248"/>
      <c r="F2106" s="248"/>
      <c r="G2106" s="248" t="s">
        <v>2725</v>
      </c>
      <c r="H2106" s="248"/>
      <c r="I2106" s="248"/>
      <c r="J2106" s="248"/>
      <c r="K2106" s="248"/>
      <c r="L2106" s="248"/>
      <c r="M2106" s="248" t="s">
        <v>3550</v>
      </c>
    </row>
    <row r="2107" spans="1:13" ht="20.100000000000001" customHeight="1">
      <c r="A2107" s="248"/>
      <c r="B2107" s="248" t="s">
        <v>5953</v>
      </c>
      <c r="C2107" s="248" t="s">
        <v>4030</v>
      </c>
      <c r="D2107" s="248"/>
      <c r="E2107" s="248"/>
      <c r="F2107" s="248"/>
      <c r="G2107" s="248" t="s">
        <v>3346</v>
      </c>
      <c r="H2107" s="248"/>
      <c r="I2107" s="248"/>
      <c r="J2107" s="248"/>
      <c r="K2107" s="248"/>
      <c r="L2107" s="248"/>
      <c r="M2107" s="248" t="s">
        <v>3550</v>
      </c>
    </row>
    <row r="2108" spans="1:13" ht="20.100000000000001" customHeight="1">
      <c r="A2108" s="248"/>
      <c r="B2108" s="248" t="s">
        <v>5954</v>
      </c>
      <c r="C2108" s="248" t="s">
        <v>4014</v>
      </c>
      <c r="D2108" s="248"/>
      <c r="E2108" s="248"/>
      <c r="F2108" s="248"/>
      <c r="G2108" s="248" t="s">
        <v>2726</v>
      </c>
      <c r="H2108" s="248"/>
      <c r="I2108" s="248"/>
      <c r="J2108" s="248"/>
      <c r="K2108" s="248"/>
      <c r="L2108" s="248"/>
      <c r="M2108" s="248" t="s">
        <v>2727</v>
      </c>
    </row>
    <row r="2109" spans="1:13" ht="20.100000000000001" customHeight="1">
      <c r="A2109" s="248"/>
      <c r="B2109" s="248" t="s">
        <v>5955</v>
      </c>
      <c r="C2109" s="248" t="s">
        <v>4012</v>
      </c>
      <c r="D2109" s="248"/>
      <c r="E2109" s="248"/>
      <c r="F2109" s="248"/>
      <c r="G2109" s="248" t="s">
        <v>2728</v>
      </c>
      <c r="H2109" s="248"/>
      <c r="I2109" s="248"/>
      <c r="J2109" s="248"/>
      <c r="K2109" s="248"/>
      <c r="L2109" s="248"/>
      <c r="M2109" s="248" t="s">
        <v>2729</v>
      </c>
    </row>
    <row r="2110" spans="1:13" ht="20.100000000000001" customHeight="1">
      <c r="A2110" s="248"/>
      <c r="B2110" s="248" t="s">
        <v>5956</v>
      </c>
      <c r="C2110" s="248" t="s">
        <v>4014</v>
      </c>
      <c r="D2110" s="248"/>
      <c r="E2110" s="248"/>
      <c r="F2110" s="248"/>
      <c r="G2110" s="248" t="s">
        <v>2730</v>
      </c>
      <c r="H2110" s="248"/>
      <c r="I2110" s="248"/>
      <c r="J2110" s="248"/>
      <c r="K2110" s="248"/>
      <c r="L2110" s="248"/>
      <c r="M2110" s="248" t="s">
        <v>3550</v>
      </c>
    </row>
    <row r="2111" spans="1:13" ht="20.100000000000001" customHeight="1">
      <c r="A2111" s="248"/>
      <c r="B2111" s="248" t="s">
        <v>5957</v>
      </c>
      <c r="C2111" s="248" t="s">
        <v>4008</v>
      </c>
      <c r="D2111" s="248"/>
      <c r="E2111" s="248"/>
      <c r="F2111" s="248"/>
      <c r="G2111" s="248" t="s">
        <v>2731</v>
      </c>
      <c r="H2111" s="248"/>
      <c r="I2111" s="248"/>
      <c r="J2111" s="248"/>
      <c r="K2111" s="248"/>
      <c r="L2111" s="248"/>
      <c r="M2111" s="248" t="s">
        <v>2732</v>
      </c>
    </row>
    <row r="2112" spans="1:13" ht="20.100000000000001" customHeight="1">
      <c r="A2112" s="248"/>
      <c r="B2112" s="248" t="s">
        <v>5958</v>
      </c>
      <c r="C2112" s="248" t="s">
        <v>4174</v>
      </c>
      <c r="D2112" s="248"/>
      <c r="E2112" s="248"/>
      <c r="F2112" s="248"/>
      <c r="G2112" s="248" t="s">
        <v>3003</v>
      </c>
      <c r="H2112" s="248"/>
      <c r="I2112" s="248"/>
      <c r="J2112" s="248"/>
      <c r="K2112" s="248"/>
      <c r="L2112" s="248"/>
      <c r="M2112" s="248" t="s">
        <v>3004</v>
      </c>
    </row>
    <row r="2113" spans="1:13" ht="20.100000000000001" customHeight="1">
      <c r="A2113" s="248"/>
      <c r="B2113" s="248" t="s">
        <v>5959</v>
      </c>
      <c r="C2113" s="248" t="s">
        <v>4025</v>
      </c>
      <c r="D2113" s="248"/>
      <c r="E2113" s="248"/>
      <c r="F2113" s="248"/>
      <c r="G2113" s="248" t="s">
        <v>6657</v>
      </c>
      <c r="H2113" s="248"/>
      <c r="I2113" s="248"/>
      <c r="J2113" s="248"/>
      <c r="K2113" s="248"/>
      <c r="L2113" s="248"/>
      <c r="M2113" s="248" t="s">
        <v>2733</v>
      </c>
    </row>
    <row r="2114" spans="1:13" ht="20.100000000000001" customHeight="1">
      <c r="A2114" s="248"/>
      <c r="B2114" s="248" t="s">
        <v>5960</v>
      </c>
      <c r="C2114" s="248" t="s">
        <v>4025</v>
      </c>
      <c r="D2114" s="248"/>
      <c r="E2114" s="248"/>
      <c r="F2114" s="248"/>
      <c r="G2114" s="248" t="s">
        <v>2734</v>
      </c>
      <c r="H2114" s="248"/>
      <c r="I2114" s="248"/>
      <c r="J2114" s="248"/>
      <c r="K2114" s="248"/>
      <c r="L2114" s="248"/>
      <c r="M2114" s="248" t="s">
        <v>2735</v>
      </c>
    </row>
    <row r="2115" spans="1:13" ht="20.100000000000001" customHeight="1">
      <c r="A2115" s="248"/>
      <c r="B2115" s="248" t="s">
        <v>5961</v>
      </c>
      <c r="C2115" s="248" t="s">
        <v>4124</v>
      </c>
      <c r="D2115" s="248"/>
      <c r="E2115" s="248"/>
      <c r="F2115" s="248"/>
      <c r="G2115" s="248" t="s">
        <v>3715</v>
      </c>
      <c r="H2115" s="248"/>
      <c r="I2115" s="248"/>
      <c r="J2115" s="248"/>
      <c r="K2115" s="248"/>
      <c r="L2115" s="248"/>
      <c r="M2115" s="248" t="s">
        <v>2736</v>
      </c>
    </row>
    <row r="2116" spans="1:13" ht="20.100000000000001" customHeight="1">
      <c r="A2116" s="248"/>
      <c r="B2116" s="248" t="s">
        <v>5962</v>
      </c>
      <c r="C2116" s="248" t="s">
        <v>4124</v>
      </c>
      <c r="D2116" s="248"/>
      <c r="E2116" s="248"/>
      <c r="F2116" s="248"/>
      <c r="G2116" s="248" t="s">
        <v>3744</v>
      </c>
      <c r="H2116" s="248"/>
      <c r="I2116" s="248"/>
      <c r="J2116" s="248"/>
      <c r="K2116" s="248"/>
      <c r="L2116" s="248"/>
      <c r="M2116" s="248" t="s">
        <v>3745</v>
      </c>
    </row>
    <row r="2117" spans="1:13" ht="20.100000000000001" customHeight="1">
      <c r="A2117" s="248"/>
      <c r="B2117" s="248" t="s">
        <v>5963</v>
      </c>
      <c r="C2117" s="248" t="s">
        <v>4025</v>
      </c>
      <c r="D2117" s="248"/>
      <c r="E2117" s="248"/>
      <c r="F2117" s="248"/>
      <c r="G2117" s="248" t="s">
        <v>2737</v>
      </c>
      <c r="H2117" s="248"/>
      <c r="I2117" s="248"/>
      <c r="J2117" s="248"/>
      <c r="K2117" s="248"/>
      <c r="L2117" s="248"/>
      <c r="M2117" s="248" t="s">
        <v>2733</v>
      </c>
    </row>
    <row r="2118" spans="1:13" ht="20.100000000000001" customHeight="1">
      <c r="A2118" s="248"/>
      <c r="B2118" s="248" t="s">
        <v>6159</v>
      </c>
      <c r="C2118" s="248" t="s">
        <v>4016</v>
      </c>
      <c r="D2118" s="248"/>
      <c r="E2118" s="248"/>
      <c r="F2118" s="248"/>
      <c r="G2118" s="248" t="s">
        <v>6160</v>
      </c>
      <c r="H2118" s="248"/>
      <c r="I2118" s="248"/>
      <c r="J2118" s="248"/>
      <c r="K2118" s="248"/>
      <c r="L2118" s="248"/>
      <c r="M2118" s="248" t="s">
        <v>6161</v>
      </c>
    </row>
    <row r="2119" spans="1:13" ht="20.100000000000001" customHeight="1">
      <c r="A2119" s="248"/>
      <c r="B2119" s="248" t="s">
        <v>5964</v>
      </c>
      <c r="C2119" s="248" t="s">
        <v>4016</v>
      </c>
      <c r="D2119" s="248"/>
      <c r="E2119" s="248"/>
      <c r="F2119" s="248"/>
      <c r="G2119" s="248" t="s">
        <v>2738</v>
      </c>
      <c r="H2119" s="248"/>
      <c r="I2119" s="248"/>
      <c r="J2119" s="248"/>
      <c r="K2119" s="248"/>
      <c r="L2119" s="248"/>
      <c r="M2119" s="248" t="s">
        <v>3550</v>
      </c>
    </row>
    <row r="2120" spans="1:13" ht="20.100000000000001" customHeight="1">
      <c r="A2120" s="248"/>
      <c r="B2120" s="248" t="s">
        <v>6206</v>
      </c>
      <c r="C2120" s="248" t="s">
        <v>4014</v>
      </c>
      <c r="D2120" s="248"/>
      <c r="E2120" s="248"/>
      <c r="F2120" s="248"/>
      <c r="G2120" s="248" t="s">
        <v>6207</v>
      </c>
      <c r="H2120" s="248"/>
      <c r="I2120" s="248"/>
      <c r="J2120" s="248"/>
      <c r="K2120" s="248"/>
      <c r="L2120" s="248"/>
      <c r="M2120" s="248" t="s">
        <v>3550</v>
      </c>
    </row>
    <row r="2121" spans="1:13" ht="20.100000000000001" customHeight="1">
      <c r="A2121" s="248"/>
      <c r="B2121" s="248" t="s">
        <v>5965</v>
      </c>
      <c r="C2121" s="248" t="s">
        <v>4016</v>
      </c>
      <c r="D2121" s="248"/>
      <c r="E2121" s="248"/>
      <c r="F2121" s="248"/>
      <c r="G2121" s="248" t="s">
        <v>2739</v>
      </c>
      <c r="H2121" s="248"/>
      <c r="I2121" s="248"/>
      <c r="J2121" s="248"/>
      <c r="K2121" s="248"/>
      <c r="L2121" s="248"/>
      <c r="M2121" s="248" t="s">
        <v>2740</v>
      </c>
    </row>
    <row r="2122" spans="1:13" ht="20.100000000000001" customHeight="1">
      <c r="A2122" s="248"/>
      <c r="B2122" s="248" t="s">
        <v>5966</v>
      </c>
      <c r="C2122" s="248" t="s">
        <v>4124</v>
      </c>
      <c r="D2122" s="248"/>
      <c r="E2122" s="248"/>
      <c r="F2122" s="248"/>
      <c r="G2122" s="248" t="s">
        <v>3239</v>
      </c>
      <c r="H2122" s="248"/>
      <c r="I2122" s="248"/>
      <c r="J2122" s="248"/>
      <c r="K2122" s="248"/>
      <c r="L2122" s="248"/>
      <c r="M2122" s="248" t="s">
        <v>3240</v>
      </c>
    </row>
    <row r="2123" spans="1:13" ht="20.100000000000001" customHeight="1">
      <c r="A2123" s="248"/>
      <c r="B2123" s="248" t="s">
        <v>5967</v>
      </c>
      <c r="C2123" s="248" t="s">
        <v>4030</v>
      </c>
      <c r="D2123" s="248"/>
      <c r="E2123" s="248"/>
      <c r="F2123" s="248"/>
      <c r="G2123" s="248" t="s">
        <v>2741</v>
      </c>
      <c r="H2123" s="248"/>
      <c r="I2123" s="248"/>
      <c r="J2123" s="248"/>
      <c r="K2123" s="248"/>
      <c r="L2123" s="248"/>
      <c r="M2123" s="248" t="s">
        <v>2742</v>
      </c>
    </row>
    <row r="2124" spans="1:13" ht="20.100000000000001" customHeight="1">
      <c r="A2124" s="248"/>
      <c r="B2124" s="248" t="s">
        <v>5968</v>
      </c>
      <c r="C2124" s="248" t="s">
        <v>4016</v>
      </c>
      <c r="D2124" s="248"/>
      <c r="E2124" s="248"/>
      <c r="F2124" s="248"/>
      <c r="G2124" s="248" t="s">
        <v>2743</v>
      </c>
      <c r="H2124" s="248"/>
      <c r="I2124" s="248"/>
      <c r="J2124" s="248"/>
      <c r="K2124" s="248"/>
      <c r="L2124" s="248"/>
      <c r="M2124" s="248" t="s">
        <v>2744</v>
      </c>
    </row>
    <row r="2125" spans="1:13" ht="20.100000000000001" customHeight="1">
      <c r="A2125" s="248"/>
      <c r="B2125" s="248" t="s">
        <v>6534</v>
      </c>
      <c r="C2125" s="248" t="s">
        <v>4003</v>
      </c>
      <c r="D2125" s="248"/>
      <c r="E2125" s="248"/>
      <c r="F2125" s="248"/>
      <c r="G2125" s="248" t="s">
        <v>6535</v>
      </c>
      <c r="H2125" s="248"/>
      <c r="I2125" s="248"/>
      <c r="J2125" s="248"/>
      <c r="K2125" s="248"/>
      <c r="L2125" s="248"/>
      <c r="M2125" s="248" t="s">
        <v>6536</v>
      </c>
    </row>
    <row r="2126" spans="1:13" ht="20.100000000000001" customHeight="1">
      <c r="A2126" s="248"/>
      <c r="B2126" s="248" t="s">
        <v>5969</v>
      </c>
      <c r="C2126" s="248" t="s">
        <v>4012</v>
      </c>
      <c r="D2126" s="248"/>
      <c r="E2126" s="248"/>
      <c r="F2126" s="248"/>
      <c r="G2126" s="248" t="s">
        <v>2745</v>
      </c>
      <c r="H2126" s="248"/>
      <c r="I2126" s="248"/>
      <c r="J2126" s="248"/>
      <c r="K2126" s="248"/>
      <c r="L2126" s="248"/>
      <c r="M2126" s="248" t="s">
        <v>2746</v>
      </c>
    </row>
    <row r="2127" spans="1:13" ht="20.100000000000001" customHeight="1">
      <c r="A2127" s="248"/>
      <c r="B2127" s="248" t="s">
        <v>5970</v>
      </c>
      <c r="C2127" s="248" t="s">
        <v>4012</v>
      </c>
      <c r="D2127" s="248"/>
      <c r="E2127" s="248"/>
      <c r="F2127" s="248"/>
      <c r="G2127" s="248" t="s">
        <v>3978</v>
      </c>
      <c r="H2127" s="248"/>
      <c r="I2127" s="248"/>
      <c r="J2127" s="248"/>
      <c r="K2127" s="248"/>
      <c r="L2127" s="248"/>
      <c r="M2127" s="248" t="s">
        <v>3979</v>
      </c>
    </row>
    <row r="2128" spans="1:13" ht="20.100000000000001" customHeight="1">
      <c r="A2128" s="248"/>
      <c r="B2128" s="248" t="s">
        <v>5971</v>
      </c>
      <c r="C2128" s="248" t="s">
        <v>4016</v>
      </c>
      <c r="D2128" s="248"/>
      <c r="E2128" s="248"/>
      <c r="F2128" s="248"/>
      <c r="G2128" s="248" t="s">
        <v>2747</v>
      </c>
      <c r="H2128" s="248"/>
      <c r="I2128" s="248"/>
      <c r="J2128" s="248"/>
      <c r="K2128" s="248"/>
      <c r="L2128" s="248"/>
      <c r="M2128" s="248" t="s">
        <v>2748</v>
      </c>
    </row>
    <row r="2129" spans="1:13" ht="20.100000000000001" customHeight="1">
      <c r="A2129" s="248"/>
      <c r="B2129" s="248" t="s">
        <v>2749</v>
      </c>
      <c r="C2129" s="248" t="s">
        <v>4003</v>
      </c>
      <c r="D2129" s="248"/>
      <c r="E2129" s="248"/>
      <c r="F2129" s="248"/>
      <c r="G2129" s="248" t="s">
        <v>3438</v>
      </c>
      <c r="H2129" s="248"/>
      <c r="I2129" s="248"/>
      <c r="J2129" s="248"/>
      <c r="K2129" s="248"/>
      <c r="L2129" s="248"/>
      <c r="M2129" s="248" t="s">
        <v>2751</v>
      </c>
    </row>
    <row r="2130" spans="1:13" ht="20.100000000000001" customHeight="1">
      <c r="A2130" s="248"/>
      <c r="B2130" s="248" t="s">
        <v>2752</v>
      </c>
      <c r="C2130" s="248" t="s">
        <v>4003</v>
      </c>
      <c r="D2130" s="248"/>
      <c r="E2130" s="248"/>
      <c r="F2130" s="248"/>
      <c r="G2130" s="248" t="s">
        <v>2750</v>
      </c>
      <c r="H2130" s="248"/>
      <c r="I2130" s="248"/>
      <c r="J2130" s="248"/>
      <c r="K2130" s="248"/>
      <c r="L2130" s="248"/>
      <c r="M2130" s="248" t="s">
        <v>2751</v>
      </c>
    </row>
    <row r="2131" spans="1:13" ht="20.100000000000001" customHeight="1">
      <c r="A2131" s="248"/>
      <c r="B2131" s="248" t="s">
        <v>5972</v>
      </c>
      <c r="C2131" s="248" t="s">
        <v>4012</v>
      </c>
      <c r="D2131" s="248"/>
      <c r="E2131" s="248"/>
      <c r="F2131" s="248"/>
      <c r="G2131" s="248" t="s">
        <v>2753</v>
      </c>
      <c r="H2131" s="248"/>
      <c r="I2131" s="248"/>
      <c r="J2131" s="248"/>
      <c r="K2131" s="248"/>
      <c r="L2131" s="248"/>
      <c r="M2131" s="248" t="s">
        <v>2754</v>
      </c>
    </row>
    <row r="2132" spans="1:13" ht="20.100000000000001" customHeight="1">
      <c r="A2132" s="248"/>
      <c r="B2132" s="248" t="s">
        <v>5973</v>
      </c>
      <c r="C2132" s="248" t="s">
        <v>4008</v>
      </c>
      <c r="D2132" s="248"/>
      <c r="E2132" s="248"/>
      <c r="F2132" s="248"/>
      <c r="G2132" s="248" t="s">
        <v>2755</v>
      </c>
      <c r="H2132" s="248"/>
      <c r="I2132" s="248"/>
      <c r="J2132" s="248"/>
      <c r="K2132" s="248"/>
      <c r="L2132" s="248"/>
      <c r="M2132" s="248" t="s">
        <v>2756</v>
      </c>
    </row>
    <row r="2133" spans="1:13" ht="20.100000000000001" customHeight="1">
      <c r="A2133" s="248"/>
      <c r="B2133" s="248" t="s">
        <v>5974</v>
      </c>
      <c r="C2133" s="248" t="s">
        <v>4003</v>
      </c>
      <c r="D2133" s="248"/>
      <c r="E2133" s="248"/>
      <c r="F2133" s="248"/>
      <c r="G2133" s="248" t="s">
        <v>2757</v>
      </c>
      <c r="H2133" s="248"/>
      <c r="I2133" s="248"/>
      <c r="J2133" s="248"/>
      <c r="K2133" s="248"/>
      <c r="L2133" s="248"/>
      <c r="M2133" s="248" t="s">
        <v>2758</v>
      </c>
    </row>
    <row r="2134" spans="1:13" ht="20.100000000000001" customHeight="1">
      <c r="A2134" s="248"/>
      <c r="B2134" s="248" t="s">
        <v>5975</v>
      </c>
      <c r="C2134" s="248" t="s">
        <v>4016</v>
      </c>
      <c r="D2134" s="248"/>
      <c r="E2134" s="248"/>
      <c r="F2134" s="248"/>
      <c r="G2134" s="248" t="s">
        <v>2759</v>
      </c>
      <c r="H2134" s="248"/>
      <c r="I2134" s="248"/>
      <c r="J2134" s="248"/>
      <c r="K2134" s="248"/>
      <c r="L2134" s="248"/>
      <c r="M2134" s="248" t="s">
        <v>2760</v>
      </c>
    </row>
    <row r="2135" spans="1:13" ht="20.100000000000001" customHeight="1">
      <c r="A2135" s="248"/>
      <c r="B2135" s="248" t="s">
        <v>5976</v>
      </c>
      <c r="C2135" s="248" t="s">
        <v>4025</v>
      </c>
      <c r="D2135" s="248"/>
      <c r="E2135" s="248"/>
      <c r="F2135" s="248"/>
      <c r="G2135" s="248" t="s">
        <v>2761</v>
      </c>
      <c r="H2135" s="248"/>
      <c r="I2135" s="248"/>
      <c r="J2135" s="248"/>
      <c r="K2135" s="248"/>
      <c r="L2135" s="248"/>
      <c r="M2135" s="248" t="s">
        <v>2762</v>
      </c>
    </row>
    <row r="2136" spans="1:13" ht="20.100000000000001" customHeight="1">
      <c r="A2136" s="248"/>
      <c r="B2136" s="248" t="s">
        <v>5977</v>
      </c>
      <c r="C2136" s="248" t="s">
        <v>4014</v>
      </c>
      <c r="D2136" s="248"/>
      <c r="E2136" s="248"/>
      <c r="F2136" s="248"/>
      <c r="G2136" s="248" t="s">
        <v>3490</v>
      </c>
      <c r="H2136" s="248"/>
      <c r="I2136" s="248"/>
      <c r="J2136" s="248"/>
      <c r="K2136" s="248"/>
      <c r="L2136" s="248"/>
      <c r="M2136" s="248" t="s">
        <v>3491</v>
      </c>
    </row>
    <row r="2137" spans="1:13" ht="20.100000000000001" customHeight="1">
      <c r="A2137" s="248"/>
      <c r="B2137" s="248" t="s">
        <v>5978</v>
      </c>
      <c r="C2137" s="248" t="s">
        <v>4025</v>
      </c>
      <c r="D2137" s="248"/>
      <c r="E2137" s="248"/>
      <c r="F2137" s="248"/>
      <c r="G2137" s="248" t="s">
        <v>2763</v>
      </c>
      <c r="H2137" s="248"/>
      <c r="I2137" s="248"/>
      <c r="J2137" s="248"/>
      <c r="K2137" s="248"/>
      <c r="L2137" s="248"/>
      <c r="M2137" s="248" t="s">
        <v>2764</v>
      </c>
    </row>
    <row r="2138" spans="1:13" ht="20.100000000000001" customHeight="1">
      <c r="A2138" s="248"/>
      <c r="B2138" s="248" t="s">
        <v>5979</v>
      </c>
      <c r="C2138" s="248" t="s">
        <v>4036</v>
      </c>
      <c r="D2138" s="248"/>
      <c r="E2138" s="248"/>
      <c r="F2138" s="248"/>
      <c r="G2138" s="248" t="s">
        <v>2765</v>
      </c>
      <c r="H2138" s="248"/>
      <c r="I2138" s="248"/>
      <c r="J2138" s="248"/>
      <c r="K2138" s="248"/>
      <c r="L2138" s="248"/>
      <c r="M2138" s="248" t="s">
        <v>2766</v>
      </c>
    </row>
    <row r="2139" spans="1:13" ht="20.100000000000001" customHeight="1">
      <c r="A2139" s="248"/>
      <c r="B2139" s="248" t="s">
        <v>6162</v>
      </c>
      <c r="C2139" s="248" t="s">
        <v>4036</v>
      </c>
      <c r="D2139" s="248"/>
      <c r="E2139" s="248"/>
      <c r="F2139" s="248"/>
      <c r="G2139" s="248" t="s">
        <v>6163</v>
      </c>
      <c r="H2139" s="248"/>
      <c r="I2139" s="248"/>
      <c r="J2139" s="248"/>
      <c r="K2139" s="248"/>
      <c r="L2139" s="248"/>
      <c r="M2139" s="248" t="s">
        <v>6164</v>
      </c>
    </row>
    <row r="2140" spans="1:13" ht="20.100000000000001" customHeight="1">
      <c r="A2140" s="248"/>
      <c r="B2140" s="248" t="s">
        <v>5980</v>
      </c>
      <c r="C2140" s="248" t="s">
        <v>4016</v>
      </c>
      <c r="D2140" s="248"/>
      <c r="E2140" s="248"/>
      <c r="F2140" s="248"/>
      <c r="G2140" s="248" t="s">
        <v>2767</v>
      </c>
      <c r="H2140" s="248"/>
      <c r="I2140" s="248"/>
      <c r="J2140" s="248"/>
      <c r="K2140" s="248"/>
      <c r="L2140" s="248"/>
      <c r="M2140" s="248" t="s">
        <v>2768</v>
      </c>
    </row>
    <row r="2141" spans="1:13" ht="20.100000000000001" customHeight="1">
      <c r="A2141" s="248"/>
      <c r="B2141" s="248" t="s">
        <v>5981</v>
      </c>
      <c r="C2141" s="248" t="s">
        <v>4003</v>
      </c>
      <c r="D2141" s="248"/>
      <c r="E2141" s="248"/>
      <c r="F2141" s="248"/>
      <c r="G2141" s="248" t="s">
        <v>2769</v>
      </c>
      <c r="H2141" s="248"/>
      <c r="I2141" s="248"/>
      <c r="J2141" s="248"/>
      <c r="K2141" s="248"/>
      <c r="L2141" s="248"/>
      <c r="M2141" s="248" t="s">
        <v>3550</v>
      </c>
    </row>
    <row r="2142" spans="1:13" ht="20.100000000000001" customHeight="1">
      <c r="A2142" s="248"/>
      <c r="B2142" s="248" t="s">
        <v>5982</v>
      </c>
      <c r="C2142" s="248" t="s">
        <v>4030</v>
      </c>
      <c r="D2142" s="248"/>
      <c r="E2142" s="248"/>
      <c r="F2142" s="248"/>
      <c r="G2142" s="248" t="s">
        <v>2770</v>
      </c>
      <c r="H2142" s="248"/>
      <c r="I2142" s="248"/>
      <c r="J2142" s="248"/>
      <c r="K2142" s="248"/>
      <c r="L2142" s="248"/>
      <c r="M2142" s="248" t="s">
        <v>2771</v>
      </c>
    </row>
    <row r="2143" spans="1:13" ht="20.100000000000001" customHeight="1">
      <c r="A2143" s="248"/>
      <c r="B2143" s="248" t="s">
        <v>5983</v>
      </c>
      <c r="C2143" s="248" t="s">
        <v>4012</v>
      </c>
      <c r="D2143" s="248"/>
      <c r="E2143" s="248"/>
      <c r="F2143" s="248"/>
      <c r="G2143" s="248" t="s">
        <v>2772</v>
      </c>
      <c r="H2143" s="248"/>
      <c r="I2143" s="248"/>
      <c r="J2143" s="248"/>
      <c r="K2143" s="248"/>
      <c r="L2143" s="248"/>
      <c r="M2143" s="248" t="s">
        <v>1915</v>
      </c>
    </row>
    <row r="2144" spans="1:13" ht="20.100000000000001" customHeight="1">
      <c r="A2144" s="248"/>
      <c r="B2144" s="248" t="s">
        <v>5984</v>
      </c>
      <c r="C2144" s="248" t="s">
        <v>4124</v>
      </c>
      <c r="D2144" s="248"/>
      <c r="E2144" s="248"/>
      <c r="F2144" s="248"/>
      <c r="G2144" s="248" t="s">
        <v>2773</v>
      </c>
      <c r="H2144" s="248"/>
      <c r="I2144" s="248"/>
      <c r="J2144" s="248"/>
      <c r="K2144" s="248"/>
      <c r="L2144" s="248"/>
      <c r="M2144" s="248" t="s">
        <v>2774</v>
      </c>
    </row>
    <row r="2145" spans="1:13" ht="20.100000000000001" customHeight="1">
      <c r="A2145" s="248"/>
      <c r="B2145" s="248" t="s">
        <v>5985</v>
      </c>
      <c r="C2145" s="248" t="s">
        <v>4016</v>
      </c>
      <c r="D2145" s="248"/>
      <c r="E2145" s="248"/>
      <c r="F2145" s="248"/>
      <c r="G2145" s="248" t="s">
        <v>2775</v>
      </c>
      <c r="H2145" s="248"/>
      <c r="I2145" s="248"/>
      <c r="J2145" s="248"/>
      <c r="K2145" s="248"/>
      <c r="L2145" s="248"/>
      <c r="M2145" s="248" t="s">
        <v>2776</v>
      </c>
    </row>
    <row r="2146" spans="1:13" ht="20.100000000000001" customHeight="1">
      <c r="A2146" s="248"/>
      <c r="B2146" s="248" t="s">
        <v>5986</v>
      </c>
      <c r="C2146" s="248" t="s">
        <v>4036</v>
      </c>
      <c r="D2146" s="248"/>
      <c r="E2146" s="248"/>
      <c r="F2146" s="248"/>
      <c r="G2146" s="248" t="s">
        <v>2777</v>
      </c>
      <c r="H2146" s="248"/>
      <c r="I2146" s="248"/>
      <c r="J2146" s="248"/>
      <c r="K2146" s="248"/>
      <c r="L2146" s="248"/>
      <c r="M2146" s="248" t="s">
        <v>2778</v>
      </c>
    </row>
    <row r="2147" spans="1:13" ht="20.100000000000001" customHeight="1">
      <c r="A2147" s="248"/>
      <c r="B2147" s="248" t="s">
        <v>5987</v>
      </c>
      <c r="C2147" s="248" t="s">
        <v>4005</v>
      </c>
      <c r="D2147" s="248"/>
      <c r="E2147" s="248"/>
      <c r="F2147" s="248"/>
      <c r="G2147" s="248" t="s">
        <v>3218</v>
      </c>
      <c r="H2147" s="248"/>
      <c r="I2147" s="248"/>
      <c r="J2147" s="248"/>
      <c r="K2147" s="248"/>
      <c r="L2147" s="248"/>
      <c r="M2147" s="248" t="s">
        <v>2779</v>
      </c>
    </row>
    <row r="2148" spans="1:13" ht="20.100000000000001" customHeight="1">
      <c r="A2148" s="248"/>
      <c r="B2148" s="248" t="s">
        <v>5988</v>
      </c>
      <c r="C2148" s="248" t="s">
        <v>4016</v>
      </c>
      <c r="D2148" s="248"/>
      <c r="E2148" s="248"/>
      <c r="F2148" s="248"/>
      <c r="G2148" s="248" t="s">
        <v>2780</v>
      </c>
      <c r="H2148" s="248"/>
      <c r="I2148" s="248"/>
      <c r="J2148" s="248"/>
      <c r="K2148" s="248"/>
      <c r="L2148" s="248"/>
      <c r="M2148" s="248" t="s">
        <v>3550</v>
      </c>
    </row>
    <row r="2149" spans="1:13" ht="20.100000000000001" customHeight="1">
      <c r="A2149" s="248"/>
      <c r="B2149" s="248" t="s">
        <v>5989</v>
      </c>
      <c r="C2149" s="248" t="s">
        <v>4016</v>
      </c>
      <c r="D2149" s="248"/>
      <c r="E2149" s="248"/>
      <c r="F2149" s="248"/>
      <c r="G2149" s="248" t="s">
        <v>2781</v>
      </c>
      <c r="H2149" s="248"/>
      <c r="I2149" s="248"/>
      <c r="J2149" s="248"/>
      <c r="K2149" s="248"/>
      <c r="L2149" s="248"/>
      <c r="M2149" s="248" t="s">
        <v>2782</v>
      </c>
    </row>
    <row r="2150" spans="1:13" ht="20.100000000000001" customHeight="1">
      <c r="A2150" s="248"/>
      <c r="B2150" s="248" t="s">
        <v>5990</v>
      </c>
      <c r="C2150" s="248" t="s">
        <v>4025</v>
      </c>
      <c r="D2150" s="248"/>
      <c r="E2150" s="248"/>
      <c r="F2150" s="248"/>
      <c r="G2150" s="248" t="s">
        <v>2783</v>
      </c>
      <c r="H2150" s="248"/>
      <c r="I2150" s="248"/>
      <c r="J2150" s="248"/>
      <c r="K2150" s="248"/>
      <c r="L2150" s="248"/>
      <c r="M2150" s="248" t="s">
        <v>2784</v>
      </c>
    </row>
    <row r="2151" spans="1:13" ht="20.100000000000001" customHeight="1">
      <c r="A2151" s="248"/>
      <c r="B2151" s="248" t="s">
        <v>5991</v>
      </c>
      <c r="C2151" s="248" t="s">
        <v>4014</v>
      </c>
      <c r="D2151" s="248"/>
      <c r="E2151" s="248"/>
      <c r="F2151" s="248"/>
      <c r="G2151" s="248" t="s">
        <v>2785</v>
      </c>
      <c r="H2151" s="248"/>
      <c r="I2151" s="248"/>
      <c r="J2151" s="248"/>
      <c r="K2151" s="248"/>
      <c r="L2151" s="248"/>
      <c r="M2151" s="248" t="s">
        <v>2786</v>
      </c>
    </row>
    <row r="2152" spans="1:13" ht="20.100000000000001" customHeight="1">
      <c r="A2152" s="248"/>
      <c r="B2152" s="248" t="s">
        <v>6208</v>
      </c>
      <c r="C2152" s="248" t="s">
        <v>4036</v>
      </c>
      <c r="D2152" s="248"/>
      <c r="E2152" s="248"/>
      <c r="F2152" s="248"/>
      <c r="G2152" s="248" t="s">
        <v>6209</v>
      </c>
      <c r="H2152" s="248"/>
      <c r="I2152" s="248"/>
      <c r="J2152" s="248"/>
      <c r="K2152" s="248"/>
      <c r="L2152" s="248"/>
      <c r="M2152" s="248" t="s">
        <v>3550</v>
      </c>
    </row>
    <row r="2153" spans="1:13" ht="20.100000000000001" customHeight="1">
      <c r="A2153" s="248"/>
      <c r="B2153" s="248" t="s">
        <v>5992</v>
      </c>
      <c r="C2153" s="248" t="s">
        <v>4016</v>
      </c>
      <c r="D2153" s="248"/>
      <c r="E2153" s="248"/>
      <c r="F2153" s="248"/>
      <c r="G2153" s="248" t="s">
        <v>2787</v>
      </c>
      <c r="H2153" s="248"/>
      <c r="I2153" s="248"/>
      <c r="J2153" s="248"/>
      <c r="K2153" s="248"/>
      <c r="L2153" s="248"/>
      <c r="M2153" s="248" t="s">
        <v>2788</v>
      </c>
    </row>
    <row r="2154" spans="1:13" ht="20.100000000000001" customHeight="1">
      <c r="A2154" s="248"/>
      <c r="B2154" s="248" t="s">
        <v>5993</v>
      </c>
      <c r="C2154" s="248" t="s">
        <v>4030</v>
      </c>
      <c r="D2154" s="248"/>
      <c r="E2154" s="248"/>
      <c r="F2154" s="248"/>
      <c r="G2154" s="248" t="s">
        <v>2789</v>
      </c>
      <c r="H2154" s="248"/>
      <c r="I2154" s="248"/>
      <c r="J2154" s="248"/>
      <c r="K2154" s="248"/>
      <c r="L2154" s="248"/>
      <c r="M2154" s="248" t="s">
        <v>2790</v>
      </c>
    </row>
    <row r="2155" spans="1:13" ht="20.100000000000001" customHeight="1">
      <c r="A2155" s="248"/>
      <c r="B2155" s="248" t="s">
        <v>5994</v>
      </c>
      <c r="C2155" s="248" t="s">
        <v>4271</v>
      </c>
      <c r="D2155" s="248"/>
      <c r="E2155" s="248"/>
      <c r="F2155" s="248"/>
      <c r="G2155" s="248" t="s">
        <v>3890</v>
      </c>
      <c r="H2155" s="248"/>
      <c r="I2155" s="248"/>
      <c r="J2155" s="248"/>
      <c r="K2155" s="248"/>
      <c r="L2155" s="248"/>
      <c r="M2155" s="248" t="s">
        <v>2791</v>
      </c>
    </row>
    <row r="2156" spans="1:13" ht="20.100000000000001" customHeight="1">
      <c r="A2156" s="248"/>
      <c r="B2156" s="248" t="s">
        <v>5995</v>
      </c>
      <c r="C2156" s="248" t="s">
        <v>4014</v>
      </c>
      <c r="D2156" s="248"/>
      <c r="E2156" s="248"/>
      <c r="F2156" s="248"/>
      <c r="G2156" s="248" t="s">
        <v>6424</v>
      </c>
      <c r="H2156" s="248"/>
      <c r="I2156" s="248"/>
      <c r="J2156" s="248"/>
      <c r="K2156" s="248"/>
      <c r="L2156" s="248"/>
      <c r="M2156" s="248" t="s">
        <v>2792</v>
      </c>
    </row>
    <row r="2157" spans="1:13" ht="20.100000000000001" customHeight="1">
      <c r="A2157" s="248"/>
      <c r="B2157" s="248" t="s">
        <v>5996</v>
      </c>
      <c r="C2157" s="248" t="s">
        <v>4014</v>
      </c>
      <c r="D2157" s="248"/>
      <c r="E2157" s="248"/>
      <c r="F2157" s="248"/>
      <c r="G2157" s="248" t="s">
        <v>2793</v>
      </c>
      <c r="H2157" s="248"/>
      <c r="I2157" s="248"/>
      <c r="J2157" s="248"/>
      <c r="K2157" s="248"/>
      <c r="L2157" s="248"/>
      <c r="M2157" s="248" t="s">
        <v>2794</v>
      </c>
    </row>
    <row r="2158" spans="1:13" ht="20.100000000000001" customHeight="1">
      <c r="A2158" s="248"/>
      <c r="B2158" s="248" t="s">
        <v>5997</v>
      </c>
      <c r="C2158" s="248" t="s">
        <v>4003</v>
      </c>
      <c r="D2158" s="248"/>
      <c r="E2158" s="248"/>
      <c r="F2158" s="248"/>
      <c r="G2158" s="248" t="s">
        <v>2795</v>
      </c>
      <c r="H2158" s="248"/>
      <c r="I2158" s="248"/>
      <c r="J2158" s="248"/>
      <c r="K2158" s="248"/>
      <c r="L2158" s="248"/>
      <c r="M2158" s="248" t="s">
        <v>2796</v>
      </c>
    </row>
    <row r="2159" spans="1:13" ht="20.100000000000001" customHeight="1">
      <c r="A2159" s="248"/>
      <c r="B2159" s="248" t="s">
        <v>5998</v>
      </c>
      <c r="C2159" s="248" t="s">
        <v>4036</v>
      </c>
      <c r="D2159" s="248"/>
      <c r="E2159" s="248"/>
      <c r="F2159" s="248"/>
      <c r="G2159" s="248" t="s">
        <v>3765</v>
      </c>
      <c r="H2159" s="248"/>
      <c r="I2159" s="248"/>
      <c r="J2159" s="248"/>
      <c r="K2159" s="248"/>
      <c r="L2159" s="248"/>
      <c r="M2159" s="248" t="s">
        <v>3766</v>
      </c>
    </row>
    <row r="2160" spans="1:13" ht="20.100000000000001" customHeight="1">
      <c r="A2160" s="248"/>
      <c r="B2160" s="248" t="s">
        <v>5999</v>
      </c>
      <c r="C2160" s="248" t="s">
        <v>4008</v>
      </c>
      <c r="D2160" s="248"/>
      <c r="E2160" s="248"/>
      <c r="F2160" s="248"/>
      <c r="G2160" s="248" t="s">
        <v>2797</v>
      </c>
      <c r="H2160" s="248"/>
      <c r="I2160" s="248"/>
      <c r="J2160" s="248"/>
      <c r="K2160" s="248"/>
      <c r="L2160" s="248"/>
      <c r="M2160" s="248" t="s">
        <v>2798</v>
      </c>
    </row>
    <row r="2161" spans="1:13" ht="20.100000000000001" customHeight="1">
      <c r="A2161" s="248"/>
      <c r="B2161" s="248" t="s">
        <v>6000</v>
      </c>
      <c r="C2161" s="248" t="s">
        <v>4016</v>
      </c>
      <c r="D2161" s="248"/>
      <c r="E2161" s="248"/>
      <c r="F2161" s="248"/>
      <c r="G2161" s="248" t="s">
        <v>3149</v>
      </c>
      <c r="H2161" s="248"/>
      <c r="I2161" s="248"/>
      <c r="J2161" s="248"/>
      <c r="K2161" s="248"/>
      <c r="L2161" s="248"/>
      <c r="M2161" s="248" t="s">
        <v>2799</v>
      </c>
    </row>
    <row r="2162" spans="1:13" ht="20.100000000000001" customHeight="1">
      <c r="A2162" s="248"/>
      <c r="B2162" s="248" t="s">
        <v>6001</v>
      </c>
      <c r="C2162" s="248" t="s">
        <v>4016</v>
      </c>
      <c r="D2162" s="248"/>
      <c r="E2162" s="248"/>
      <c r="F2162" s="248"/>
      <c r="G2162" s="248" t="s">
        <v>2800</v>
      </c>
      <c r="H2162" s="248"/>
      <c r="I2162" s="248"/>
      <c r="J2162" s="248"/>
      <c r="K2162" s="248"/>
      <c r="L2162" s="248"/>
      <c r="M2162" s="248" t="s">
        <v>3150</v>
      </c>
    </row>
    <row r="2163" spans="1:13" ht="20.100000000000001" customHeight="1">
      <c r="A2163" s="248"/>
      <c r="B2163" s="248" t="s">
        <v>6002</v>
      </c>
      <c r="C2163" s="248" t="s">
        <v>4003</v>
      </c>
      <c r="D2163" s="248"/>
      <c r="E2163" s="248"/>
      <c r="F2163" s="248"/>
      <c r="G2163" s="248" t="s">
        <v>2801</v>
      </c>
      <c r="H2163" s="248"/>
      <c r="I2163" s="248"/>
      <c r="J2163" s="248"/>
      <c r="K2163" s="248"/>
      <c r="L2163" s="248"/>
      <c r="M2163" s="248" t="s">
        <v>2802</v>
      </c>
    </row>
    <row r="2164" spans="1:13" ht="20.100000000000001" customHeight="1">
      <c r="A2164" s="248"/>
      <c r="B2164" s="248" t="s">
        <v>6003</v>
      </c>
      <c r="C2164" s="248" t="s">
        <v>4025</v>
      </c>
      <c r="D2164" s="248"/>
      <c r="E2164" s="248"/>
      <c r="F2164" s="248"/>
      <c r="G2164" s="248" t="s">
        <v>2803</v>
      </c>
      <c r="H2164" s="248"/>
      <c r="I2164" s="248"/>
      <c r="J2164" s="248"/>
      <c r="K2164" s="248"/>
      <c r="L2164" s="248"/>
      <c r="M2164" s="248" t="s">
        <v>2804</v>
      </c>
    </row>
    <row r="2165" spans="1:13" ht="20.100000000000001" customHeight="1">
      <c r="A2165" s="248"/>
      <c r="B2165" s="248" t="s">
        <v>6004</v>
      </c>
      <c r="C2165" s="248" t="s">
        <v>4030</v>
      </c>
      <c r="D2165" s="248"/>
      <c r="E2165" s="248"/>
      <c r="F2165" s="248"/>
      <c r="G2165" s="248" t="s">
        <v>2805</v>
      </c>
      <c r="H2165" s="248"/>
      <c r="I2165" s="248"/>
      <c r="J2165" s="248"/>
      <c r="K2165" s="248"/>
      <c r="L2165" s="248"/>
      <c r="M2165" s="248" t="s">
        <v>2806</v>
      </c>
    </row>
    <row r="2166" spans="1:13" ht="20.100000000000001" customHeight="1">
      <c r="A2166" s="248"/>
      <c r="B2166" s="248" t="s">
        <v>6005</v>
      </c>
      <c r="C2166" s="248" t="s">
        <v>4012</v>
      </c>
      <c r="D2166" s="248"/>
      <c r="E2166" s="248"/>
      <c r="F2166" s="248"/>
      <c r="G2166" s="248" t="s">
        <v>2807</v>
      </c>
      <c r="H2166" s="248"/>
      <c r="I2166" s="248"/>
      <c r="J2166" s="248"/>
      <c r="K2166" s="248"/>
      <c r="L2166" s="248"/>
      <c r="M2166" s="248" t="s">
        <v>2808</v>
      </c>
    </row>
    <row r="2167" spans="1:13" ht="20.100000000000001" customHeight="1">
      <c r="A2167" s="248"/>
      <c r="B2167" s="248" t="s">
        <v>6006</v>
      </c>
      <c r="C2167" s="248" t="s">
        <v>4003</v>
      </c>
      <c r="D2167" s="248"/>
      <c r="E2167" s="248"/>
      <c r="F2167" s="248"/>
      <c r="G2167" s="248" t="s">
        <v>2809</v>
      </c>
      <c r="H2167" s="248"/>
      <c r="I2167" s="248"/>
      <c r="J2167" s="248"/>
      <c r="K2167" s="248"/>
      <c r="L2167" s="248"/>
      <c r="M2167" s="248" t="s">
        <v>2810</v>
      </c>
    </row>
    <row r="2168" spans="1:13" ht="20.100000000000001" customHeight="1">
      <c r="A2168" s="248"/>
      <c r="B2168" s="248" t="s">
        <v>6007</v>
      </c>
      <c r="C2168" s="248" t="s">
        <v>4030</v>
      </c>
      <c r="D2168" s="248"/>
      <c r="E2168" s="248"/>
      <c r="F2168" s="248"/>
      <c r="G2168" s="248" t="s">
        <v>2811</v>
      </c>
      <c r="H2168" s="248"/>
      <c r="I2168" s="248"/>
      <c r="J2168" s="248"/>
      <c r="K2168" s="248"/>
      <c r="L2168" s="248"/>
      <c r="M2168" s="248" t="s">
        <v>2812</v>
      </c>
    </row>
    <row r="2169" spans="1:13" ht="20.100000000000001" customHeight="1">
      <c r="A2169" s="248"/>
      <c r="B2169" s="248" t="s">
        <v>6008</v>
      </c>
      <c r="C2169" s="248" t="s">
        <v>4016</v>
      </c>
      <c r="D2169" s="248"/>
      <c r="E2169" s="248"/>
      <c r="F2169" s="248"/>
      <c r="G2169" s="248" t="s">
        <v>2813</v>
      </c>
      <c r="H2169" s="248"/>
      <c r="I2169" s="248"/>
      <c r="J2169" s="248"/>
      <c r="K2169" s="248"/>
      <c r="L2169" s="248"/>
      <c r="M2169" s="248" t="s">
        <v>2814</v>
      </c>
    </row>
    <row r="2170" spans="1:13" ht="20.100000000000001" customHeight="1">
      <c r="A2170" s="248"/>
      <c r="B2170" s="248" t="s">
        <v>6009</v>
      </c>
      <c r="C2170" s="248" t="s">
        <v>4016</v>
      </c>
      <c r="D2170" s="248"/>
      <c r="E2170" s="248"/>
      <c r="F2170" s="248"/>
      <c r="G2170" s="248" t="s">
        <v>2815</v>
      </c>
      <c r="H2170" s="248"/>
      <c r="I2170" s="248"/>
      <c r="J2170" s="248"/>
      <c r="K2170" s="248"/>
      <c r="L2170" s="248"/>
      <c r="M2170" s="248" t="s">
        <v>2816</v>
      </c>
    </row>
    <row r="2171" spans="1:13" ht="20.100000000000001" customHeight="1">
      <c r="A2171" s="248"/>
      <c r="B2171" s="248" t="s">
        <v>6010</v>
      </c>
      <c r="C2171" s="248" t="s">
        <v>4030</v>
      </c>
      <c r="D2171" s="248"/>
      <c r="E2171" s="248"/>
      <c r="F2171" s="248"/>
      <c r="G2171" s="248" t="s">
        <v>3405</v>
      </c>
      <c r="H2171" s="248"/>
      <c r="I2171" s="248"/>
      <c r="J2171" s="248"/>
      <c r="K2171" s="248"/>
      <c r="L2171" s="248"/>
      <c r="M2171" s="248" t="s">
        <v>2817</v>
      </c>
    </row>
    <row r="2172" spans="1:13" ht="20.100000000000001" customHeight="1">
      <c r="A2172" s="248"/>
      <c r="B2172" s="248" t="s">
        <v>6011</v>
      </c>
      <c r="C2172" s="248" t="s">
        <v>4025</v>
      </c>
      <c r="D2172" s="248"/>
      <c r="E2172" s="248"/>
      <c r="F2172" s="248"/>
      <c r="G2172" s="248" t="s">
        <v>2818</v>
      </c>
      <c r="H2172" s="248"/>
      <c r="I2172" s="248"/>
      <c r="J2172" s="248"/>
      <c r="K2172" s="248"/>
      <c r="L2172" s="248"/>
      <c r="M2172" s="248" t="s">
        <v>2819</v>
      </c>
    </row>
    <row r="2173" spans="1:13" ht="20.100000000000001" customHeight="1">
      <c r="A2173" s="248"/>
      <c r="B2173" s="248" t="s">
        <v>6012</v>
      </c>
      <c r="C2173" s="248" t="s">
        <v>4036</v>
      </c>
      <c r="D2173" s="248"/>
      <c r="E2173" s="248"/>
      <c r="F2173" s="248"/>
      <c r="G2173" s="248" t="s">
        <v>2820</v>
      </c>
      <c r="H2173" s="248"/>
      <c r="I2173" s="248"/>
      <c r="J2173" s="248"/>
      <c r="K2173" s="248"/>
      <c r="L2173" s="248"/>
      <c r="M2173" s="248" t="s">
        <v>2821</v>
      </c>
    </row>
    <row r="2174" spans="1:13" ht="20.100000000000001" customHeight="1">
      <c r="A2174" s="248"/>
      <c r="B2174" s="248" t="s">
        <v>6013</v>
      </c>
      <c r="C2174" s="248" t="s">
        <v>4014</v>
      </c>
      <c r="D2174" s="248"/>
      <c r="E2174" s="248"/>
      <c r="F2174" s="248"/>
      <c r="G2174" s="248" t="s">
        <v>2822</v>
      </c>
      <c r="H2174" s="248"/>
      <c r="I2174" s="248"/>
      <c r="J2174" s="248"/>
      <c r="K2174" s="248"/>
      <c r="L2174" s="248"/>
      <c r="M2174" s="248" t="s">
        <v>2823</v>
      </c>
    </row>
    <row r="2175" spans="1:13" ht="20.100000000000001" customHeight="1">
      <c r="A2175" s="248"/>
      <c r="B2175" s="248" t="s">
        <v>6014</v>
      </c>
      <c r="C2175" s="248" t="s">
        <v>4014</v>
      </c>
      <c r="D2175" s="248"/>
      <c r="E2175" s="248"/>
      <c r="F2175" s="248"/>
      <c r="G2175" s="248" t="s">
        <v>3030</v>
      </c>
      <c r="H2175" s="248"/>
      <c r="I2175" s="248"/>
      <c r="J2175" s="248"/>
      <c r="K2175" s="248"/>
      <c r="L2175" s="248"/>
      <c r="M2175" s="248" t="s">
        <v>3592</v>
      </c>
    </row>
    <row r="2176" spans="1:13" ht="20.100000000000001" customHeight="1">
      <c r="A2176" s="248"/>
      <c r="B2176" s="248" t="s">
        <v>6015</v>
      </c>
      <c r="C2176" s="248" t="s">
        <v>4121</v>
      </c>
      <c r="D2176" s="248"/>
      <c r="E2176" s="248"/>
      <c r="F2176" s="248"/>
      <c r="G2176" s="248" t="s">
        <v>3114</v>
      </c>
      <c r="H2176" s="248"/>
      <c r="I2176" s="248"/>
      <c r="J2176" s="248"/>
      <c r="K2176" s="248"/>
      <c r="L2176" s="248"/>
      <c r="M2176" s="248" t="s">
        <v>2824</v>
      </c>
    </row>
    <row r="2177" spans="1:13" ht="20.100000000000001" customHeight="1">
      <c r="A2177" s="248"/>
      <c r="B2177" s="248" t="s">
        <v>6016</v>
      </c>
      <c r="C2177" s="248" t="s">
        <v>4050</v>
      </c>
      <c r="D2177" s="248"/>
      <c r="E2177" s="248"/>
      <c r="F2177" s="248"/>
      <c r="G2177" s="248" t="s">
        <v>2825</v>
      </c>
      <c r="H2177" s="248"/>
      <c r="I2177" s="248"/>
      <c r="J2177" s="248"/>
      <c r="K2177" s="248"/>
      <c r="L2177" s="248"/>
      <c r="M2177" s="248" t="s">
        <v>2826</v>
      </c>
    </row>
    <row r="2178" spans="1:13" ht="20.100000000000001" customHeight="1">
      <c r="A2178" s="248"/>
      <c r="B2178" s="248" t="s">
        <v>6017</v>
      </c>
      <c r="C2178" s="248" t="s">
        <v>4030</v>
      </c>
      <c r="D2178" s="248"/>
      <c r="E2178" s="248"/>
      <c r="F2178" s="248"/>
      <c r="G2178" s="248" t="s">
        <v>3817</v>
      </c>
      <c r="H2178" s="248"/>
      <c r="I2178" s="248"/>
      <c r="J2178" s="248"/>
      <c r="K2178" s="248"/>
      <c r="L2178" s="248"/>
      <c r="M2178" s="248" t="s">
        <v>2827</v>
      </c>
    </row>
    <row r="2179" spans="1:13" ht="20.100000000000001" customHeight="1">
      <c r="A2179" s="248"/>
      <c r="B2179" s="248" t="s">
        <v>6018</v>
      </c>
      <c r="C2179" s="248" t="s">
        <v>4030</v>
      </c>
      <c r="D2179" s="248"/>
      <c r="E2179" s="248"/>
      <c r="F2179" s="248"/>
      <c r="G2179" s="248" t="s">
        <v>3406</v>
      </c>
      <c r="H2179" s="248"/>
      <c r="I2179" s="248"/>
      <c r="J2179" s="248"/>
      <c r="K2179" s="248"/>
      <c r="L2179" s="248"/>
      <c r="M2179" s="248" t="s">
        <v>1126</v>
      </c>
    </row>
    <row r="2180" spans="1:13" ht="20.100000000000001" customHeight="1">
      <c r="A2180" s="248"/>
      <c r="B2180" s="248" t="s">
        <v>6019</v>
      </c>
      <c r="C2180" s="248" t="s">
        <v>4025</v>
      </c>
      <c r="D2180" s="248"/>
      <c r="E2180" s="248"/>
      <c r="F2180" s="248"/>
      <c r="G2180" s="248" t="s">
        <v>3746</v>
      </c>
      <c r="H2180" s="248"/>
      <c r="I2180" s="248"/>
      <c r="J2180" s="248"/>
      <c r="K2180" s="248"/>
      <c r="L2180" s="248"/>
      <c r="M2180" s="248" t="s">
        <v>3747</v>
      </c>
    </row>
    <row r="2181" spans="1:13" ht="20.100000000000001" customHeight="1">
      <c r="A2181" s="248"/>
      <c r="B2181" s="248" t="s">
        <v>6020</v>
      </c>
      <c r="C2181" s="248" t="s">
        <v>4012</v>
      </c>
      <c r="D2181" s="248"/>
      <c r="E2181" s="248"/>
      <c r="F2181" s="248"/>
      <c r="G2181" s="248" t="s">
        <v>2828</v>
      </c>
      <c r="H2181" s="248"/>
      <c r="I2181" s="248"/>
      <c r="J2181" s="248"/>
      <c r="K2181" s="248"/>
      <c r="L2181" s="248"/>
      <c r="M2181" s="248" t="s">
        <v>2829</v>
      </c>
    </row>
    <row r="2182" spans="1:13" ht="20.100000000000001" customHeight="1">
      <c r="A2182" s="248"/>
      <c r="B2182" s="248" t="s">
        <v>6021</v>
      </c>
      <c r="C2182" s="248" t="s">
        <v>4008</v>
      </c>
      <c r="D2182" s="248"/>
      <c r="E2182" s="248"/>
      <c r="F2182" s="248"/>
      <c r="G2182" s="248" t="s">
        <v>2830</v>
      </c>
      <c r="H2182" s="248"/>
      <c r="I2182" s="248"/>
      <c r="J2182" s="248"/>
      <c r="K2182" s="248"/>
      <c r="L2182" s="248"/>
      <c r="M2182" s="248" t="s">
        <v>2831</v>
      </c>
    </row>
    <row r="2183" spans="1:13" ht="20.100000000000001" customHeight="1">
      <c r="A2183" s="248"/>
      <c r="B2183" s="248" t="s">
        <v>6022</v>
      </c>
      <c r="C2183" s="248" t="s">
        <v>4030</v>
      </c>
      <c r="D2183" s="248"/>
      <c r="E2183" s="248"/>
      <c r="F2183" s="248"/>
      <c r="G2183" s="248" t="s">
        <v>2832</v>
      </c>
      <c r="H2183" s="248"/>
      <c r="I2183" s="248"/>
      <c r="J2183" s="248"/>
      <c r="K2183" s="248"/>
      <c r="L2183" s="248"/>
      <c r="M2183" s="248" t="s">
        <v>2833</v>
      </c>
    </row>
    <row r="2184" spans="1:13" ht="20.100000000000001" customHeight="1">
      <c r="A2184" s="248"/>
      <c r="B2184" s="248" t="s">
        <v>6023</v>
      </c>
      <c r="C2184" s="248" t="s">
        <v>4025</v>
      </c>
      <c r="D2184" s="248"/>
      <c r="E2184" s="248"/>
      <c r="F2184" s="248"/>
      <c r="G2184" s="248" t="s">
        <v>2834</v>
      </c>
      <c r="H2184" s="248"/>
      <c r="I2184" s="248"/>
      <c r="J2184" s="248"/>
      <c r="K2184" s="248"/>
      <c r="L2184" s="248"/>
      <c r="M2184" s="248" t="s">
        <v>2835</v>
      </c>
    </row>
    <row r="2185" spans="1:13" ht="20.100000000000001" customHeight="1">
      <c r="A2185" s="248"/>
      <c r="B2185" s="248" t="s">
        <v>6537</v>
      </c>
      <c r="C2185" s="248" t="s">
        <v>4057</v>
      </c>
      <c r="D2185" s="248"/>
      <c r="E2185" s="248"/>
      <c r="F2185" s="248"/>
      <c r="G2185" s="248" t="s">
        <v>6538</v>
      </c>
      <c r="H2185" s="248"/>
      <c r="I2185" s="248"/>
      <c r="J2185" s="248"/>
      <c r="K2185" s="248"/>
      <c r="L2185" s="248"/>
      <c r="M2185" s="248" t="s">
        <v>3550</v>
      </c>
    </row>
    <row r="2186" spans="1:13" ht="20.100000000000001" customHeight="1">
      <c r="A2186" s="248"/>
      <c r="B2186" s="248" t="s">
        <v>6024</v>
      </c>
      <c r="C2186" s="248" t="s">
        <v>4008</v>
      </c>
      <c r="D2186" s="248"/>
      <c r="E2186" s="248"/>
      <c r="F2186" s="248"/>
      <c r="G2186" s="248" t="s">
        <v>2836</v>
      </c>
      <c r="H2186" s="248"/>
      <c r="I2186" s="248"/>
      <c r="J2186" s="248"/>
      <c r="K2186" s="248"/>
      <c r="L2186" s="248"/>
      <c r="M2186" s="248" t="s">
        <v>2837</v>
      </c>
    </row>
    <row r="2187" spans="1:13" ht="20.100000000000001" customHeight="1">
      <c r="A2187" s="248"/>
      <c r="B2187" s="248" t="s">
        <v>6025</v>
      </c>
      <c r="C2187" s="248" t="s">
        <v>4036</v>
      </c>
      <c r="D2187" s="248"/>
      <c r="E2187" s="248"/>
      <c r="F2187" s="248"/>
      <c r="G2187" s="248" t="s">
        <v>3550</v>
      </c>
      <c r="H2187" s="248"/>
      <c r="I2187" s="248"/>
      <c r="J2187" s="248"/>
      <c r="K2187" s="248"/>
      <c r="L2187" s="248"/>
      <c r="M2187" s="248" t="s">
        <v>3550</v>
      </c>
    </row>
    <row r="2188" spans="1:13" ht="20.100000000000001" customHeight="1">
      <c r="A2188" s="248"/>
      <c r="B2188" s="248" t="s">
        <v>6026</v>
      </c>
      <c r="C2188" s="248" t="s">
        <v>4016</v>
      </c>
      <c r="D2188" s="248"/>
      <c r="E2188" s="248"/>
      <c r="F2188" s="248"/>
      <c r="G2188" s="248" t="s">
        <v>2838</v>
      </c>
      <c r="H2188" s="248"/>
      <c r="I2188" s="248"/>
      <c r="J2188" s="248"/>
      <c r="K2188" s="248"/>
      <c r="L2188" s="248"/>
      <c r="M2188" s="248" t="s">
        <v>2839</v>
      </c>
    </row>
    <row r="2189" spans="1:13" ht="20.100000000000001" customHeight="1">
      <c r="A2189" s="248"/>
      <c r="B2189" s="248" t="s">
        <v>6027</v>
      </c>
      <c r="C2189" s="248" t="s">
        <v>4014</v>
      </c>
      <c r="D2189" s="248"/>
      <c r="E2189" s="248"/>
      <c r="F2189" s="248"/>
      <c r="G2189" s="248" t="s">
        <v>2840</v>
      </c>
      <c r="H2189" s="248"/>
      <c r="I2189" s="248"/>
      <c r="J2189" s="248"/>
      <c r="K2189" s="248"/>
      <c r="L2189" s="248"/>
      <c r="M2189" s="248" t="s">
        <v>1408</v>
      </c>
    </row>
    <row r="2190" spans="1:13" ht="20.100000000000001" customHeight="1">
      <c r="A2190" s="248"/>
      <c r="B2190" s="248" t="s">
        <v>6028</v>
      </c>
      <c r="C2190" s="248" t="s">
        <v>4016</v>
      </c>
      <c r="D2190" s="248"/>
      <c r="E2190" s="248"/>
      <c r="F2190" s="248"/>
      <c r="G2190" s="248" t="s">
        <v>2841</v>
      </c>
      <c r="H2190" s="248"/>
      <c r="I2190" s="248"/>
      <c r="J2190" s="248"/>
      <c r="K2190" s="248"/>
      <c r="L2190" s="248"/>
      <c r="M2190" s="248" t="s">
        <v>2842</v>
      </c>
    </row>
    <row r="2191" spans="1:13" ht="20.100000000000001" customHeight="1">
      <c r="A2191" s="248"/>
      <c r="B2191" s="248" t="s">
        <v>6029</v>
      </c>
      <c r="C2191" s="248" t="s">
        <v>4036</v>
      </c>
      <c r="D2191" s="248"/>
      <c r="E2191" s="248"/>
      <c r="F2191" s="248"/>
      <c r="G2191" s="248" t="s">
        <v>2843</v>
      </c>
      <c r="H2191" s="248"/>
      <c r="I2191" s="248"/>
      <c r="J2191" s="248"/>
      <c r="K2191" s="248"/>
      <c r="L2191" s="248"/>
      <c r="M2191" s="248" t="s">
        <v>2844</v>
      </c>
    </row>
    <row r="2192" spans="1:13" ht="20.100000000000001" customHeight="1">
      <c r="A2192" s="248"/>
      <c r="B2192" s="248" t="s">
        <v>6030</v>
      </c>
      <c r="C2192" s="248" t="s">
        <v>4016</v>
      </c>
      <c r="D2192" s="248"/>
      <c r="E2192" s="248"/>
      <c r="F2192" s="248"/>
      <c r="G2192" s="248" t="s">
        <v>2846</v>
      </c>
      <c r="H2192" s="248"/>
      <c r="I2192" s="248"/>
      <c r="J2192" s="248"/>
      <c r="K2192" s="248"/>
      <c r="L2192" s="248"/>
      <c r="M2192" s="248" t="s">
        <v>2847</v>
      </c>
    </row>
    <row r="2193" spans="1:13" ht="20.100000000000001" customHeight="1">
      <c r="A2193" s="248"/>
      <c r="B2193" s="248" t="s">
        <v>6031</v>
      </c>
      <c r="C2193" s="248" t="s">
        <v>4025</v>
      </c>
      <c r="D2193" s="248"/>
      <c r="E2193" s="248"/>
      <c r="F2193" s="248"/>
      <c r="G2193" s="248" t="s">
        <v>3818</v>
      </c>
      <c r="H2193" s="248"/>
      <c r="I2193" s="248"/>
      <c r="J2193" s="248"/>
      <c r="K2193" s="248"/>
      <c r="L2193" s="248"/>
      <c r="M2193" s="248" t="s">
        <v>3819</v>
      </c>
    </row>
    <row r="2194" spans="1:13" ht="20.100000000000001" customHeight="1">
      <c r="A2194" s="248"/>
      <c r="B2194" s="248" t="s">
        <v>6032</v>
      </c>
      <c r="C2194" s="248" t="s">
        <v>4014</v>
      </c>
      <c r="D2194" s="248"/>
      <c r="E2194" s="248"/>
      <c r="F2194" s="248"/>
      <c r="G2194" s="248" t="s">
        <v>2848</v>
      </c>
      <c r="H2194" s="248"/>
      <c r="I2194" s="248"/>
      <c r="J2194" s="248"/>
      <c r="K2194" s="248"/>
      <c r="L2194" s="248"/>
      <c r="M2194" s="248" t="s">
        <v>2849</v>
      </c>
    </row>
    <row r="2195" spans="1:13" ht="20.100000000000001" customHeight="1">
      <c r="A2195" s="248"/>
      <c r="B2195" s="248" t="s">
        <v>6658</v>
      </c>
      <c r="C2195" s="248" t="s">
        <v>4012</v>
      </c>
      <c r="D2195" s="248"/>
      <c r="E2195" s="248"/>
      <c r="F2195" s="248"/>
      <c r="G2195" s="248" t="s">
        <v>6659</v>
      </c>
      <c r="H2195" s="248"/>
      <c r="I2195" s="248"/>
      <c r="J2195" s="248"/>
      <c r="K2195" s="248"/>
      <c r="L2195" s="248"/>
      <c r="M2195" s="248" t="s">
        <v>6660</v>
      </c>
    </row>
    <row r="2196" spans="1:13" ht="20.100000000000001" customHeight="1">
      <c r="A2196" s="248"/>
      <c r="B2196" s="248" t="s">
        <v>6033</v>
      </c>
      <c r="C2196" s="248" t="s">
        <v>4025</v>
      </c>
      <c r="D2196" s="248"/>
      <c r="E2196" s="248"/>
      <c r="F2196" s="248"/>
      <c r="G2196" s="248" t="s">
        <v>3820</v>
      </c>
      <c r="H2196" s="248"/>
      <c r="I2196" s="248"/>
      <c r="J2196" s="248"/>
      <c r="K2196" s="248"/>
      <c r="L2196" s="248"/>
      <c r="M2196" s="248" t="s">
        <v>3547</v>
      </c>
    </row>
    <row r="2197" spans="1:13" ht="20.100000000000001" customHeight="1">
      <c r="A2197" s="248"/>
      <c r="B2197" s="248" t="s">
        <v>6034</v>
      </c>
      <c r="C2197" s="248" t="s">
        <v>4030</v>
      </c>
      <c r="D2197" s="248"/>
      <c r="E2197" s="248"/>
      <c r="F2197" s="248"/>
      <c r="G2197" s="248" t="s">
        <v>2850</v>
      </c>
      <c r="H2197" s="248"/>
      <c r="I2197" s="248"/>
      <c r="J2197" s="248"/>
      <c r="K2197" s="248"/>
      <c r="L2197" s="248"/>
      <c r="M2197" s="248" t="s">
        <v>2851</v>
      </c>
    </row>
    <row r="2198" spans="1:13" ht="20.100000000000001" customHeight="1">
      <c r="A2198" s="248"/>
      <c r="B2198" s="248" t="s">
        <v>6035</v>
      </c>
      <c r="C2198" s="248" t="s">
        <v>4003</v>
      </c>
      <c r="D2198" s="248"/>
      <c r="E2198" s="248"/>
      <c r="F2198" s="248"/>
      <c r="G2198" s="248" t="s">
        <v>2852</v>
      </c>
      <c r="H2198" s="248"/>
      <c r="I2198" s="248"/>
      <c r="J2198" s="248"/>
      <c r="K2198" s="248"/>
      <c r="L2198" s="248"/>
      <c r="M2198" s="248" t="s">
        <v>3550</v>
      </c>
    </row>
    <row r="2199" spans="1:13" ht="20.100000000000001" customHeight="1">
      <c r="A2199" s="248"/>
      <c r="B2199" s="248" t="s">
        <v>6036</v>
      </c>
      <c r="C2199" s="248" t="s">
        <v>4036</v>
      </c>
      <c r="D2199" s="248"/>
      <c r="E2199" s="248"/>
      <c r="F2199" s="248"/>
      <c r="G2199" s="248" t="s">
        <v>2853</v>
      </c>
      <c r="H2199" s="248"/>
      <c r="I2199" s="248"/>
      <c r="J2199" s="248"/>
      <c r="K2199" s="248"/>
      <c r="L2199" s="248"/>
      <c r="M2199" s="248" t="s">
        <v>2854</v>
      </c>
    </row>
    <row r="2200" spans="1:13" ht="20.100000000000001" customHeight="1">
      <c r="A2200" s="248"/>
      <c r="B2200" s="248" t="s">
        <v>6037</v>
      </c>
      <c r="C2200" s="248" t="s">
        <v>4008</v>
      </c>
      <c r="D2200" s="248"/>
      <c r="E2200" s="248"/>
      <c r="F2200" s="248"/>
      <c r="G2200" s="248" t="s">
        <v>2855</v>
      </c>
      <c r="H2200" s="248"/>
      <c r="I2200" s="248"/>
      <c r="J2200" s="248"/>
      <c r="K2200" s="248"/>
      <c r="L2200" s="248"/>
      <c r="M2200" s="248" t="s">
        <v>2856</v>
      </c>
    </row>
    <row r="2201" spans="1:13" ht="20.100000000000001" customHeight="1">
      <c r="A2201" s="248"/>
      <c r="B2201" s="248" t="s">
        <v>6346</v>
      </c>
      <c r="C2201" s="248" t="s">
        <v>4036</v>
      </c>
      <c r="D2201" s="248"/>
      <c r="E2201" s="248"/>
      <c r="F2201" s="248"/>
      <c r="G2201" s="248" t="s">
        <v>6347</v>
      </c>
      <c r="H2201" s="248"/>
      <c r="I2201" s="248"/>
      <c r="J2201" s="248"/>
      <c r="K2201" s="248"/>
      <c r="L2201" s="248"/>
      <c r="M2201" s="248" t="s">
        <v>6348</v>
      </c>
    </row>
    <row r="2202" spans="1:13" ht="20.100000000000001" customHeight="1">
      <c r="A2202" s="248"/>
      <c r="B2202" s="248" t="s">
        <v>6038</v>
      </c>
      <c r="C2202" s="248" t="s">
        <v>4014</v>
      </c>
      <c r="D2202" s="248"/>
      <c r="E2202" s="248"/>
      <c r="F2202" s="248"/>
      <c r="G2202" s="248" t="s">
        <v>2857</v>
      </c>
      <c r="H2202" s="248"/>
      <c r="I2202" s="248"/>
      <c r="J2202" s="248"/>
      <c r="K2202" s="248"/>
      <c r="L2202" s="248"/>
      <c r="M2202" s="248" t="s">
        <v>3550</v>
      </c>
    </row>
    <row r="2203" spans="1:13" ht="20.100000000000001" customHeight="1">
      <c r="A2203" s="248"/>
      <c r="B2203" s="248" t="s">
        <v>6039</v>
      </c>
      <c r="C2203" s="248" t="s">
        <v>4025</v>
      </c>
      <c r="D2203" s="248"/>
      <c r="E2203" s="248"/>
      <c r="F2203" s="248"/>
      <c r="G2203" s="248" t="s">
        <v>2858</v>
      </c>
      <c r="H2203" s="248"/>
      <c r="I2203" s="248"/>
      <c r="J2203" s="248"/>
      <c r="K2203" s="248"/>
      <c r="L2203" s="248"/>
      <c r="M2203" s="248" t="s">
        <v>2859</v>
      </c>
    </row>
    <row r="2204" spans="1:13" ht="20.100000000000001" customHeight="1">
      <c r="A2204" s="248"/>
      <c r="B2204" s="248" t="s">
        <v>6040</v>
      </c>
      <c r="C2204" s="248" t="s">
        <v>4030</v>
      </c>
      <c r="D2204" s="248"/>
      <c r="E2204" s="248"/>
      <c r="F2204" s="248"/>
      <c r="G2204" s="248" t="s">
        <v>2860</v>
      </c>
      <c r="H2204" s="248"/>
      <c r="I2204" s="248"/>
      <c r="J2204" s="248"/>
      <c r="K2204" s="248"/>
      <c r="L2204" s="248"/>
      <c r="M2204" s="248" t="s">
        <v>2861</v>
      </c>
    </row>
    <row r="2205" spans="1:13" ht="20.100000000000001" customHeight="1">
      <c r="A2205" s="248"/>
      <c r="B2205" s="248" t="s">
        <v>6041</v>
      </c>
      <c r="C2205" s="248" t="s">
        <v>4036</v>
      </c>
      <c r="D2205" s="248"/>
      <c r="E2205" s="248"/>
      <c r="F2205" s="248"/>
      <c r="G2205" s="248" t="s">
        <v>2862</v>
      </c>
      <c r="H2205" s="248"/>
      <c r="I2205" s="248"/>
      <c r="J2205" s="248"/>
      <c r="K2205" s="248"/>
      <c r="L2205" s="248"/>
      <c r="M2205" s="248" t="s">
        <v>2863</v>
      </c>
    </row>
    <row r="2206" spans="1:13" ht="20.100000000000001" customHeight="1">
      <c r="A2206" s="248"/>
      <c r="B2206" s="248" t="s">
        <v>6042</v>
      </c>
      <c r="C2206" s="248" t="s">
        <v>4036</v>
      </c>
      <c r="D2206" s="248"/>
      <c r="E2206" s="248"/>
      <c r="F2206" s="248"/>
      <c r="G2206" s="248" t="s">
        <v>2864</v>
      </c>
      <c r="H2206" s="248"/>
      <c r="I2206" s="248"/>
      <c r="J2206" s="248"/>
      <c r="K2206" s="248"/>
      <c r="L2206" s="248"/>
      <c r="M2206" s="248" t="s">
        <v>3550</v>
      </c>
    </row>
    <row r="2207" spans="1:13" ht="20.100000000000001" customHeight="1">
      <c r="A2207" s="248"/>
      <c r="B2207" s="248" t="s">
        <v>6043</v>
      </c>
      <c r="C2207" s="248" t="s">
        <v>4016</v>
      </c>
      <c r="D2207" s="248"/>
      <c r="E2207" s="248"/>
      <c r="F2207" s="248"/>
      <c r="G2207" s="248" t="s">
        <v>2865</v>
      </c>
      <c r="H2207" s="248"/>
      <c r="I2207" s="248"/>
      <c r="J2207" s="248"/>
      <c r="K2207" s="248"/>
      <c r="L2207" s="248"/>
      <c r="M2207" s="248" t="s">
        <v>2866</v>
      </c>
    </row>
    <row r="2208" spans="1:13" ht="20.100000000000001" customHeight="1">
      <c r="A2208" s="248"/>
      <c r="B2208" s="248" t="s">
        <v>6044</v>
      </c>
      <c r="C2208" s="248" t="s">
        <v>4012</v>
      </c>
      <c r="D2208" s="248"/>
      <c r="E2208" s="248"/>
      <c r="F2208" s="248"/>
      <c r="G2208" s="248" t="s">
        <v>2867</v>
      </c>
      <c r="H2208" s="248"/>
      <c r="I2208" s="248"/>
      <c r="J2208" s="248"/>
      <c r="K2208" s="248"/>
      <c r="L2208" s="248"/>
      <c r="M2208" s="248" t="s">
        <v>2868</v>
      </c>
    </row>
    <row r="2209" spans="1:13" ht="20.100000000000001" customHeight="1">
      <c r="A2209" s="248"/>
      <c r="B2209" s="248" t="s">
        <v>6045</v>
      </c>
      <c r="C2209" s="248" t="s">
        <v>4008</v>
      </c>
      <c r="D2209" s="248"/>
      <c r="E2209" s="248"/>
      <c r="F2209" s="248"/>
      <c r="G2209" s="248" t="s">
        <v>2869</v>
      </c>
      <c r="H2209" s="248"/>
      <c r="I2209" s="248"/>
      <c r="J2209" s="248"/>
      <c r="K2209" s="248"/>
      <c r="L2209" s="248"/>
      <c r="M2209" s="248" t="s">
        <v>2868</v>
      </c>
    </row>
    <row r="2210" spans="1:13" ht="20.100000000000001" customHeight="1">
      <c r="A2210" s="248"/>
      <c r="B2210" s="248" t="s">
        <v>6046</v>
      </c>
      <c r="C2210" s="248" t="s">
        <v>4025</v>
      </c>
      <c r="D2210" s="248"/>
      <c r="E2210" s="248"/>
      <c r="F2210" s="248"/>
      <c r="G2210" s="248" t="s">
        <v>3548</v>
      </c>
      <c r="H2210" s="248"/>
      <c r="I2210" s="248"/>
      <c r="J2210" s="248"/>
      <c r="K2210" s="248"/>
      <c r="L2210" s="248"/>
      <c r="M2210" s="248" t="s">
        <v>3550</v>
      </c>
    </row>
    <row r="2211" spans="1:13" ht="20.100000000000001" customHeight="1">
      <c r="A2211" s="248"/>
      <c r="B2211" s="248" t="s">
        <v>6047</v>
      </c>
      <c r="C2211" s="248" t="s">
        <v>4174</v>
      </c>
      <c r="D2211" s="248"/>
      <c r="E2211" s="248"/>
      <c r="F2211" s="248"/>
      <c r="G2211" s="248" t="s">
        <v>2872</v>
      </c>
      <c r="H2211" s="248"/>
      <c r="I2211" s="248"/>
      <c r="J2211" s="248"/>
      <c r="K2211" s="248"/>
      <c r="L2211" s="248"/>
      <c r="M2211" s="248" t="s">
        <v>2873</v>
      </c>
    </row>
    <row r="2212" spans="1:13" ht="20.100000000000001" customHeight="1">
      <c r="A2212" s="248"/>
      <c r="B2212" s="248" t="s">
        <v>6048</v>
      </c>
      <c r="C2212" s="248" t="s">
        <v>4124</v>
      </c>
      <c r="D2212" s="248"/>
      <c r="E2212" s="248"/>
      <c r="F2212" s="248"/>
      <c r="G2212" s="248" t="s">
        <v>2874</v>
      </c>
      <c r="H2212" s="248"/>
      <c r="I2212" s="248"/>
      <c r="J2212" s="248"/>
      <c r="K2212" s="248"/>
      <c r="L2212" s="248"/>
      <c r="M2212" s="248" t="s">
        <v>2875</v>
      </c>
    </row>
    <row r="2213" spans="1:13" ht="20.100000000000001" customHeight="1">
      <c r="A2213" s="248"/>
      <c r="B2213" s="248" t="s">
        <v>6049</v>
      </c>
      <c r="C2213" s="248" t="s">
        <v>4271</v>
      </c>
      <c r="D2213" s="248"/>
      <c r="E2213" s="248"/>
      <c r="F2213" s="248"/>
      <c r="G2213" s="248" t="s">
        <v>2876</v>
      </c>
      <c r="H2213" s="248"/>
      <c r="I2213" s="248"/>
      <c r="J2213" s="248"/>
      <c r="K2213" s="248"/>
      <c r="L2213" s="248"/>
      <c r="M2213" s="248" t="s">
        <v>2877</v>
      </c>
    </row>
    <row r="2214" spans="1:13" ht="20.100000000000001" customHeight="1">
      <c r="A2214" s="248"/>
      <c r="B2214" s="248" t="s">
        <v>6050</v>
      </c>
      <c r="C2214" s="248" t="s">
        <v>4121</v>
      </c>
      <c r="D2214" s="248"/>
      <c r="E2214" s="248"/>
      <c r="F2214" s="248"/>
      <c r="G2214" s="248" t="s">
        <v>2878</v>
      </c>
      <c r="H2214" s="248"/>
      <c r="I2214" s="248"/>
      <c r="J2214" s="248"/>
      <c r="K2214" s="248"/>
      <c r="L2214" s="248"/>
      <c r="M2214" s="248" t="s">
        <v>2879</v>
      </c>
    </row>
    <row r="2215" spans="1:13" ht="20.100000000000001" customHeight="1">
      <c r="A2215" s="248"/>
      <c r="B2215" s="248" t="s">
        <v>6051</v>
      </c>
      <c r="C2215" s="248" t="s">
        <v>4124</v>
      </c>
      <c r="D2215" s="248"/>
      <c r="E2215" s="248"/>
      <c r="F2215" s="248"/>
      <c r="G2215" s="248" t="s">
        <v>2882</v>
      </c>
      <c r="H2215" s="248"/>
      <c r="I2215" s="248"/>
      <c r="J2215" s="248"/>
      <c r="K2215" s="248"/>
      <c r="L2215" s="248"/>
      <c r="M2215" s="248" t="s">
        <v>2883</v>
      </c>
    </row>
    <row r="2216" spans="1:13" ht="20.100000000000001" customHeight="1">
      <c r="A2216" s="248"/>
      <c r="B2216" s="248" t="s">
        <v>6052</v>
      </c>
      <c r="C2216" s="248" t="s">
        <v>4016</v>
      </c>
      <c r="D2216" s="248"/>
      <c r="E2216" s="248"/>
      <c r="F2216" s="248"/>
      <c r="G2216" s="248" t="s">
        <v>2880</v>
      </c>
      <c r="H2216" s="248"/>
      <c r="I2216" s="248"/>
      <c r="J2216" s="248"/>
      <c r="K2216" s="248"/>
      <c r="L2216" s="248"/>
      <c r="M2216" s="248" t="s">
        <v>2881</v>
      </c>
    </row>
    <row r="2217" spans="1:13" ht="20.100000000000001" customHeight="1">
      <c r="A2217" s="248"/>
      <c r="B2217" s="248" t="s">
        <v>6053</v>
      </c>
      <c r="C2217" s="248" t="s">
        <v>4271</v>
      </c>
      <c r="D2217" s="248"/>
      <c r="E2217" s="248"/>
      <c r="F2217" s="248"/>
      <c r="G2217" s="248" t="s">
        <v>2884</v>
      </c>
      <c r="H2217" s="248"/>
      <c r="I2217" s="248"/>
      <c r="J2217" s="248"/>
      <c r="K2217" s="248"/>
      <c r="L2217" s="248"/>
      <c r="M2217" s="248" t="s">
        <v>2885</v>
      </c>
    </row>
    <row r="2218" spans="1:13" ht="20.100000000000001" customHeight="1">
      <c r="A2218" s="248"/>
      <c r="B2218" s="248" t="s">
        <v>6054</v>
      </c>
      <c r="C2218" s="248" t="s">
        <v>4008</v>
      </c>
      <c r="D2218" s="248"/>
      <c r="E2218" s="248"/>
      <c r="F2218" s="248"/>
      <c r="G2218" s="248" t="s">
        <v>3005</v>
      </c>
      <c r="H2218" s="248"/>
      <c r="I2218" s="248"/>
      <c r="J2218" s="248"/>
      <c r="K2218" s="248"/>
      <c r="L2218" s="248"/>
      <c r="M2218" s="248" t="s">
        <v>3006</v>
      </c>
    </row>
    <row r="2219" spans="1:13" ht="20.100000000000001" customHeight="1">
      <c r="A2219" s="248"/>
      <c r="B2219" s="248" t="s">
        <v>6055</v>
      </c>
      <c r="C2219" s="248" t="s">
        <v>4036</v>
      </c>
      <c r="D2219" s="248"/>
      <c r="E2219" s="248"/>
      <c r="F2219" s="248"/>
      <c r="G2219" s="248" t="s">
        <v>2886</v>
      </c>
      <c r="H2219" s="248"/>
      <c r="I2219" s="248"/>
      <c r="J2219" s="248"/>
      <c r="K2219" s="248"/>
      <c r="L2219" s="248"/>
      <c r="M2219" s="248" t="s">
        <v>2887</v>
      </c>
    </row>
    <row r="2220" spans="1:13" ht="20.100000000000001" customHeight="1">
      <c r="A2220" s="248"/>
      <c r="B2220" s="248" t="s">
        <v>6056</v>
      </c>
      <c r="C2220" s="248" t="s">
        <v>4003</v>
      </c>
      <c r="D2220" s="248"/>
      <c r="E2220" s="248"/>
      <c r="F2220" s="248"/>
      <c r="G2220" s="248" t="s">
        <v>2888</v>
      </c>
      <c r="H2220" s="248"/>
      <c r="I2220" s="248"/>
      <c r="J2220" s="248"/>
      <c r="K2220" s="248"/>
      <c r="L2220" s="248"/>
      <c r="M2220" s="248" t="s">
        <v>2889</v>
      </c>
    </row>
    <row r="2221" spans="1:13" ht="20.100000000000001" customHeight="1">
      <c r="A2221" s="248"/>
      <c r="B2221" s="248" t="s">
        <v>6057</v>
      </c>
      <c r="C2221" s="248" t="s">
        <v>4036</v>
      </c>
      <c r="D2221" s="248"/>
      <c r="E2221" s="248"/>
      <c r="F2221" s="248"/>
      <c r="G2221" s="248" t="s">
        <v>2890</v>
      </c>
      <c r="H2221" s="248"/>
      <c r="I2221" s="248"/>
      <c r="J2221" s="248"/>
      <c r="K2221" s="248"/>
      <c r="L2221" s="248"/>
      <c r="M2221" s="248" t="s">
        <v>2891</v>
      </c>
    </row>
    <row r="2222" spans="1:13" ht="20.100000000000001" customHeight="1">
      <c r="A2222" s="248"/>
      <c r="B2222" s="248" t="s">
        <v>6058</v>
      </c>
      <c r="C2222" s="248" t="s">
        <v>4271</v>
      </c>
      <c r="D2222" s="248"/>
      <c r="E2222" s="248"/>
      <c r="F2222" s="248"/>
      <c r="G2222" s="248" t="s">
        <v>3235</v>
      </c>
      <c r="H2222" s="248"/>
      <c r="I2222" s="248"/>
      <c r="J2222" s="248"/>
      <c r="K2222" s="248"/>
      <c r="L2222" s="248"/>
      <c r="M2222" s="248" t="s">
        <v>2892</v>
      </c>
    </row>
    <row r="2223" spans="1:13" ht="20.100000000000001" customHeight="1">
      <c r="A2223" s="248"/>
      <c r="B2223" s="248" t="s">
        <v>6059</v>
      </c>
      <c r="C2223" s="248" t="s">
        <v>4036</v>
      </c>
      <c r="D2223" s="248"/>
      <c r="E2223" s="248"/>
      <c r="F2223" s="248"/>
      <c r="G2223" s="248" t="s">
        <v>2893</v>
      </c>
      <c r="H2223" s="248"/>
      <c r="I2223" s="248"/>
      <c r="J2223" s="248"/>
      <c r="K2223" s="248"/>
      <c r="L2223" s="248"/>
      <c r="M2223" s="248" t="s">
        <v>2894</v>
      </c>
    </row>
    <row r="2224" spans="1:13" ht="20.100000000000001" customHeight="1">
      <c r="A2224" s="248"/>
      <c r="B2224" s="248" t="s">
        <v>6060</v>
      </c>
      <c r="C2224" s="248" t="s">
        <v>4016</v>
      </c>
      <c r="D2224" s="248"/>
      <c r="E2224" s="248"/>
      <c r="F2224" s="248"/>
      <c r="G2224" s="248" t="s">
        <v>3767</v>
      </c>
      <c r="H2224" s="248"/>
      <c r="I2224" s="248"/>
      <c r="J2224" s="248"/>
      <c r="K2224" s="248"/>
      <c r="L2224" s="248"/>
      <c r="M2224" s="248" t="s">
        <v>3768</v>
      </c>
    </row>
    <row r="2225" spans="1:13" ht="20.100000000000001" customHeight="1">
      <c r="A2225" s="248"/>
      <c r="B2225" s="248" t="s">
        <v>6384</v>
      </c>
      <c r="C2225" s="248" t="s">
        <v>4016</v>
      </c>
      <c r="D2225" s="248"/>
      <c r="E2225" s="248"/>
      <c r="F2225" s="248"/>
      <c r="G2225" s="248" t="s">
        <v>6385</v>
      </c>
      <c r="H2225" s="248"/>
      <c r="I2225" s="248"/>
      <c r="J2225" s="248"/>
      <c r="K2225" s="248"/>
      <c r="L2225" s="248"/>
      <c r="M2225" s="248" t="s">
        <v>6386</v>
      </c>
    </row>
    <row r="2226" spans="1:13" ht="20.100000000000001" customHeight="1">
      <c r="A2226" s="248"/>
      <c r="B2226" s="248" t="s">
        <v>6061</v>
      </c>
      <c r="C2226" s="248" t="s">
        <v>4012</v>
      </c>
      <c r="D2226" s="248"/>
      <c r="E2226" s="248"/>
      <c r="F2226" s="248"/>
      <c r="G2226" s="248" t="s">
        <v>3439</v>
      </c>
      <c r="H2226" s="248"/>
      <c r="I2226" s="248"/>
      <c r="J2226" s="248"/>
      <c r="K2226" s="248"/>
      <c r="L2226" s="248"/>
      <c r="M2226" s="248" t="s">
        <v>3440</v>
      </c>
    </row>
    <row r="2227" spans="1:13" ht="20.100000000000001" customHeight="1">
      <c r="A2227" s="248"/>
      <c r="B2227" s="248" t="s">
        <v>6062</v>
      </c>
      <c r="C2227" s="248" t="s">
        <v>4003</v>
      </c>
      <c r="D2227" s="248"/>
      <c r="E2227" s="248"/>
      <c r="F2227" s="248"/>
      <c r="G2227" s="248" t="s">
        <v>2870</v>
      </c>
      <c r="H2227" s="248"/>
      <c r="I2227" s="248"/>
      <c r="J2227" s="248"/>
      <c r="K2227" s="248"/>
      <c r="L2227" s="248"/>
      <c r="M2227" s="248" t="s">
        <v>2871</v>
      </c>
    </row>
    <row r="2228" spans="1:13" ht="20.100000000000001" customHeight="1">
      <c r="A2228" s="248"/>
      <c r="B2228" s="248" t="s">
        <v>6063</v>
      </c>
      <c r="C2228" s="248" t="s">
        <v>4003</v>
      </c>
      <c r="D2228" s="248"/>
      <c r="E2228" s="248"/>
      <c r="F2228" s="248"/>
      <c r="G2228" s="248" t="s">
        <v>3136</v>
      </c>
      <c r="H2228" s="248"/>
      <c r="I2228" s="248"/>
      <c r="J2228" s="248"/>
      <c r="K2228" s="248"/>
      <c r="L2228" s="248"/>
      <c r="M2228" s="248" t="s">
        <v>3310</v>
      </c>
    </row>
    <row r="2229" spans="1:13" ht="20.100000000000001" customHeight="1">
      <c r="A2229" s="248"/>
      <c r="B2229" s="248" t="s">
        <v>6210</v>
      </c>
      <c r="C2229" s="248" t="s">
        <v>4008</v>
      </c>
      <c r="D2229" s="248"/>
      <c r="E2229" s="248"/>
      <c r="F2229" s="248"/>
      <c r="G2229" s="248" t="s">
        <v>6211</v>
      </c>
      <c r="H2229" s="248"/>
      <c r="I2229" s="248"/>
      <c r="J2229" s="248"/>
      <c r="K2229" s="248"/>
      <c r="L2229" s="248"/>
      <c r="M2229" s="248" t="s">
        <v>6212</v>
      </c>
    </row>
    <row r="2230" spans="1:13" ht="20.100000000000001" customHeight="1">
      <c r="A2230" s="248"/>
      <c r="B2230" s="248" t="s">
        <v>6064</v>
      </c>
      <c r="C2230" s="248" t="s">
        <v>4016</v>
      </c>
      <c r="D2230" s="248"/>
      <c r="E2230" s="248"/>
      <c r="F2230" s="248"/>
      <c r="G2230" s="248" t="s">
        <v>2895</v>
      </c>
      <c r="H2230" s="248"/>
      <c r="I2230" s="248"/>
      <c r="J2230" s="248"/>
      <c r="K2230" s="248"/>
      <c r="L2230" s="248"/>
      <c r="M2230" s="248" t="s">
        <v>3550</v>
      </c>
    </row>
    <row r="2231" spans="1:13" ht="20.100000000000001" customHeight="1">
      <c r="A2231" s="248"/>
      <c r="B2231" s="248" t="s">
        <v>6065</v>
      </c>
      <c r="C2231" s="248" t="s">
        <v>4016</v>
      </c>
      <c r="D2231" s="248"/>
      <c r="E2231" s="248"/>
      <c r="F2231" s="248"/>
      <c r="G2231" s="248" t="s">
        <v>2896</v>
      </c>
      <c r="H2231" s="248"/>
      <c r="I2231" s="248"/>
      <c r="J2231" s="248"/>
      <c r="K2231" s="248"/>
      <c r="L2231" s="248"/>
      <c r="M2231" s="248" t="s">
        <v>3550</v>
      </c>
    </row>
    <row r="2232" spans="1:13" ht="20.100000000000001" customHeight="1">
      <c r="A2232" s="248"/>
      <c r="B2232" s="248" t="s">
        <v>6066</v>
      </c>
      <c r="C2232" s="248" t="s">
        <v>4016</v>
      </c>
      <c r="D2232" s="248"/>
      <c r="E2232" s="248"/>
      <c r="F2232" s="248"/>
      <c r="G2232" s="248" t="s">
        <v>2897</v>
      </c>
      <c r="H2232" s="248"/>
      <c r="I2232" s="248"/>
      <c r="J2232" s="248"/>
      <c r="K2232" s="248"/>
      <c r="L2232" s="248"/>
      <c r="M2232" s="248" t="s">
        <v>2898</v>
      </c>
    </row>
    <row r="2233" spans="1:13" ht="20.100000000000001" customHeight="1">
      <c r="A2233" s="248"/>
      <c r="B2233" s="248" t="s">
        <v>6067</v>
      </c>
      <c r="C2233" s="248" t="s">
        <v>4014</v>
      </c>
      <c r="D2233" s="248"/>
      <c r="E2233" s="248"/>
      <c r="F2233" s="248"/>
      <c r="G2233" s="248" t="s">
        <v>2899</v>
      </c>
      <c r="H2233" s="248"/>
      <c r="I2233" s="248"/>
      <c r="J2233" s="248"/>
      <c r="K2233" s="248"/>
      <c r="L2233" s="248"/>
      <c r="M2233" s="248" t="s">
        <v>3550</v>
      </c>
    </row>
    <row r="2234" spans="1:13" ht="20.100000000000001" customHeight="1">
      <c r="A2234" s="248"/>
      <c r="B2234" s="248" t="s">
        <v>6068</v>
      </c>
      <c r="C2234" s="248" t="s">
        <v>4036</v>
      </c>
      <c r="D2234" s="248"/>
      <c r="E2234" s="248"/>
      <c r="F2234" s="248"/>
      <c r="G2234" s="248" t="s">
        <v>2900</v>
      </c>
      <c r="H2234" s="248"/>
      <c r="I2234" s="248"/>
      <c r="J2234" s="248"/>
      <c r="K2234" s="248"/>
      <c r="L2234" s="248"/>
      <c r="M2234" s="248" t="s">
        <v>3550</v>
      </c>
    </row>
    <row r="2235" spans="1:13" ht="20.100000000000001" customHeight="1">
      <c r="A2235" s="248"/>
      <c r="B2235" s="248" t="s">
        <v>6069</v>
      </c>
      <c r="C2235" s="248" t="s">
        <v>4036</v>
      </c>
      <c r="D2235" s="248"/>
      <c r="E2235" s="248"/>
      <c r="F2235" s="248"/>
      <c r="G2235" s="248" t="s">
        <v>2901</v>
      </c>
      <c r="H2235" s="248"/>
      <c r="I2235" s="248"/>
      <c r="J2235" s="248"/>
      <c r="K2235" s="248"/>
      <c r="L2235" s="248"/>
      <c r="M2235" s="248" t="s">
        <v>2902</v>
      </c>
    </row>
    <row r="2236" spans="1:13" ht="20.100000000000001" customHeight="1">
      <c r="A2236" s="248"/>
      <c r="B2236" s="248" t="s">
        <v>6070</v>
      </c>
      <c r="C2236" s="248" t="s">
        <v>4003</v>
      </c>
      <c r="D2236" s="248"/>
      <c r="E2236" s="248"/>
      <c r="F2236" s="248"/>
      <c r="G2236" s="248" t="s">
        <v>3327</v>
      </c>
      <c r="H2236" s="248"/>
      <c r="I2236" s="248"/>
      <c r="J2236" s="248"/>
      <c r="K2236" s="248"/>
      <c r="L2236" s="248"/>
      <c r="M2236" s="248" t="s">
        <v>3328</v>
      </c>
    </row>
    <row r="2237" spans="1:13" ht="20.100000000000001" customHeight="1">
      <c r="A2237" s="248"/>
      <c r="B2237" s="248" t="s">
        <v>6071</v>
      </c>
      <c r="C2237" s="248" t="s">
        <v>4003</v>
      </c>
      <c r="D2237" s="248"/>
      <c r="E2237" s="248"/>
      <c r="F2237" s="248"/>
      <c r="G2237" s="248" t="s">
        <v>2903</v>
      </c>
      <c r="H2237" s="248"/>
      <c r="I2237" s="248"/>
      <c r="J2237" s="248"/>
      <c r="K2237" s="248"/>
      <c r="L2237" s="248"/>
      <c r="M2237" s="248" t="s">
        <v>2904</v>
      </c>
    </row>
    <row r="2238" spans="1:13" ht="20.100000000000001" customHeight="1">
      <c r="A2238" s="248"/>
      <c r="B2238" s="248" t="s">
        <v>6072</v>
      </c>
      <c r="C2238" s="248" t="s">
        <v>4036</v>
      </c>
      <c r="D2238" s="248"/>
      <c r="E2238" s="248"/>
      <c r="F2238" s="248"/>
      <c r="G2238" s="248" t="s">
        <v>3274</v>
      </c>
      <c r="H2238" s="248"/>
      <c r="I2238" s="248"/>
      <c r="J2238" s="248"/>
      <c r="K2238" s="248"/>
      <c r="L2238" s="248"/>
      <c r="M2238" s="248" t="s">
        <v>2905</v>
      </c>
    </row>
    <row r="2239" spans="1:13" ht="20.100000000000001" customHeight="1">
      <c r="A2239" s="248"/>
      <c r="B2239" s="248" t="s">
        <v>6073</v>
      </c>
      <c r="C2239" s="248" t="s">
        <v>4012</v>
      </c>
      <c r="D2239" s="248"/>
      <c r="E2239" s="248"/>
      <c r="F2239" s="248"/>
      <c r="G2239" s="248" t="s">
        <v>3769</v>
      </c>
      <c r="H2239" s="248"/>
      <c r="I2239" s="248"/>
      <c r="J2239" s="248"/>
      <c r="K2239" s="248"/>
      <c r="L2239" s="248"/>
      <c r="M2239" s="248" t="s">
        <v>3770</v>
      </c>
    </row>
    <row r="2240" spans="1:13" ht="20.100000000000001" customHeight="1">
      <c r="A2240" s="248"/>
      <c r="B2240" s="248" t="s">
        <v>6074</v>
      </c>
      <c r="C2240" s="248" t="s">
        <v>4003</v>
      </c>
      <c r="D2240" s="248"/>
      <c r="E2240" s="248"/>
      <c r="F2240" s="248"/>
      <c r="G2240" s="248" t="s">
        <v>2906</v>
      </c>
      <c r="H2240" s="248"/>
      <c r="I2240" s="248"/>
      <c r="J2240" s="248"/>
      <c r="K2240" s="248"/>
      <c r="L2240" s="248"/>
      <c r="M2240" s="248" t="s">
        <v>2907</v>
      </c>
    </row>
    <row r="2241" spans="1:13" ht="20.100000000000001" customHeight="1">
      <c r="A2241" s="248"/>
      <c r="B2241" s="248" t="s">
        <v>6075</v>
      </c>
      <c r="C2241" s="248" t="s">
        <v>4030</v>
      </c>
      <c r="D2241" s="248"/>
      <c r="E2241" s="248"/>
      <c r="F2241" s="248"/>
      <c r="G2241" s="248" t="s">
        <v>2908</v>
      </c>
      <c r="H2241" s="248"/>
      <c r="I2241" s="248"/>
      <c r="J2241" s="248"/>
      <c r="K2241" s="248"/>
      <c r="L2241" s="248"/>
      <c r="M2241" s="248" t="s">
        <v>3550</v>
      </c>
    </row>
    <row r="2242" spans="1:13" ht="20.100000000000001" customHeight="1">
      <c r="A2242" s="248"/>
      <c r="B2242" s="248" t="s">
        <v>6076</v>
      </c>
      <c r="C2242" s="248" t="s">
        <v>4014</v>
      </c>
      <c r="D2242" s="248"/>
      <c r="E2242" s="248"/>
      <c r="F2242" s="248"/>
      <c r="G2242" s="248" t="s">
        <v>2909</v>
      </c>
      <c r="H2242" s="248"/>
      <c r="I2242" s="248"/>
      <c r="J2242" s="248"/>
      <c r="K2242" s="248"/>
      <c r="L2242" s="248"/>
      <c r="M2242" s="248" t="s">
        <v>3550</v>
      </c>
    </row>
    <row r="2243" spans="1:13" ht="20.100000000000001" customHeight="1">
      <c r="A2243" s="248"/>
      <c r="B2243" s="248" t="s">
        <v>6077</v>
      </c>
      <c r="C2243" s="248" t="s">
        <v>4016</v>
      </c>
      <c r="D2243" s="248"/>
      <c r="E2243" s="248"/>
      <c r="F2243" s="248"/>
      <c r="G2243" s="248" t="s">
        <v>2910</v>
      </c>
      <c r="H2243" s="248"/>
      <c r="I2243" s="248"/>
      <c r="J2243" s="248"/>
      <c r="K2243" s="248"/>
      <c r="L2243" s="248"/>
      <c r="M2243" s="248" t="s">
        <v>2911</v>
      </c>
    </row>
    <row r="2244" spans="1:13" ht="20.100000000000001" customHeight="1">
      <c r="A2244" s="248"/>
      <c r="B2244" s="248" t="s">
        <v>6078</v>
      </c>
      <c r="C2244" s="248" t="s">
        <v>4005</v>
      </c>
      <c r="D2244" s="248"/>
      <c r="E2244" s="248"/>
      <c r="F2244" s="248"/>
      <c r="G2244" s="248" t="s">
        <v>2912</v>
      </c>
      <c r="H2244" s="248"/>
      <c r="I2244" s="248"/>
      <c r="J2244" s="248"/>
      <c r="K2244" s="248"/>
      <c r="L2244" s="248"/>
      <c r="M2244" s="248" t="s">
        <v>3550</v>
      </c>
    </row>
    <row r="2245" spans="1:13" ht="20.100000000000001" customHeight="1">
      <c r="A2245" s="248"/>
      <c r="B2245" s="248" t="s">
        <v>6079</v>
      </c>
      <c r="C2245" s="248" t="s">
        <v>4121</v>
      </c>
      <c r="D2245" s="248"/>
      <c r="E2245" s="248"/>
      <c r="F2245" s="248"/>
      <c r="G2245" s="248" t="s">
        <v>2913</v>
      </c>
      <c r="H2245" s="248"/>
      <c r="I2245" s="248"/>
      <c r="J2245" s="248"/>
      <c r="K2245" s="248"/>
      <c r="L2245" s="248"/>
      <c r="M2245" s="248" t="s">
        <v>2914</v>
      </c>
    </row>
    <row r="2246" spans="1:13" ht="20.100000000000001" customHeight="1">
      <c r="A2246" s="248"/>
      <c r="B2246" s="248" t="s">
        <v>6080</v>
      </c>
      <c r="C2246" s="248" t="s">
        <v>4025</v>
      </c>
      <c r="D2246" s="248"/>
      <c r="E2246" s="248"/>
      <c r="F2246" s="248"/>
      <c r="G2246" s="248" t="s">
        <v>3311</v>
      </c>
      <c r="H2246" s="248"/>
      <c r="I2246" s="248"/>
      <c r="J2246" s="248"/>
      <c r="K2246" s="248"/>
      <c r="L2246" s="248"/>
      <c r="M2246" s="248" t="s">
        <v>3219</v>
      </c>
    </row>
    <row r="2247" spans="1:13" ht="20.100000000000001" customHeight="1">
      <c r="A2247" s="248"/>
      <c r="B2247" s="248" t="s">
        <v>6081</v>
      </c>
      <c r="C2247" s="248" t="s">
        <v>4008</v>
      </c>
      <c r="D2247" s="248"/>
      <c r="E2247" s="248"/>
      <c r="F2247" s="248"/>
      <c r="G2247" s="248" t="s">
        <v>3407</v>
      </c>
      <c r="H2247" s="248"/>
      <c r="I2247" s="248"/>
      <c r="J2247" s="248"/>
      <c r="K2247" s="248"/>
      <c r="L2247" s="248"/>
      <c r="M2247" s="248" t="s">
        <v>3166</v>
      </c>
    </row>
    <row r="2248" spans="1:13" ht="20.100000000000001" customHeight="1">
      <c r="A2248" s="248"/>
      <c r="B2248" s="248" t="s">
        <v>6082</v>
      </c>
      <c r="C2248" s="248" t="s">
        <v>4012</v>
      </c>
      <c r="D2248" s="248"/>
      <c r="E2248" s="248"/>
      <c r="F2248" s="248"/>
      <c r="G2248" s="248" t="s">
        <v>2915</v>
      </c>
      <c r="H2248" s="248"/>
      <c r="I2248" s="248"/>
      <c r="J2248" s="248"/>
      <c r="K2248" s="248"/>
      <c r="L2248" s="248"/>
      <c r="M2248" s="248" t="s">
        <v>2916</v>
      </c>
    </row>
    <row r="2249" spans="1:13" ht="20.100000000000001" customHeight="1">
      <c r="A2249" s="248"/>
      <c r="B2249" s="248" t="s">
        <v>6083</v>
      </c>
      <c r="C2249" s="248" t="s">
        <v>4008</v>
      </c>
      <c r="D2249" s="248"/>
      <c r="E2249" s="248"/>
      <c r="F2249" s="248"/>
      <c r="G2249" s="248" t="s">
        <v>3019</v>
      </c>
      <c r="H2249" s="248"/>
      <c r="I2249" s="248"/>
      <c r="J2249" s="248"/>
      <c r="K2249" s="248"/>
      <c r="L2249" s="248"/>
      <c r="M2249" s="248" t="s">
        <v>3550</v>
      </c>
    </row>
    <row r="2250" spans="1:13" ht="20.100000000000001" customHeight="1">
      <c r="A2250" s="248"/>
      <c r="B2250" s="248" t="s">
        <v>6084</v>
      </c>
      <c r="C2250" s="248" t="s">
        <v>4036</v>
      </c>
      <c r="D2250" s="248"/>
      <c r="E2250" s="248"/>
      <c r="F2250" s="248"/>
      <c r="G2250" s="248" t="s">
        <v>2917</v>
      </c>
      <c r="H2250" s="248"/>
      <c r="I2250" s="248"/>
      <c r="J2250" s="248"/>
      <c r="K2250" s="248"/>
      <c r="L2250" s="248"/>
      <c r="M2250" s="248" t="s">
        <v>3550</v>
      </c>
    </row>
    <row r="2251" spans="1:13" ht="20.100000000000001" customHeight="1">
      <c r="A2251" s="248"/>
      <c r="B2251" s="248" t="s">
        <v>6085</v>
      </c>
      <c r="C2251" s="248" t="s">
        <v>4014</v>
      </c>
      <c r="D2251" s="248"/>
      <c r="E2251" s="248"/>
      <c r="F2251" s="248"/>
      <c r="G2251" s="248" t="s">
        <v>2918</v>
      </c>
      <c r="H2251" s="248"/>
      <c r="I2251" s="248"/>
      <c r="J2251" s="248"/>
      <c r="K2251" s="248"/>
      <c r="L2251" s="248"/>
      <c r="M2251" s="248" t="s">
        <v>2919</v>
      </c>
    </row>
    <row r="2252" spans="1:13" ht="20.100000000000001" customHeight="1">
      <c r="A2252" s="248"/>
      <c r="B2252" s="248" t="s">
        <v>6086</v>
      </c>
      <c r="C2252" s="248" t="s">
        <v>4146</v>
      </c>
      <c r="D2252" s="248"/>
      <c r="E2252" s="248"/>
      <c r="F2252" s="248"/>
      <c r="G2252" s="248" t="s">
        <v>2920</v>
      </c>
      <c r="H2252" s="248"/>
      <c r="I2252" s="248"/>
      <c r="J2252" s="248"/>
      <c r="K2252" s="248"/>
      <c r="L2252" s="248"/>
      <c r="M2252" s="248" t="s">
        <v>2921</v>
      </c>
    </row>
    <row r="2253" spans="1:13" ht="20.100000000000001" customHeight="1">
      <c r="A2253" s="248"/>
      <c r="B2253" s="248" t="s">
        <v>6087</v>
      </c>
      <c r="C2253" s="248" t="s">
        <v>4016</v>
      </c>
      <c r="D2253" s="248"/>
      <c r="E2253" s="248"/>
      <c r="F2253" s="248"/>
      <c r="G2253" s="248" t="s">
        <v>2922</v>
      </c>
      <c r="H2253" s="248"/>
      <c r="I2253" s="248"/>
      <c r="J2253" s="248"/>
      <c r="K2253" s="248"/>
      <c r="L2253" s="248"/>
      <c r="M2253" s="248" t="s">
        <v>2923</v>
      </c>
    </row>
    <row r="2254" spans="1:13" ht="20.100000000000001" customHeight="1">
      <c r="A2254" s="248"/>
      <c r="B2254" s="248" t="s">
        <v>6088</v>
      </c>
      <c r="C2254" s="248" t="s">
        <v>4036</v>
      </c>
      <c r="D2254" s="248"/>
      <c r="E2254" s="248"/>
      <c r="F2254" s="248"/>
      <c r="G2254" s="248" t="s">
        <v>2924</v>
      </c>
      <c r="H2254" s="248"/>
      <c r="I2254" s="248"/>
      <c r="J2254" s="248"/>
      <c r="K2254" s="248"/>
      <c r="L2254" s="248"/>
      <c r="M2254" s="248" t="s">
        <v>2925</v>
      </c>
    </row>
    <row r="2255" spans="1:13" ht="20.100000000000001" customHeight="1">
      <c r="A2255" s="248"/>
      <c r="B2255" s="248" t="s">
        <v>6089</v>
      </c>
      <c r="C2255" s="248" t="s">
        <v>4036</v>
      </c>
      <c r="D2255" s="248"/>
      <c r="E2255" s="248"/>
      <c r="F2255" s="248"/>
      <c r="G2255" s="248" t="s">
        <v>2926</v>
      </c>
      <c r="H2255" s="248"/>
      <c r="I2255" s="248"/>
      <c r="J2255" s="248"/>
      <c r="K2255" s="248"/>
      <c r="L2255" s="248"/>
      <c r="M2255" s="248" t="s">
        <v>3550</v>
      </c>
    </row>
    <row r="2256" spans="1:13" ht="20.100000000000001" customHeight="1">
      <c r="A2256" s="248"/>
      <c r="B2256" s="248" t="s">
        <v>6090</v>
      </c>
      <c r="C2256" s="248" t="s">
        <v>4016</v>
      </c>
      <c r="D2256" s="248"/>
      <c r="E2256" s="248"/>
      <c r="F2256" s="248"/>
      <c r="G2256" s="248" t="s">
        <v>2987</v>
      </c>
      <c r="H2256" s="248"/>
      <c r="I2256" s="248"/>
      <c r="J2256" s="248"/>
      <c r="K2256" s="248"/>
      <c r="L2256" s="248"/>
      <c r="M2256" s="248" t="s">
        <v>2988</v>
      </c>
    </row>
    <row r="2257" spans="1:13" ht="20.100000000000001" customHeight="1">
      <c r="A2257" s="248"/>
      <c r="B2257" s="248" t="s">
        <v>6091</v>
      </c>
      <c r="C2257" s="248" t="s">
        <v>4014</v>
      </c>
      <c r="D2257" s="248"/>
      <c r="E2257" s="248"/>
      <c r="F2257" s="248"/>
      <c r="G2257" s="248" t="s">
        <v>3492</v>
      </c>
      <c r="H2257" s="248"/>
      <c r="I2257" s="248"/>
      <c r="J2257" s="248"/>
      <c r="K2257" s="248"/>
      <c r="L2257" s="248"/>
      <c r="M2257" s="248" t="s">
        <v>196</v>
      </c>
    </row>
    <row r="2258" spans="1:13" ht="20.100000000000001" customHeight="1">
      <c r="A2258" s="248"/>
      <c r="B2258" s="248" t="s">
        <v>6092</v>
      </c>
      <c r="C2258" s="248" t="s">
        <v>4016</v>
      </c>
      <c r="D2258" s="248"/>
      <c r="E2258" s="248"/>
      <c r="F2258" s="248"/>
      <c r="G2258" s="248" t="s">
        <v>3593</v>
      </c>
      <c r="H2258" s="248"/>
      <c r="I2258" s="248"/>
      <c r="J2258" s="248"/>
      <c r="K2258" s="248"/>
      <c r="L2258" s="248"/>
      <c r="M2258" s="248" t="s">
        <v>3594</v>
      </c>
    </row>
    <row r="2259" spans="1:13" ht="20.100000000000001" customHeight="1">
      <c r="A2259" s="248"/>
      <c r="B2259" s="248" t="s">
        <v>6093</v>
      </c>
      <c r="C2259" s="248" t="s">
        <v>4014</v>
      </c>
      <c r="D2259" s="248"/>
      <c r="E2259" s="248"/>
      <c r="F2259" s="248"/>
      <c r="G2259" s="248" t="s">
        <v>2927</v>
      </c>
      <c r="H2259" s="248"/>
      <c r="I2259" s="248"/>
      <c r="J2259" s="248"/>
      <c r="K2259" s="248"/>
      <c r="L2259" s="248"/>
      <c r="M2259" s="248" t="s">
        <v>2928</v>
      </c>
    </row>
    <row r="2260" spans="1:13" ht="20.100000000000001" customHeight="1">
      <c r="A2260" s="248"/>
      <c r="B2260" s="248" t="s">
        <v>6387</v>
      </c>
      <c r="C2260" s="248" t="s">
        <v>4036</v>
      </c>
      <c r="D2260" s="248"/>
      <c r="E2260" s="248"/>
      <c r="F2260" s="248"/>
      <c r="G2260" s="248" t="s">
        <v>3937</v>
      </c>
      <c r="H2260" s="248"/>
      <c r="I2260" s="248"/>
      <c r="J2260" s="248"/>
      <c r="K2260" s="248"/>
      <c r="L2260" s="248"/>
      <c r="M2260" s="248" t="s">
        <v>3938</v>
      </c>
    </row>
    <row r="2261" spans="1:13" ht="20.100000000000001" customHeight="1">
      <c r="A2261" s="248"/>
      <c r="B2261" s="248" t="s">
        <v>6094</v>
      </c>
      <c r="C2261" s="248" t="s">
        <v>4036</v>
      </c>
      <c r="D2261" s="248"/>
      <c r="E2261" s="248"/>
      <c r="F2261" s="248"/>
      <c r="G2261" s="248" t="s">
        <v>2929</v>
      </c>
      <c r="H2261" s="248"/>
      <c r="I2261" s="248"/>
      <c r="J2261" s="248"/>
      <c r="K2261" s="248"/>
      <c r="L2261" s="248"/>
      <c r="M2261" s="248" t="s">
        <v>2930</v>
      </c>
    </row>
    <row r="2262" spans="1:13" ht="20.100000000000001" customHeight="1">
      <c r="A2262" s="248"/>
      <c r="B2262" s="248" t="s">
        <v>6596</v>
      </c>
      <c r="C2262" s="248" t="s">
        <v>4030</v>
      </c>
      <c r="D2262" s="248"/>
      <c r="E2262" s="248"/>
      <c r="F2262" s="248"/>
      <c r="G2262" s="248" t="s">
        <v>6597</v>
      </c>
      <c r="H2262" s="248"/>
      <c r="I2262" s="248"/>
      <c r="J2262" s="248"/>
      <c r="K2262" s="248"/>
      <c r="L2262" s="248"/>
      <c r="M2262" s="248" t="s">
        <v>6598</v>
      </c>
    </row>
    <row r="2263" spans="1:13" ht="20.100000000000001" customHeight="1">
      <c r="A2263" s="248"/>
      <c r="B2263" s="248" t="s">
        <v>6661</v>
      </c>
      <c r="C2263" s="248" t="s">
        <v>4014</v>
      </c>
      <c r="D2263" s="248"/>
      <c r="E2263" s="248"/>
      <c r="F2263" s="248"/>
      <c r="G2263" s="248" t="s">
        <v>6662</v>
      </c>
      <c r="H2263" s="248"/>
      <c r="I2263" s="248"/>
      <c r="J2263" s="248"/>
      <c r="K2263" s="248"/>
      <c r="L2263" s="248"/>
      <c r="M2263" s="248" t="s">
        <v>3550</v>
      </c>
    </row>
    <row r="2264" spans="1:13" ht="20.100000000000001" customHeight="1">
      <c r="A2264" s="248"/>
      <c r="B2264" s="248" t="s">
        <v>6095</v>
      </c>
      <c r="C2264" s="248" t="s">
        <v>4003</v>
      </c>
      <c r="D2264" s="248"/>
      <c r="E2264" s="248"/>
      <c r="F2264" s="248"/>
      <c r="G2264" s="248" t="s">
        <v>3116</v>
      </c>
      <c r="H2264" s="248"/>
      <c r="I2264" s="248"/>
      <c r="J2264" s="248"/>
      <c r="K2264" s="248"/>
      <c r="L2264" s="248"/>
      <c r="M2264" s="248" t="s">
        <v>3550</v>
      </c>
    </row>
    <row r="2265" spans="1:13" ht="20.100000000000001" customHeight="1">
      <c r="A2265" s="248"/>
      <c r="B2265" s="248" t="s">
        <v>6096</v>
      </c>
      <c r="C2265" s="248" t="s">
        <v>4008</v>
      </c>
      <c r="D2265" s="248"/>
      <c r="E2265" s="248"/>
      <c r="F2265" s="248"/>
      <c r="G2265" s="248" t="s">
        <v>3980</v>
      </c>
      <c r="H2265" s="248"/>
      <c r="I2265" s="248"/>
      <c r="J2265" s="248"/>
      <c r="K2265" s="248"/>
      <c r="L2265" s="248"/>
      <c r="M2265" s="248" t="s">
        <v>3550</v>
      </c>
    </row>
    <row r="2266" spans="1:13" ht="20.100000000000001" customHeight="1">
      <c r="A2266" s="248"/>
      <c r="B2266" s="248" t="s">
        <v>6097</v>
      </c>
      <c r="C2266" s="248" t="s">
        <v>4008</v>
      </c>
      <c r="D2266" s="248"/>
      <c r="E2266" s="248"/>
      <c r="F2266" s="248"/>
      <c r="G2266" s="248" t="s">
        <v>2931</v>
      </c>
      <c r="H2266" s="248"/>
      <c r="I2266" s="248"/>
      <c r="J2266" s="248"/>
      <c r="K2266" s="248"/>
      <c r="L2266" s="248"/>
      <c r="M2266" s="248" t="s">
        <v>2932</v>
      </c>
    </row>
    <row r="2267" spans="1:13" ht="20.100000000000001" customHeight="1">
      <c r="A2267" s="248"/>
      <c r="B2267" s="248" t="s">
        <v>6098</v>
      </c>
      <c r="C2267" s="248" t="s">
        <v>4016</v>
      </c>
      <c r="D2267" s="248"/>
      <c r="E2267" s="248"/>
      <c r="F2267" s="248"/>
      <c r="G2267" s="248" t="s">
        <v>2933</v>
      </c>
      <c r="H2267" s="248"/>
      <c r="I2267" s="248"/>
      <c r="J2267" s="248"/>
      <c r="K2267" s="248"/>
      <c r="L2267" s="248"/>
      <c r="M2267" s="248" t="s">
        <v>2934</v>
      </c>
    </row>
    <row r="2268" spans="1:13" ht="20.100000000000001" customHeight="1">
      <c r="A2268" s="248"/>
      <c r="B2268" s="248" t="s">
        <v>6099</v>
      </c>
      <c r="C2268" s="248" t="s">
        <v>4025</v>
      </c>
      <c r="D2268" s="248"/>
      <c r="E2268" s="248"/>
      <c r="F2268" s="248"/>
      <c r="G2268" s="248" t="s">
        <v>3236</v>
      </c>
      <c r="H2268" s="248"/>
      <c r="I2268" s="248"/>
      <c r="J2268" s="248"/>
      <c r="K2268" s="248"/>
      <c r="L2268" s="248"/>
      <c r="M2268" s="248" t="s">
        <v>2935</v>
      </c>
    </row>
    <row r="2269" spans="1:13" ht="20.100000000000001" customHeight="1">
      <c r="A2269" s="248"/>
      <c r="B2269" s="248" t="s">
        <v>6165</v>
      </c>
      <c r="C2269" s="248" t="s">
        <v>4008</v>
      </c>
      <c r="D2269" s="248"/>
      <c r="E2269" s="248"/>
      <c r="F2269" s="248"/>
      <c r="G2269" s="248" t="s">
        <v>6166</v>
      </c>
      <c r="H2269" s="248"/>
      <c r="I2269" s="248"/>
      <c r="J2269" s="248"/>
      <c r="K2269" s="248"/>
      <c r="L2269" s="248"/>
      <c r="M2269" s="248" t="s">
        <v>6167</v>
      </c>
    </row>
    <row r="2270" spans="1:13" ht="20.100000000000001" customHeight="1">
      <c r="A2270" s="248"/>
      <c r="B2270" s="248" t="s">
        <v>6100</v>
      </c>
      <c r="C2270" s="248" t="s">
        <v>4740</v>
      </c>
      <c r="D2270" s="248"/>
      <c r="E2270" s="248"/>
      <c r="F2270" s="248"/>
      <c r="G2270" s="248" t="s">
        <v>2936</v>
      </c>
      <c r="H2270" s="248"/>
      <c r="I2270" s="248"/>
      <c r="J2270" s="248"/>
      <c r="K2270" s="248"/>
      <c r="L2270" s="248"/>
      <c r="M2270" s="248" t="s">
        <v>2937</v>
      </c>
    </row>
    <row r="2271" spans="1:13" ht="20.100000000000001" customHeight="1">
      <c r="A2271" s="248"/>
      <c r="B2271" s="248" t="s">
        <v>6101</v>
      </c>
      <c r="C2271" s="248" t="s">
        <v>4016</v>
      </c>
      <c r="D2271" s="248"/>
      <c r="E2271" s="248"/>
      <c r="F2271" s="248"/>
      <c r="G2271" s="248" t="s">
        <v>3164</v>
      </c>
      <c r="H2271" s="248"/>
      <c r="I2271" s="248"/>
      <c r="J2271" s="248"/>
      <c r="K2271" s="248"/>
      <c r="L2271" s="248"/>
      <c r="M2271" s="248" t="s">
        <v>196</v>
      </c>
    </row>
    <row r="2272" spans="1:13" ht="20.100000000000001" customHeight="1">
      <c r="A2272" s="248"/>
      <c r="B2272" s="248" t="s">
        <v>6102</v>
      </c>
      <c r="C2272" s="248" t="s">
        <v>4025</v>
      </c>
      <c r="D2272" s="248"/>
      <c r="E2272" s="248"/>
      <c r="F2272" s="248"/>
      <c r="G2272" s="248" t="s">
        <v>3312</v>
      </c>
      <c r="H2272" s="248"/>
      <c r="I2272" s="248"/>
      <c r="J2272" s="248"/>
      <c r="K2272" s="248"/>
      <c r="L2272" s="248"/>
      <c r="M2272" s="248" t="s">
        <v>2970</v>
      </c>
    </row>
    <row r="2273" spans="1:13" ht="20.100000000000001" customHeight="1">
      <c r="A2273" s="248"/>
      <c r="B2273" s="248" t="s">
        <v>6103</v>
      </c>
      <c r="C2273" s="248" t="s">
        <v>4036</v>
      </c>
      <c r="D2273" s="248"/>
      <c r="E2273" s="248"/>
      <c r="F2273" s="248"/>
      <c r="G2273" s="248" t="s">
        <v>2938</v>
      </c>
      <c r="H2273" s="248"/>
      <c r="I2273" s="248"/>
      <c r="J2273" s="248"/>
      <c r="K2273" s="248"/>
      <c r="L2273" s="248"/>
      <c r="M2273" s="248" t="s">
        <v>2939</v>
      </c>
    </row>
    <row r="2274" spans="1:13" ht="20.100000000000001" customHeight="1">
      <c r="A2274" s="248"/>
      <c r="B2274" s="248" t="s">
        <v>6104</v>
      </c>
      <c r="C2274" s="248" t="s">
        <v>4016</v>
      </c>
      <c r="D2274" s="248"/>
      <c r="E2274" s="248"/>
      <c r="F2274" s="248"/>
      <c r="G2274" s="248" t="s">
        <v>2940</v>
      </c>
      <c r="H2274" s="248"/>
      <c r="I2274" s="248"/>
      <c r="J2274" s="248"/>
      <c r="K2274" s="248"/>
      <c r="L2274" s="248"/>
      <c r="M2274" s="248" t="s">
        <v>2941</v>
      </c>
    </row>
    <row r="2275" spans="1:13" ht="20.100000000000001" customHeight="1">
      <c r="A2275" s="248"/>
      <c r="B2275" s="248" t="s">
        <v>6105</v>
      </c>
      <c r="C2275" s="248" t="s">
        <v>4030</v>
      </c>
      <c r="D2275" s="248"/>
      <c r="E2275" s="248"/>
      <c r="F2275" s="248"/>
      <c r="G2275" s="248" t="s">
        <v>2942</v>
      </c>
      <c r="H2275" s="248"/>
      <c r="I2275" s="248"/>
      <c r="J2275" s="248"/>
      <c r="K2275" s="248"/>
      <c r="L2275" s="248"/>
      <c r="M2275" s="248" t="s">
        <v>3550</v>
      </c>
    </row>
    <row r="2276" spans="1:13" ht="20.100000000000001" customHeight="1">
      <c r="A2276" s="248"/>
      <c r="B2276" s="248" t="s">
        <v>6473</v>
      </c>
      <c r="C2276" s="248" t="s">
        <v>4012</v>
      </c>
      <c r="D2276" s="248"/>
      <c r="E2276" s="248"/>
      <c r="F2276" s="248"/>
      <c r="G2276" s="248" t="s">
        <v>2943</v>
      </c>
      <c r="H2276" s="248"/>
      <c r="I2276" s="248"/>
      <c r="J2276" s="248"/>
      <c r="K2276" s="248"/>
      <c r="L2276" s="248"/>
      <c r="M2276" s="248" t="s">
        <v>2944</v>
      </c>
    </row>
    <row r="2277" spans="1:13" ht="20.100000000000001" customHeight="1">
      <c r="A2277" s="248"/>
      <c r="B2277" s="248" t="s">
        <v>6106</v>
      </c>
      <c r="C2277" s="248" t="s">
        <v>4008</v>
      </c>
      <c r="D2277" s="248"/>
      <c r="E2277" s="248"/>
      <c r="F2277" s="248"/>
      <c r="G2277" s="248" t="s">
        <v>2945</v>
      </c>
      <c r="H2277" s="248"/>
      <c r="I2277" s="248"/>
      <c r="J2277" s="248"/>
      <c r="K2277" s="248"/>
      <c r="L2277" s="248"/>
      <c r="M2277" s="248" t="s">
        <v>2946</v>
      </c>
    </row>
    <row r="2278" spans="1:13" ht="20.100000000000001" customHeight="1">
      <c r="A2278" s="248"/>
      <c r="B2278" s="248" t="s">
        <v>6107</v>
      </c>
      <c r="C2278" s="248" t="s">
        <v>4030</v>
      </c>
      <c r="D2278" s="248"/>
      <c r="E2278" s="248"/>
      <c r="F2278" s="248"/>
      <c r="G2278" s="248" t="s">
        <v>2947</v>
      </c>
      <c r="H2278" s="248"/>
      <c r="I2278" s="248"/>
      <c r="J2278" s="248"/>
      <c r="K2278" s="248"/>
      <c r="L2278" s="248"/>
      <c r="M2278" s="248" t="s">
        <v>2948</v>
      </c>
    </row>
    <row r="2279" spans="1:13" ht="20.100000000000001" customHeight="1">
      <c r="A2279" s="248"/>
      <c r="B2279" s="248" t="s">
        <v>6108</v>
      </c>
      <c r="C2279" s="248" t="s">
        <v>4003</v>
      </c>
      <c r="D2279" s="248"/>
      <c r="E2279" s="248"/>
      <c r="F2279" s="248"/>
      <c r="G2279" s="248" t="s">
        <v>2949</v>
      </c>
      <c r="H2279" s="248"/>
      <c r="I2279" s="248"/>
      <c r="J2279" s="248"/>
      <c r="K2279" s="248"/>
      <c r="L2279" s="248"/>
      <c r="M2279" s="248" t="s">
        <v>2950</v>
      </c>
    </row>
    <row r="2280" spans="1:13" ht="20.100000000000001" customHeight="1">
      <c r="A2280" s="248"/>
      <c r="B2280" s="248" t="s">
        <v>6109</v>
      </c>
      <c r="C2280" s="248" t="s">
        <v>4016</v>
      </c>
      <c r="D2280" s="248"/>
      <c r="E2280" s="248"/>
      <c r="F2280" s="248"/>
      <c r="G2280" s="248" t="s">
        <v>3232</v>
      </c>
      <c r="H2280" s="248"/>
      <c r="I2280" s="248"/>
      <c r="J2280" s="248"/>
      <c r="K2280" s="248"/>
      <c r="L2280" s="248"/>
      <c r="M2280" s="248" t="s">
        <v>2395</v>
      </c>
    </row>
    <row r="2281" spans="1:13" ht="20.100000000000001" customHeight="1">
      <c r="A2281" s="248"/>
      <c r="B2281" s="248" t="s">
        <v>6110</v>
      </c>
      <c r="C2281" s="248" t="s">
        <v>4025</v>
      </c>
      <c r="D2281" s="248"/>
      <c r="E2281" s="248"/>
      <c r="F2281" s="248"/>
      <c r="G2281" s="248" t="s">
        <v>2951</v>
      </c>
      <c r="H2281" s="248"/>
      <c r="I2281" s="248"/>
      <c r="J2281" s="248"/>
      <c r="K2281" s="248"/>
      <c r="L2281" s="248"/>
      <c r="M2281" s="248" t="s">
        <v>2952</v>
      </c>
    </row>
    <row r="2282" spans="1:13" ht="20.100000000000001" customHeight="1">
      <c r="A2282" s="248"/>
      <c r="B2282" s="248" t="s">
        <v>6111</v>
      </c>
      <c r="C2282" s="248" t="s">
        <v>4036</v>
      </c>
      <c r="D2282" s="248"/>
      <c r="E2282" s="248"/>
      <c r="F2282" s="248"/>
      <c r="G2282" s="248" t="s">
        <v>3335</v>
      </c>
      <c r="H2282" s="248"/>
      <c r="I2282" s="248"/>
      <c r="J2282" s="248"/>
      <c r="K2282" s="248"/>
      <c r="L2282" s="248"/>
      <c r="M2282" s="248" t="s">
        <v>3336</v>
      </c>
    </row>
    <row r="2283" spans="1:13" ht="20.100000000000001" customHeight="1">
      <c r="A2283" s="248"/>
      <c r="B2283" s="248" t="s">
        <v>6112</v>
      </c>
      <c r="C2283" s="248" t="s">
        <v>4016</v>
      </c>
      <c r="D2283" s="248"/>
      <c r="E2283" s="248"/>
      <c r="F2283" s="248"/>
      <c r="G2283" s="248" t="s">
        <v>2953</v>
      </c>
      <c r="H2283" s="248"/>
      <c r="I2283" s="248"/>
      <c r="J2283" s="248"/>
      <c r="K2283" s="248"/>
      <c r="L2283" s="248"/>
      <c r="M2283" s="248" t="s">
        <v>2954</v>
      </c>
    </row>
    <row r="2284" spans="1:13" ht="20.100000000000001" customHeight="1">
      <c r="A2284" s="248"/>
      <c r="B2284" s="248" t="s">
        <v>6113</v>
      </c>
      <c r="C2284" s="248" t="s">
        <v>4012</v>
      </c>
      <c r="D2284" s="248"/>
      <c r="E2284" s="248"/>
      <c r="F2284" s="248"/>
      <c r="G2284" s="248" t="s">
        <v>2955</v>
      </c>
      <c r="H2284" s="248"/>
      <c r="I2284" s="248"/>
      <c r="J2284" s="248"/>
      <c r="K2284" s="248"/>
      <c r="L2284" s="248"/>
      <c r="M2284" s="248" t="s">
        <v>3550</v>
      </c>
    </row>
    <row r="2285" spans="1:13" ht="20.100000000000001" customHeight="1">
      <c r="A2285" s="248"/>
      <c r="B2285" s="248" t="s">
        <v>6114</v>
      </c>
      <c r="C2285" s="248" t="s">
        <v>4014</v>
      </c>
      <c r="D2285" s="248"/>
      <c r="E2285" s="248"/>
      <c r="F2285" s="248"/>
      <c r="G2285" s="248" t="s">
        <v>3595</v>
      </c>
      <c r="H2285" s="248"/>
      <c r="I2285" s="248"/>
      <c r="J2285" s="248"/>
      <c r="K2285" s="248"/>
      <c r="L2285" s="248"/>
      <c r="M2285" s="248" t="s">
        <v>196</v>
      </c>
    </row>
    <row r="2286" spans="1:13" ht="20.100000000000001" customHeight="1">
      <c r="A2286" s="248"/>
      <c r="B2286" s="248" t="s">
        <v>6115</v>
      </c>
      <c r="C2286" s="248" t="s">
        <v>4016</v>
      </c>
      <c r="D2286" s="248"/>
      <c r="E2286" s="248"/>
      <c r="F2286" s="248"/>
      <c r="G2286" s="248" t="s">
        <v>2956</v>
      </c>
      <c r="H2286" s="248"/>
      <c r="I2286" s="248"/>
      <c r="J2286" s="248"/>
      <c r="K2286" s="248"/>
      <c r="L2286" s="248"/>
      <c r="M2286" s="248" t="s">
        <v>2957</v>
      </c>
    </row>
    <row r="2287" spans="1:13" ht="20.100000000000001" customHeight="1">
      <c r="A2287" s="248"/>
      <c r="B2287" s="248" t="s">
        <v>6116</v>
      </c>
      <c r="C2287" s="248" t="s">
        <v>4012</v>
      </c>
      <c r="D2287" s="248"/>
      <c r="E2287" s="248"/>
      <c r="F2287" s="248"/>
      <c r="G2287" s="248" t="s">
        <v>3220</v>
      </c>
      <c r="H2287" s="248"/>
      <c r="I2287" s="248"/>
      <c r="J2287" s="248"/>
      <c r="K2287" s="248"/>
      <c r="L2287" s="248"/>
      <c r="M2287" s="248" t="s">
        <v>3050</v>
      </c>
    </row>
    <row r="2288" spans="1:13" ht="20.100000000000001" customHeight="1">
      <c r="A2288" s="248"/>
      <c r="B2288" s="248" t="s">
        <v>6117</v>
      </c>
      <c r="C2288" s="248" t="s">
        <v>4124</v>
      </c>
      <c r="D2288" s="248"/>
      <c r="E2288" s="248"/>
      <c r="F2288" s="248"/>
      <c r="G2288" s="248" t="s">
        <v>3221</v>
      </c>
      <c r="H2288" s="248"/>
      <c r="I2288" s="248"/>
      <c r="J2288" s="248"/>
      <c r="K2288" s="248"/>
      <c r="L2288" s="248"/>
      <c r="M2288" s="248" t="s">
        <v>2958</v>
      </c>
    </row>
    <row r="2289" spans="1:13" ht="20.100000000000001" customHeight="1">
      <c r="A2289" s="248"/>
      <c r="B2289" s="248" t="s">
        <v>6118</v>
      </c>
      <c r="C2289" s="248" t="s">
        <v>4016</v>
      </c>
      <c r="D2289" s="248"/>
      <c r="E2289" s="248"/>
      <c r="F2289" s="248"/>
      <c r="G2289" s="248" t="s">
        <v>2959</v>
      </c>
      <c r="H2289" s="248"/>
      <c r="I2289" s="248"/>
      <c r="J2289" s="248"/>
      <c r="K2289" s="248"/>
      <c r="L2289" s="248"/>
      <c r="M2289" s="248" t="s">
        <v>2960</v>
      </c>
    </row>
    <row r="2290" spans="1:13" ht="20.100000000000001" customHeight="1">
      <c r="A2290" s="248"/>
      <c r="B2290" s="248" t="s">
        <v>6119</v>
      </c>
      <c r="C2290" s="248" t="s">
        <v>4025</v>
      </c>
      <c r="D2290" s="248"/>
      <c r="E2290" s="248"/>
      <c r="F2290" s="248"/>
      <c r="G2290" s="248" t="s">
        <v>2961</v>
      </c>
      <c r="H2290" s="248"/>
      <c r="I2290" s="248"/>
      <c r="J2290" s="248"/>
      <c r="K2290" s="248"/>
      <c r="L2290" s="248"/>
      <c r="M2290" s="248" t="s">
        <v>2962</v>
      </c>
    </row>
    <row r="2291" spans="1:13" ht="20.100000000000001" customHeight="1">
      <c r="A2291" s="248"/>
      <c r="B2291" s="248" t="s">
        <v>6388</v>
      </c>
      <c r="C2291" s="248" t="s">
        <v>4003</v>
      </c>
      <c r="D2291" s="248"/>
      <c r="E2291" s="248"/>
      <c r="F2291" s="248"/>
      <c r="G2291" s="248" t="s">
        <v>6389</v>
      </c>
      <c r="H2291" s="248"/>
      <c r="I2291" s="248"/>
      <c r="J2291" s="248"/>
      <c r="K2291" s="248"/>
      <c r="L2291" s="248"/>
      <c r="M2291" s="248" t="s">
        <v>6390</v>
      </c>
    </row>
    <row r="2292" spans="1:13" ht="20.100000000000001" customHeight="1">
      <c r="A2292" s="248"/>
      <c r="B2292" s="248" t="s">
        <v>6120</v>
      </c>
      <c r="C2292" s="248" t="s">
        <v>4016</v>
      </c>
      <c r="D2292" s="248"/>
      <c r="E2292" s="248"/>
      <c r="F2292" s="248"/>
      <c r="G2292" s="248" t="s">
        <v>2963</v>
      </c>
      <c r="H2292" s="248"/>
      <c r="I2292" s="248"/>
      <c r="J2292" s="248"/>
      <c r="K2292" s="248"/>
      <c r="L2292" s="248"/>
      <c r="M2292" s="248" t="s">
        <v>2964</v>
      </c>
    </row>
    <row r="2293" spans="1:13" ht="20.100000000000001" customHeight="1">
      <c r="A2293" s="248"/>
      <c r="B2293" s="248" t="s">
        <v>6121</v>
      </c>
      <c r="C2293" s="248" t="s">
        <v>4036</v>
      </c>
      <c r="D2293" s="248"/>
      <c r="E2293" s="248"/>
      <c r="F2293" s="248"/>
      <c r="G2293" s="248" t="s">
        <v>3493</v>
      </c>
      <c r="H2293" s="248"/>
      <c r="I2293" s="248"/>
      <c r="J2293" s="248"/>
      <c r="K2293" s="248"/>
      <c r="L2293" s="248"/>
      <c r="M2293" s="248" t="s">
        <v>3494</v>
      </c>
    </row>
    <row r="2294" spans="1:13" ht="20.100000000000001" customHeight="1">
      <c r="A2294" s="248"/>
      <c r="B2294" s="248" t="s">
        <v>6122</v>
      </c>
      <c r="C2294" s="248" t="s">
        <v>4012</v>
      </c>
      <c r="D2294" s="248"/>
      <c r="E2294" s="248"/>
      <c r="F2294" s="248"/>
      <c r="G2294" s="248" t="s">
        <v>2965</v>
      </c>
      <c r="H2294" s="248"/>
      <c r="I2294" s="248"/>
      <c r="J2294" s="248"/>
      <c r="K2294" s="248"/>
      <c r="L2294" s="248"/>
      <c r="M2294" s="248" t="s">
        <v>2966</v>
      </c>
    </row>
    <row r="2295" spans="1:13" ht="20.100000000000001" customHeight="1">
      <c r="A2295" s="248"/>
      <c r="B2295" s="248" t="s">
        <v>6123</v>
      </c>
      <c r="C2295" s="248" t="s">
        <v>4003</v>
      </c>
      <c r="D2295" s="248"/>
      <c r="E2295" s="248"/>
      <c r="F2295" s="248"/>
      <c r="G2295" s="248" t="s">
        <v>2967</v>
      </c>
      <c r="H2295" s="248"/>
      <c r="I2295" s="248"/>
      <c r="J2295" s="248"/>
      <c r="K2295" s="248"/>
      <c r="L2295" s="248"/>
      <c r="M2295" s="248" t="s">
        <v>3550</v>
      </c>
    </row>
    <row r="2296" spans="1:13" ht="20.100000000000001" customHeight="1">
      <c r="A2296" s="248"/>
      <c r="B2296" s="248" t="s">
        <v>6124</v>
      </c>
      <c r="C2296" s="248" t="s">
        <v>4016</v>
      </c>
      <c r="D2296" s="248"/>
      <c r="E2296" s="248"/>
      <c r="F2296" s="248"/>
      <c r="G2296" s="248" t="s">
        <v>2968</v>
      </c>
      <c r="H2296" s="248"/>
      <c r="I2296" s="248"/>
      <c r="J2296" s="248"/>
      <c r="K2296" s="248"/>
      <c r="L2296" s="248"/>
      <c r="M2296" s="248" t="s">
        <v>2969</v>
      </c>
    </row>
    <row r="2297" spans="1:13" ht="20.100000000000001" customHeight="1">
      <c r="A2297" s="248"/>
      <c r="B2297" s="248" t="s">
        <v>6125</v>
      </c>
      <c r="C2297" s="248" t="s">
        <v>4014</v>
      </c>
      <c r="D2297" s="248"/>
      <c r="E2297" s="248"/>
      <c r="F2297" s="248"/>
      <c r="G2297" s="248" t="s">
        <v>2971</v>
      </c>
      <c r="H2297" s="248"/>
      <c r="I2297" s="248"/>
      <c r="J2297" s="248"/>
      <c r="K2297" s="248"/>
      <c r="L2297" s="248"/>
      <c r="M2297" s="248" t="s">
        <v>2972</v>
      </c>
    </row>
    <row r="2298" spans="1:13" ht="20.100000000000001" customHeight="1">
      <c r="A2298" s="248"/>
      <c r="B2298" s="248" t="s">
        <v>6126</v>
      </c>
      <c r="C2298" s="248" t="s">
        <v>4036</v>
      </c>
      <c r="D2298" s="248"/>
      <c r="E2298" s="248"/>
      <c r="F2298" s="248"/>
      <c r="G2298" s="248" t="s">
        <v>2973</v>
      </c>
      <c r="H2298" s="248"/>
      <c r="I2298" s="248"/>
      <c r="J2298" s="248"/>
      <c r="K2298" s="248"/>
      <c r="L2298" s="248"/>
      <c r="M2298" s="248" t="s">
        <v>2974</v>
      </c>
    </row>
    <row r="2299" spans="1:13" ht="20.100000000000001" customHeight="1">
      <c r="A2299" s="248"/>
      <c r="B2299" s="248" t="s">
        <v>6127</v>
      </c>
      <c r="C2299" s="248" t="s">
        <v>4025</v>
      </c>
      <c r="D2299" s="248"/>
      <c r="E2299" s="248"/>
      <c r="F2299" s="248"/>
      <c r="G2299" s="248" t="s">
        <v>2975</v>
      </c>
      <c r="H2299" s="248"/>
      <c r="I2299" s="248"/>
      <c r="J2299" s="248"/>
      <c r="K2299" s="248"/>
      <c r="L2299" s="248"/>
      <c r="M2299" s="248" t="s">
        <v>2976</v>
      </c>
    </row>
    <row r="2300" spans="1:13" ht="20.100000000000001" customHeight="1">
      <c r="A2300" s="248"/>
      <c r="B2300" s="248" t="s">
        <v>6213</v>
      </c>
      <c r="C2300" s="248" t="s">
        <v>4008</v>
      </c>
      <c r="D2300" s="248"/>
      <c r="E2300" s="248"/>
      <c r="F2300" s="248"/>
      <c r="G2300" s="248" t="s">
        <v>6214</v>
      </c>
      <c r="H2300" s="248"/>
      <c r="I2300" s="248"/>
      <c r="J2300" s="248"/>
      <c r="K2300" s="248"/>
      <c r="L2300" s="248"/>
      <c r="M2300" s="248" t="s">
        <v>3550</v>
      </c>
    </row>
    <row r="2301" spans="1:13" ht="20.100000000000001" customHeight="1">
      <c r="A2301" s="248"/>
      <c r="B2301" s="248" t="s">
        <v>6128</v>
      </c>
      <c r="C2301" s="248" t="s">
        <v>4012</v>
      </c>
      <c r="D2301" s="248"/>
      <c r="E2301" s="248"/>
      <c r="F2301" s="248"/>
      <c r="G2301" s="248" t="s">
        <v>2977</v>
      </c>
      <c r="H2301" s="248"/>
      <c r="I2301" s="248"/>
      <c r="J2301" s="248"/>
      <c r="K2301" s="248"/>
      <c r="L2301" s="248"/>
      <c r="M2301" s="248" t="s">
        <v>3550</v>
      </c>
    </row>
    <row r="2302" spans="1:13" ht="20.100000000000001" customHeight="1">
      <c r="A2302" s="248"/>
      <c r="B2302" s="248"/>
      <c r="C2302" s="248"/>
      <c r="D2302" s="248"/>
      <c r="E2302" s="248"/>
      <c r="F2302" s="248"/>
      <c r="G2302" s="248"/>
      <c r="H2302" s="248"/>
      <c r="I2302" s="248"/>
      <c r="J2302" s="248"/>
      <c r="K2302" s="248"/>
      <c r="L2302" s="248"/>
      <c r="M2302" s="248"/>
    </row>
    <row r="2303" spans="1:13" ht="20.100000000000001" customHeight="1">
      <c r="A2303" s="248"/>
      <c r="B2303" s="248"/>
      <c r="C2303" s="248"/>
      <c r="D2303" s="248"/>
      <c r="E2303" s="248"/>
      <c r="F2303" s="248"/>
      <c r="G2303" s="248"/>
      <c r="H2303" s="248"/>
      <c r="I2303" s="248"/>
      <c r="J2303" s="248"/>
      <c r="K2303" s="248"/>
      <c r="L2303" s="248"/>
      <c r="M2303" s="248"/>
    </row>
    <row r="2304" spans="1:13" ht="20.100000000000001" customHeight="1">
      <c r="A2304" s="248"/>
      <c r="B2304" s="248"/>
      <c r="C2304" s="248"/>
      <c r="D2304" s="248"/>
      <c r="E2304" s="248"/>
      <c r="F2304" s="248"/>
      <c r="G2304" s="248"/>
      <c r="H2304" s="248"/>
      <c r="I2304" s="248"/>
      <c r="J2304" s="248"/>
      <c r="K2304" s="248"/>
      <c r="L2304" s="248"/>
      <c r="M2304" s="248"/>
    </row>
    <row r="2305" spans="1:13" ht="20.100000000000001" customHeight="1">
      <c r="A2305" s="248"/>
      <c r="B2305" s="248"/>
      <c r="C2305" s="248"/>
      <c r="D2305" s="248"/>
      <c r="E2305" s="248"/>
      <c r="F2305" s="248"/>
      <c r="G2305" s="248"/>
      <c r="H2305" s="248"/>
      <c r="I2305" s="248"/>
      <c r="J2305" s="248"/>
      <c r="K2305" s="248"/>
      <c r="L2305" s="248"/>
      <c r="M2305" s="248"/>
    </row>
    <row r="2306" spans="1:13" ht="20.100000000000001" customHeight="1">
      <c r="A2306" s="248"/>
      <c r="B2306" s="248"/>
      <c r="C2306" s="248"/>
      <c r="D2306" s="248"/>
      <c r="E2306" s="248"/>
      <c r="F2306" s="248"/>
      <c r="G2306" s="248"/>
      <c r="H2306" s="248"/>
      <c r="I2306" s="248"/>
      <c r="J2306" s="248"/>
      <c r="K2306" s="248"/>
      <c r="L2306" s="248"/>
      <c r="M2306" s="248"/>
    </row>
    <row r="2307" spans="1:13" ht="20.100000000000001" customHeight="1">
      <c r="A2307" s="248"/>
      <c r="B2307" s="248"/>
      <c r="C2307" s="248"/>
      <c r="D2307" s="248"/>
      <c r="E2307" s="248"/>
      <c r="F2307" s="248"/>
      <c r="G2307" s="248"/>
      <c r="H2307" s="248"/>
      <c r="I2307" s="248"/>
      <c r="J2307" s="248"/>
      <c r="K2307" s="248"/>
      <c r="L2307" s="248"/>
      <c r="M2307" s="248"/>
    </row>
    <row r="2308" spans="1:13" ht="20.100000000000001" customHeight="1">
      <c r="A2308" s="248"/>
      <c r="B2308" s="248"/>
      <c r="C2308" s="248"/>
      <c r="D2308" s="248"/>
      <c r="E2308" s="248"/>
      <c r="F2308" s="248"/>
      <c r="G2308" s="248"/>
      <c r="H2308" s="248"/>
      <c r="I2308" s="248"/>
      <c r="J2308" s="248"/>
      <c r="K2308" s="248"/>
      <c r="L2308" s="248"/>
      <c r="M2308" s="248"/>
    </row>
    <row r="2309" spans="1:13" ht="20.100000000000001" customHeight="1">
      <c r="A2309" s="248"/>
      <c r="B2309" s="248"/>
      <c r="C2309" s="248"/>
      <c r="D2309" s="248"/>
      <c r="E2309" s="248"/>
      <c r="F2309" s="248"/>
      <c r="G2309" s="248"/>
      <c r="H2309" s="248"/>
      <c r="I2309" s="248"/>
      <c r="J2309" s="248"/>
      <c r="K2309" s="248"/>
      <c r="L2309" s="248"/>
      <c r="M2309" s="248"/>
    </row>
    <row r="2310" spans="1:13" ht="20.100000000000001" customHeight="1">
      <c r="A2310" s="248"/>
      <c r="B2310" s="248"/>
      <c r="C2310" s="248"/>
      <c r="D2310" s="248"/>
      <c r="E2310" s="248"/>
      <c r="F2310" s="248"/>
      <c r="G2310" s="248"/>
      <c r="H2310" s="248"/>
      <c r="I2310" s="248"/>
      <c r="J2310" s="248"/>
      <c r="K2310" s="248"/>
      <c r="L2310" s="248"/>
      <c r="M2310" s="248"/>
    </row>
    <row r="2311" spans="1:13" ht="20.100000000000001" customHeight="1">
      <c r="A2311" s="248"/>
      <c r="B2311" s="248"/>
      <c r="C2311" s="248"/>
      <c r="D2311" s="248"/>
      <c r="E2311" s="248"/>
      <c r="F2311" s="248"/>
      <c r="G2311" s="248"/>
      <c r="H2311" s="248"/>
      <c r="I2311" s="248"/>
      <c r="J2311" s="248"/>
      <c r="K2311" s="248"/>
      <c r="L2311" s="248"/>
      <c r="M2311" s="248"/>
    </row>
    <row r="2312" spans="1:13" ht="20.100000000000001" customHeight="1">
      <c r="A2312" s="248"/>
      <c r="B2312" s="248"/>
      <c r="C2312" s="248"/>
      <c r="D2312" s="248"/>
      <c r="E2312" s="248"/>
      <c r="F2312" s="248"/>
      <c r="G2312" s="248"/>
      <c r="H2312" s="248"/>
      <c r="I2312" s="248"/>
      <c r="J2312" s="248"/>
      <c r="K2312" s="248"/>
      <c r="L2312" s="248"/>
      <c r="M2312" s="248"/>
    </row>
    <row r="2313" spans="1:13" ht="20.100000000000001" customHeight="1">
      <c r="A2313" s="248"/>
      <c r="B2313" s="248"/>
      <c r="C2313" s="248"/>
      <c r="D2313" s="248"/>
      <c r="E2313" s="248"/>
      <c r="F2313" s="248"/>
      <c r="G2313" s="248"/>
      <c r="H2313" s="248"/>
      <c r="I2313" s="248"/>
      <c r="J2313" s="248"/>
      <c r="K2313" s="248"/>
      <c r="L2313" s="248"/>
      <c r="M2313" s="248"/>
    </row>
    <row r="2314" spans="1:13" ht="20.100000000000001" customHeight="1">
      <c r="A2314" s="248"/>
      <c r="B2314" s="248"/>
      <c r="C2314" s="248"/>
      <c r="D2314" s="248"/>
      <c r="E2314" s="248"/>
      <c r="F2314" s="248"/>
      <c r="G2314" s="248"/>
      <c r="H2314" s="248"/>
      <c r="I2314" s="248"/>
      <c r="J2314" s="248"/>
      <c r="K2314" s="248"/>
      <c r="L2314" s="248"/>
      <c r="M2314" s="248"/>
    </row>
    <row r="2315" spans="1:13" ht="20.100000000000001" customHeight="1">
      <c r="A2315" s="248"/>
      <c r="B2315" s="248"/>
      <c r="C2315" s="248"/>
      <c r="D2315" s="248"/>
      <c r="E2315" s="248"/>
      <c r="F2315" s="248"/>
      <c r="G2315" s="248"/>
      <c r="H2315" s="248"/>
      <c r="I2315" s="248"/>
      <c r="J2315" s="248"/>
      <c r="K2315" s="248"/>
      <c r="L2315" s="248"/>
      <c r="M2315" s="248"/>
    </row>
    <row r="2316" spans="1:13" ht="20.100000000000001" customHeight="1">
      <c r="A2316" s="248"/>
      <c r="B2316" s="248"/>
      <c r="C2316" s="248"/>
      <c r="D2316" s="248"/>
      <c r="E2316" s="248"/>
      <c r="F2316" s="248"/>
      <c r="G2316" s="248"/>
      <c r="H2316" s="248"/>
      <c r="I2316" s="248"/>
      <c r="J2316" s="248"/>
      <c r="K2316" s="248"/>
      <c r="L2316" s="248"/>
      <c r="M2316" s="248"/>
    </row>
    <row r="2317" spans="1:13" ht="20.100000000000001" customHeight="1">
      <c r="A2317" s="248"/>
      <c r="B2317" s="248"/>
      <c r="C2317" s="248"/>
      <c r="D2317" s="248"/>
      <c r="E2317" s="248"/>
      <c r="F2317" s="248"/>
      <c r="G2317" s="248"/>
      <c r="H2317" s="248"/>
      <c r="I2317" s="248"/>
      <c r="J2317" s="248"/>
      <c r="K2317" s="248"/>
      <c r="L2317" s="248"/>
      <c r="M2317" s="248"/>
    </row>
    <row r="2318" spans="1:13" ht="20.100000000000001" customHeight="1">
      <c r="A2318" s="248"/>
      <c r="B2318" s="248"/>
      <c r="C2318" s="248"/>
      <c r="D2318" s="248"/>
      <c r="E2318" s="248"/>
      <c r="F2318" s="248"/>
      <c r="G2318" s="248"/>
      <c r="H2318" s="248"/>
      <c r="I2318" s="248"/>
      <c r="J2318" s="248"/>
      <c r="K2318" s="248"/>
      <c r="L2318" s="248"/>
      <c r="M2318" s="248"/>
    </row>
    <row r="2319" spans="1:13" ht="20.100000000000001" customHeight="1">
      <c r="A2319" s="248"/>
      <c r="B2319" s="248"/>
      <c r="C2319" s="248"/>
      <c r="D2319" s="248"/>
      <c r="E2319" s="248"/>
      <c r="F2319" s="248"/>
      <c r="G2319" s="248"/>
      <c r="H2319" s="248"/>
      <c r="I2319" s="248"/>
      <c r="J2319" s="248"/>
      <c r="K2319" s="248"/>
      <c r="L2319" s="248"/>
      <c r="M2319" s="248"/>
    </row>
    <row r="2320" spans="1:13" ht="20.100000000000001" customHeight="1">
      <c r="A2320" s="248"/>
      <c r="B2320" s="248"/>
      <c r="C2320" s="248"/>
      <c r="D2320" s="248"/>
      <c r="E2320" s="248"/>
      <c r="F2320" s="248"/>
      <c r="G2320" s="248"/>
      <c r="H2320" s="248"/>
      <c r="I2320" s="248"/>
      <c r="J2320" s="248"/>
      <c r="K2320" s="248"/>
      <c r="L2320" s="248"/>
      <c r="M2320" s="248"/>
    </row>
    <row r="2321" spans="1:13" ht="20.100000000000001" customHeight="1">
      <c r="A2321" s="248"/>
      <c r="B2321" s="248"/>
      <c r="C2321" s="248"/>
      <c r="D2321" s="248"/>
      <c r="E2321" s="248"/>
      <c r="F2321" s="248"/>
      <c r="G2321" s="248"/>
      <c r="H2321" s="248"/>
      <c r="I2321" s="248"/>
      <c r="J2321" s="248"/>
      <c r="K2321" s="248"/>
      <c r="L2321" s="248"/>
      <c r="M2321" s="248"/>
    </row>
    <row r="2322" spans="1:13" ht="20.100000000000001" customHeight="1">
      <c r="A2322" s="248"/>
      <c r="B2322" s="248"/>
      <c r="C2322" s="248"/>
      <c r="D2322" s="248"/>
      <c r="E2322" s="248"/>
      <c r="F2322" s="248"/>
      <c r="G2322" s="248"/>
      <c r="H2322" s="248"/>
      <c r="I2322" s="248"/>
      <c r="J2322" s="248"/>
      <c r="K2322" s="248"/>
      <c r="L2322" s="248"/>
      <c r="M2322" s="248"/>
    </row>
    <row r="2323" spans="1:13" ht="20.100000000000001" customHeight="1">
      <c r="A2323" s="248"/>
      <c r="B2323" s="248"/>
      <c r="C2323" s="248"/>
      <c r="D2323" s="248"/>
      <c r="E2323" s="248"/>
      <c r="F2323" s="248"/>
      <c r="G2323" s="248"/>
      <c r="H2323" s="248"/>
      <c r="I2323" s="248"/>
      <c r="J2323" s="248"/>
      <c r="K2323" s="248"/>
      <c r="L2323" s="248"/>
      <c r="M2323" s="248"/>
    </row>
    <row r="2324" spans="1:13" ht="20.100000000000001" customHeight="1">
      <c r="A2324" s="248"/>
      <c r="B2324" s="248"/>
      <c r="C2324" s="248"/>
      <c r="D2324" s="248"/>
      <c r="E2324" s="248"/>
      <c r="F2324" s="248"/>
      <c r="G2324" s="248"/>
      <c r="H2324" s="248"/>
      <c r="I2324" s="248"/>
      <c r="J2324" s="248"/>
      <c r="K2324" s="248"/>
      <c r="L2324" s="248"/>
      <c r="M2324" s="248"/>
    </row>
    <row r="2325" spans="1:13" ht="20.100000000000001" customHeight="1">
      <c r="A2325" s="248"/>
      <c r="B2325" s="248"/>
      <c r="C2325" s="248"/>
      <c r="D2325" s="248"/>
      <c r="E2325" s="248"/>
      <c r="F2325" s="248"/>
      <c r="G2325" s="248"/>
      <c r="H2325" s="248"/>
      <c r="I2325" s="248"/>
      <c r="J2325" s="248"/>
      <c r="K2325" s="248"/>
      <c r="L2325" s="248"/>
      <c r="M2325" s="248"/>
    </row>
    <row r="2326" spans="1:13" ht="20.100000000000001" customHeight="1">
      <c r="A2326" s="248"/>
      <c r="B2326" s="248"/>
      <c r="C2326" s="248"/>
      <c r="D2326" s="248"/>
      <c r="E2326" s="248"/>
      <c r="F2326" s="248"/>
      <c r="G2326" s="248"/>
      <c r="H2326" s="248"/>
      <c r="I2326" s="248"/>
      <c r="J2326" s="248"/>
      <c r="K2326" s="248"/>
      <c r="L2326" s="248"/>
      <c r="M2326" s="248"/>
    </row>
    <row r="2327" spans="1:13" ht="20.100000000000001" customHeight="1">
      <c r="A2327" s="248"/>
      <c r="B2327" s="248"/>
      <c r="C2327" s="248"/>
      <c r="D2327" s="248"/>
      <c r="E2327" s="248"/>
      <c r="F2327" s="248"/>
      <c r="G2327" s="248"/>
      <c r="H2327" s="248"/>
      <c r="I2327" s="248"/>
      <c r="J2327" s="248"/>
      <c r="K2327" s="248"/>
      <c r="L2327" s="248"/>
      <c r="M2327" s="248"/>
    </row>
    <row r="2328" spans="1:13" ht="20.100000000000001" customHeight="1">
      <c r="A2328" s="248"/>
      <c r="B2328" s="248"/>
      <c r="C2328" s="248"/>
      <c r="D2328" s="248"/>
      <c r="E2328" s="248"/>
      <c r="F2328" s="248"/>
      <c r="G2328" s="248"/>
      <c r="H2328" s="248"/>
      <c r="I2328" s="248"/>
      <c r="J2328" s="248"/>
      <c r="K2328" s="248"/>
      <c r="L2328" s="248"/>
      <c r="M2328" s="248"/>
    </row>
    <row r="2329" spans="1:13" ht="20.100000000000001" customHeight="1">
      <c r="A2329" s="248"/>
      <c r="B2329" s="248"/>
      <c r="C2329" s="248"/>
      <c r="D2329" s="248"/>
      <c r="E2329" s="248"/>
      <c r="F2329" s="248"/>
      <c r="G2329" s="248"/>
      <c r="H2329" s="248"/>
      <c r="I2329" s="248"/>
      <c r="J2329" s="248"/>
      <c r="K2329" s="248"/>
      <c r="L2329" s="248"/>
      <c r="M2329" s="248"/>
    </row>
    <row r="2330" spans="1:13" ht="20.100000000000001" customHeight="1">
      <c r="A2330" s="248"/>
      <c r="B2330" s="248"/>
      <c r="C2330" s="248"/>
      <c r="D2330" s="248"/>
      <c r="E2330" s="248"/>
      <c r="F2330" s="248"/>
      <c r="G2330" s="248"/>
      <c r="H2330" s="248"/>
      <c r="I2330" s="248"/>
      <c r="J2330" s="248"/>
      <c r="K2330" s="248"/>
      <c r="L2330" s="248"/>
      <c r="M2330" s="248"/>
    </row>
    <row r="2331" spans="1:13" ht="20.100000000000001" customHeight="1">
      <c r="A2331" s="248"/>
      <c r="B2331" s="248"/>
      <c r="C2331" s="248"/>
      <c r="D2331" s="248"/>
      <c r="E2331" s="248"/>
      <c r="F2331" s="248"/>
      <c r="G2331" s="248"/>
      <c r="H2331" s="248"/>
      <c r="I2331" s="248"/>
      <c r="J2331" s="248"/>
      <c r="K2331" s="248"/>
      <c r="L2331" s="248"/>
      <c r="M2331" s="248"/>
    </row>
    <row r="2332" spans="1:13" ht="20.100000000000001" customHeight="1">
      <c r="A2332" s="248"/>
      <c r="B2332" s="248"/>
      <c r="C2332" s="248"/>
      <c r="D2332" s="248"/>
      <c r="E2332" s="248"/>
      <c r="F2332" s="248"/>
      <c r="G2332" s="248"/>
      <c r="H2332" s="248"/>
      <c r="I2332" s="248"/>
      <c r="J2332" s="248"/>
      <c r="K2332" s="248"/>
      <c r="L2332" s="248"/>
      <c r="M2332" s="248"/>
    </row>
    <row r="2333" spans="1:13" ht="20.100000000000001" customHeight="1">
      <c r="A2333" s="248"/>
      <c r="B2333" s="248"/>
      <c r="C2333" s="248"/>
      <c r="D2333" s="248"/>
      <c r="E2333" s="248"/>
      <c r="F2333" s="248"/>
      <c r="G2333" s="248"/>
      <c r="H2333" s="248"/>
      <c r="I2333" s="248"/>
      <c r="J2333" s="248"/>
      <c r="K2333" s="248"/>
      <c r="L2333" s="248"/>
      <c r="M2333" s="248"/>
    </row>
    <row r="2334" spans="1:13" ht="20.100000000000001" customHeight="1">
      <c r="A2334" s="248"/>
      <c r="B2334" s="248"/>
      <c r="C2334" s="248"/>
      <c r="D2334" s="248"/>
      <c r="E2334" s="248"/>
      <c r="F2334" s="248"/>
      <c r="G2334" s="248"/>
      <c r="H2334" s="248"/>
      <c r="I2334" s="248"/>
      <c r="J2334" s="248"/>
      <c r="K2334" s="248"/>
      <c r="L2334" s="248"/>
      <c r="M2334" s="248"/>
    </row>
    <row r="2335" spans="1:13" ht="20.100000000000001" customHeight="1">
      <c r="A2335" s="248"/>
      <c r="B2335" s="248"/>
      <c r="C2335" s="248"/>
      <c r="D2335" s="248"/>
      <c r="E2335" s="248"/>
      <c r="F2335" s="248"/>
      <c r="G2335" s="248"/>
      <c r="H2335" s="248"/>
      <c r="I2335" s="248"/>
      <c r="J2335" s="248"/>
      <c r="K2335" s="248"/>
      <c r="L2335" s="248"/>
      <c r="M2335" s="248"/>
    </row>
    <row r="2336" spans="1:13" ht="20.100000000000001" customHeight="1">
      <c r="A2336" s="248"/>
      <c r="B2336" s="248"/>
      <c r="C2336" s="248"/>
      <c r="D2336" s="248"/>
      <c r="E2336" s="248"/>
      <c r="F2336" s="248"/>
      <c r="G2336" s="248"/>
      <c r="H2336" s="248"/>
      <c r="I2336" s="248"/>
      <c r="J2336" s="248"/>
      <c r="K2336" s="248"/>
      <c r="L2336" s="248"/>
      <c r="M2336" s="248"/>
    </row>
    <row r="2337" spans="1:13" ht="20.100000000000001" customHeight="1">
      <c r="A2337" s="248"/>
      <c r="B2337" s="248"/>
      <c r="C2337" s="248"/>
      <c r="D2337" s="248"/>
      <c r="E2337" s="248"/>
      <c r="F2337" s="248"/>
      <c r="G2337" s="248"/>
      <c r="H2337" s="248"/>
      <c r="I2337" s="248"/>
      <c r="J2337" s="248"/>
      <c r="K2337" s="248"/>
      <c r="L2337" s="248"/>
      <c r="M2337" s="248"/>
    </row>
    <row r="2338" spans="1:13" ht="20.100000000000001" customHeight="1">
      <c r="A2338" s="248"/>
      <c r="B2338" s="248"/>
      <c r="C2338" s="248"/>
      <c r="D2338" s="248"/>
      <c r="E2338" s="248"/>
      <c r="F2338" s="248"/>
      <c r="G2338" s="248"/>
      <c r="H2338" s="248"/>
      <c r="I2338" s="248"/>
      <c r="J2338" s="248"/>
      <c r="K2338" s="248"/>
      <c r="L2338" s="248"/>
      <c r="M2338" s="248"/>
    </row>
    <row r="2339" spans="1:13" ht="20.100000000000001" customHeight="1">
      <c r="A2339" s="248"/>
      <c r="B2339" s="248"/>
      <c r="C2339" s="248"/>
      <c r="D2339" s="248"/>
      <c r="E2339" s="248"/>
      <c r="F2339" s="248"/>
      <c r="G2339" s="248"/>
      <c r="H2339" s="248"/>
      <c r="I2339" s="248"/>
      <c r="J2339" s="248"/>
      <c r="K2339" s="248"/>
      <c r="L2339" s="248"/>
      <c r="M2339" s="248"/>
    </row>
    <row r="2340" spans="1:13" ht="20.100000000000001" customHeight="1">
      <c r="A2340" s="248"/>
      <c r="B2340" s="248"/>
      <c r="C2340" s="248"/>
      <c r="D2340" s="248"/>
      <c r="E2340" s="248"/>
      <c r="F2340" s="248"/>
      <c r="G2340" s="248"/>
      <c r="H2340" s="248"/>
      <c r="I2340" s="248"/>
      <c r="J2340" s="248"/>
      <c r="K2340" s="248"/>
      <c r="L2340" s="248"/>
      <c r="M2340" s="248"/>
    </row>
    <row r="2341" spans="1:13" ht="20.100000000000001" customHeight="1">
      <c r="A2341" s="248"/>
      <c r="B2341" s="248"/>
      <c r="C2341" s="248"/>
      <c r="D2341" s="248"/>
      <c r="E2341" s="248"/>
      <c r="F2341" s="248"/>
      <c r="G2341" s="248"/>
      <c r="H2341" s="248"/>
      <c r="I2341" s="248"/>
      <c r="J2341" s="248"/>
      <c r="K2341" s="248"/>
      <c r="L2341" s="248"/>
      <c r="M2341" s="248"/>
    </row>
    <row r="2342" spans="1:13" ht="20.100000000000001" customHeight="1">
      <c r="A2342" s="248"/>
      <c r="B2342" s="248"/>
      <c r="C2342" s="248"/>
      <c r="D2342" s="248"/>
      <c r="E2342" s="248"/>
      <c r="F2342" s="248"/>
      <c r="G2342" s="248"/>
      <c r="H2342" s="248"/>
      <c r="I2342" s="248"/>
      <c r="J2342" s="248"/>
      <c r="K2342" s="248"/>
      <c r="L2342" s="248"/>
      <c r="M2342" s="248"/>
    </row>
    <row r="2343" spans="1:13" ht="20.100000000000001" customHeight="1">
      <c r="A2343" s="248"/>
      <c r="B2343" s="248"/>
      <c r="C2343" s="248"/>
      <c r="D2343" s="248"/>
      <c r="E2343" s="248"/>
      <c r="F2343" s="248"/>
      <c r="G2343" s="248"/>
      <c r="H2343" s="248"/>
      <c r="I2343" s="248"/>
      <c r="J2343" s="248"/>
      <c r="K2343" s="248"/>
      <c r="L2343" s="248"/>
      <c r="M2343" s="248"/>
    </row>
    <row r="2344" spans="1:13" ht="20.100000000000001" customHeight="1">
      <c r="A2344" s="248"/>
      <c r="B2344" s="248"/>
      <c r="C2344" s="248"/>
      <c r="D2344" s="248"/>
      <c r="E2344" s="248"/>
      <c r="F2344" s="248"/>
      <c r="G2344" s="248"/>
      <c r="H2344" s="248"/>
      <c r="I2344" s="248"/>
      <c r="J2344" s="248"/>
      <c r="K2344" s="248"/>
      <c r="L2344" s="248"/>
      <c r="M2344" s="248"/>
    </row>
    <row r="2345" spans="1:13" ht="20.100000000000001" customHeight="1">
      <c r="A2345" s="248"/>
      <c r="B2345" s="248"/>
      <c r="C2345" s="248"/>
      <c r="D2345" s="248"/>
      <c r="E2345" s="248"/>
      <c r="F2345" s="248"/>
      <c r="G2345" s="248"/>
      <c r="H2345" s="248"/>
      <c r="I2345" s="248"/>
      <c r="J2345" s="248"/>
      <c r="K2345" s="248"/>
      <c r="L2345" s="248"/>
      <c r="M2345" s="248"/>
    </row>
    <row r="2346" spans="1:13" ht="20.100000000000001" customHeight="1">
      <c r="A2346" s="248"/>
      <c r="B2346" s="248"/>
      <c r="C2346" s="248"/>
      <c r="D2346" s="248"/>
      <c r="E2346" s="248"/>
      <c r="F2346" s="248"/>
      <c r="G2346" s="248"/>
      <c r="H2346" s="248"/>
      <c r="I2346" s="248"/>
      <c r="J2346" s="248"/>
      <c r="K2346" s="248"/>
      <c r="L2346" s="248"/>
      <c r="M2346" s="248"/>
    </row>
    <row r="2347" spans="1:13" ht="20.100000000000001" customHeight="1">
      <c r="A2347" s="248"/>
      <c r="B2347" s="248"/>
      <c r="C2347" s="248"/>
      <c r="D2347" s="248"/>
      <c r="E2347" s="248"/>
      <c r="F2347" s="248"/>
      <c r="G2347" s="248"/>
      <c r="H2347" s="248"/>
      <c r="I2347" s="248"/>
      <c r="J2347" s="248"/>
      <c r="K2347" s="248"/>
      <c r="L2347" s="248"/>
      <c r="M2347" s="248"/>
    </row>
    <row r="2348" spans="1:13" ht="20.100000000000001" customHeight="1">
      <c r="A2348" s="248"/>
      <c r="B2348" s="248"/>
      <c r="C2348" s="248"/>
      <c r="D2348" s="248"/>
      <c r="E2348" s="248"/>
      <c r="F2348" s="248"/>
      <c r="G2348" s="248"/>
      <c r="H2348" s="248"/>
      <c r="I2348" s="248"/>
      <c r="J2348" s="248"/>
      <c r="K2348" s="248"/>
      <c r="L2348" s="248"/>
      <c r="M2348" s="248"/>
    </row>
    <row r="2349" spans="1:13" ht="20.100000000000001" customHeight="1">
      <c r="A2349" s="248"/>
      <c r="B2349" s="248"/>
      <c r="C2349" s="248"/>
      <c r="D2349" s="248"/>
      <c r="E2349" s="248"/>
      <c r="F2349" s="248"/>
      <c r="G2349" s="248"/>
      <c r="H2349" s="248"/>
      <c r="I2349" s="248"/>
      <c r="J2349" s="248"/>
      <c r="K2349" s="248"/>
      <c r="L2349" s="248"/>
      <c r="M2349" s="248"/>
    </row>
    <row r="2350" spans="1:13" ht="20.100000000000001" customHeight="1">
      <c r="A2350" s="248"/>
      <c r="B2350" s="248"/>
      <c r="C2350" s="248"/>
      <c r="D2350" s="248"/>
      <c r="E2350" s="248"/>
      <c r="F2350" s="248"/>
      <c r="G2350" s="248"/>
      <c r="H2350" s="248"/>
      <c r="I2350" s="248"/>
      <c r="J2350" s="248"/>
      <c r="K2350" s="248"/>
      <c r="L2350" s="248"/>
      <c r="M2350" s="248"/>
    </row>
    <row r="2351" spans="1:13" ht="20.100000000000001" customHeight="1">
      <c r="A2351" s="248"/>
      <c r="B2351" s="248"/>
      <c r="C2351" s="248"/>
      <c r="D2351" s="248"/>
      <c r="E2351" s="248"/>
      <c r="F2351" s="248"/>
      <c r="G2351" s="248"/>
      <c r="H2351" s="248"/>
      <c r="I2351" s="248"/>
      <c r="J2351" s="248"/>
      <c r="K2351" s="248"/>
      <c r="L2351" s="248"/>
      <c r="M2351" s="248"/>
    </row>
    <row r="2352" spans="1:13" ht="20.100000000000001" customHeight="1">
      <c r="A2352" s="248"/>
      <c r="B2352" s="248"/>
      <c r="C2352" s="248"/>
      <c r="D2352" s="248"/>
      <c r="E2352" s="248"/>
      <c r="F2352" s="248"/>
      <c r="G2352" s="248"/>
      <c r="H2352" s="248"/>
      <c r="I2352" s="248"/>
      <c r="J2352" s="248"/>
      <c r="K2352" s="248"/>
      <c r="L2352" s="248"/>
      <c r="M2352" s="248"/>
    </row>
    <row r="2353" spans="1:13" ht="20.100000000000001" customHeight="1">
      <c r="A2353" s="248"/>
      <c r="B2353" s="248"/>
      <c r="C2353" s="248"/>
      <c r="D2353" s="248"/>
      <c r="E2353" s="248"/>
      <c r="F2353" s="248"/>
      <c r="G2353" s="248"/>
      <c r="H2353" s="248"/>
      <c r="I2353" s="248"/>
      <c r="J2353" s="248"/>
      <c r="K2353" s="248"/>
      <c r="L2353" s="248"/>
      <c r="M2353" s="248"/>
    </row>
    <row r="2354" spans="1:13" ht="20.100000000000001" customHeight="1">
      <c r="A2354" s="248"/>
      <c r="B2354" s="248"/>
      <c r="C2354" s="248"/>
      <c r="D2354" s="248"/>
      <c r="E2354" s="248"/>
      <c r="F2354" s="248"/>
      <c r="G2354" s="248"/>
      <c r="H2354" s="248"/>
      <c r="I2354" s="248"/>
      <c r="J2354" s="248"/>
      <c r="K2354" s="248"/>
      <c r="L2354" s="248"/>
      <c r="M2354" s="248"/>
    </row>
    <row r="2355" spans="1:13" ht="20.100000000000001" customHeight="1">
      <c r="A2355" s="248"/>
      <c r="B2355" s="248"/>
      <c r="C2355" s="248"/>
      <c r="D2355" s="248"/>
      <c r="E2355" s="248"/>
      <c r="F2355" s="248"/>
      <c r="G2355" s="248"/>
      <c r="H2355" s="248"/>
      <c r="I2355" s="248"/>
      <c r="J2355" s="248"/>
      <c r="K2355" s="248"/>
      <c r="L2355" s="248"/>
      <c r="M2355" s="248"/>
    </row>
    <row r="2356" spans="1:13" ht="20.100000000000001" customHeight="1">
      <c r="A2356" s="248"/>
      <c r="B2356" s="248"/>
      <c r="C2356" s="248"/>
      <c r="D2356" s="248"/>
      <c r="E2356" s="248"/>
      <c r="F2356" s="248"/>
      <c r="G2356" s="248"/>
      <c r="H2356" s="248"/>
      <c r="I2356" s="248"/>
      <c r="J2356" s="248"/>
      <c r="K2356" s="248"/>
      <c r="L2356" s="248"/>
      <c r="M2356" s="248"/>
    </row>
    <row r="2357" spans="1:13" ht="20.100000000000001" customHeight="1">
      <c r="A2357" s="248"/>
      <c r="B2357" s="248"/>
      <c r="C2357" s="248"/>
      <c r="D2357" s="248"/>
      <c r="E2357" s="248"/>
      <c r="F2357" s="248"/>
      <c r="G2357" s="248"/>
      <c r="H2357" s="248"/>
      <c r="I2357" s="248"/>
      <c r="J2357" s="248"/>
      <c r="K2357" s="248"/>
      <c r="L2357" s="248"/>
      <c r="M2357" s="248"/>
    </row>
    <row r="2358" spans="1:13" ht="20.100000000000001" customHeight="1">
      <c r="A2358" s="248"/>
      <c r="B2358" s="248"/>
      <c r="C2358" s="248"/>
      <c r="D2358" s="248"/>
      <c r="E2358" s="248"/>
      <c r="F2358" s="248"/>
      <c r="G2358" s="248"/>
      <c r="H2358" s="248"/>
      <c r="I2358" s="248"/>
      <c r="J2358" s="248"/>
      <c r="K2358" s="248"/>
      <c r="L2358" s="248"/>
      <c r="M2358" s="248"/>
    </row>
    <row r="2359" spans="1:13" ht="20.100000000000001" customHeight="1">
      <c r="A2359" s="248"/>
      <c r="B2359" s="248"/>
      <c r="C2359" s="248"/>
      <c r="D2359" s="248"/>
      <c r="E2359" s="248"/>
      <c r="F2359" s="248"/>
      <c r="G2359" s="248"/>
      <c r="H2359" s="248"/>
      <c r="I2359" s="248"/>
      <c r="J2359" s="248"/>
      <c r="K2359" s="248"/>
      <c r="L2359" s="248"/>
      <c r="M2359" s="248"/>
    </row>
    <row r="2360" spans="1:13" ht="20.100000000000001" customHeight="1">
      <c r="A2360" s="248"/>
      <c r="B2360" s="248"/>
      <c r="C2360" s="248"/>
      <c r="D2360" s="248"/>
      <c r="E2360" s="248"/>
      <c r="F2360" s="248"/>
      <c r="G2360" s="248"/>
      <c r="H2360" s="248"/>
      <c r="I2360" s="248"/>
      <c r="J2360" s="248"/>
      <c r="K2360" s="248"/>
      <c r="L2360" s="248"/>
      <c r="M2360" s="248"/>
    </row>
    <row r="2361" spans="1:13" ht="20.100000000000001" customHeight="1">
      <c r="A2361" s="248"/>
      <c r="B2361" s="248"/>
      <c r="C2361" s="248"/>
      <c r="D2361" s="248"/>
      <c r="E2361" s="248"/>
      <c r="F2361" s="248"/>
      <c r="G2361" s="248"/>
      <c r="H2361" s="248"/>
      <c r="I2361" s="248"/>
      <c r="J2361" s="248"/>
      <c r="K2361" s="248"/>
      <c r="L2361" s="248"/>
      <c r="M2361" s="248"/>
    </row>
    <row r="2362" spans="1:13" ht="20.100000000000001" customHeight="1">
      <c r="A2362" s="248"/>
      <c r="B2362" s="248"/>
      <c r="C2362" s="248"/>
      <c r="D2362" s="248"/>
      <c r="E2362" s="248"/>
      <c r="F2362" s="248"/>
      <c r="G2362" s="248"/>
      <c r="H2362" s="248"/>
      <c r="I2362" s="248"/>
      <c r="J2362" s="248"/>
      <c r="K2362" s="248"/>
      <c r="L2362" s="248"/>
      <c r="M2362" s="248"/>
    </row>
    <row r="2363" spans="1:13" ht="20.100000000000001" customHeight="1">
      <c r="A2363" s="248"/>
      <c r="B2363" s="248"/>
      <c r="C2363" s="248"/>
      <c r="D2363" s="248"/>
      <c r="E2363" s="248"/>
      <c r="F2363" s="248"/>
      <c r="G2363" s="248"/>
      <c r="H2363" s="248"/>
      <c r="I2363" s="248"/>
      <c r="J2363" s="248"/>
      <c r="K2363" s="248"/>
      <c r="L2363" s="248"/>
      <c r="M2363" s="248"/>
    </row>
    <row r="2364" spans="1:13" ht="20.100000000000001" customHeight="1">
      <c r="A2364" s="248"/>
      <c r="B2364" s="248"/>
      <c r="C2364" s="248"/>
      <c r="D2364" s="248"/>
      <c r="E2364" s="248"/>
      <c r="F2364" s="248"/>
      <c r="G2364" s="248"/>
      <c r="H2364" s="248"/>
      <c r="I2364" s="248"/>
      <c r="J2364" s="248"/>
      <c r="K2364" s="248"/>
      <c r="L2364" s="248"/>
      <c r="M2364" s="248"/>
    </row>
    <row r="2365" spans="1:13" ht="20.100000000000001" customHeight="1">
      <c r="A2365" s="248"/>
      <c r="B2365" s="248"/>
      <c r="C2365" s="248"/>
      <c r="D2365" s="248"/>
      <c r="E2365" s="248"/>
      <c r="F2365" s="248"/>
      <c r="G2365" s="248"/>
      <c r="H2365" s="248"/>
      <c r="I2365" s="248"/>
      <c r="J2365" s="248"/>
      <c r="K2365" s="248"/>
      <c r="L2365" s="248"/>
      <c r="M2365" s="248"/>
    </row>
    <row r="2366" spans="1:13" ht="20.100000000000001" customHeight="1">
      <c r="A2366" s="248"/>
      <c r="B2366" s="248"/>
      <c r="C2366" s="248"/>
      <c r="D2366" s="248"/>
      <c r="E2366" s="248"/>
      <c r="F2366" s="248"/>
      <c r="G2366" s="248"/>
      <c r="H2366" s="248"/>
      <c r="I2366" s="248"/>
      <c r="J2366" s="248"/>
      <c r="K2366" s="248"/>
      <c r="L2366" s="248"/>
      <c r="M2366" s="248"/>
    </row>
    <row r="2367" spans="1:13" ht="20.100000000000001" customHeight="1">
      <c r="A2367" s="248"/>
      <c r="B2367" s="248"/>
      <c r="C2367" s="248"/>
      <c r="D2367" s="248"/>
      <c r="E2367" s="248"/>
      <c r="F2367" s="248"/>
      <c r="G2367" s="248"/>
      <c r="H2367" s="248"/>
      <c r="I2367" s="248"/>
      <c r="J2367" s="248"/>
      <c r="K2367" s="248"/>
      <c r="L2367" s="248"/>
      <c r="M2367" s="248"/>
    </row>
    <row r="2368" spans="1:13" ht="20.100000000000001" customHeight="1">
      <c r="A2368" s="248"/>
      <c r="B2368" s="248"/>
      <c r="C2368" s="248"/>
      <c r="D2368" s="248"/>
      <c r="E2368" s="248"/>
      <c r="F2368" s="248"/>
      <c r="G2368" s="248"/>
      <c r="H2368" s="248"/>
      <c r="I2368" s="248"/>
      <c r="J2368" s="248"/>
      <c r="K2368" s="248"/>
      <c r="L2368" s="248"/>
      <c r="M2368" s="248"/>
    </row>
    <row r="2369" spans="1:13" ht="20.100000000000001" customHeight="1">
      <c r="A2369" s="248"/>
      <c r="B2369" s="248"/>
      <c r="C2369" s="248"/>
      <c r="D2369" s="248"/>
      <c r="E2369" s="248"/>
      <c r="F2369" s="248"/>
      <c r="G2369" s="248"/>
      <c r="H2369" s="248"/>
      <c r="I2369" s="248"/>
      <c r="J2369" s="248"/>
      <c r="K2369" s="248"/>
      <c r="L2369" s="248"/>
      <c r="M2369" s="248"/>
    </row>
    <row r="2370" spans="1:13" ht="20.100000000000001" customHeight="1">
      <c r="A2370" s="248"/>
      <c r="B2370" s="248"/>
      <c r="C2370" s="248"/>
      <c r="D2370" s="248"/>
      <c r="E2370" s="248"/>
      <c r="F2370" s="248"/>
      <c r="G2370" s="248"/>
      <c r="H2370" s="248"/>
      <c r="I2370" s="248"/>
      <c r="J2370" s="248"/>
      <c r="K2370" s="248"/>
      <c r="L2370" s="248"/>
      <c r="M2370" s="248"/>
    </row>
    <row r="2371" spans="1:13" ht="20.100000000000001" customHeight="1">
      <c r="A2371" s="248"/>
      <c r="B2371" s="248"/>
      <c r="C2371" s="248"/>
      <c r="D2371" s="248"/>
      <c r="E2371" s="248"/>
      <c r="F2371" s="248"/>
      <c r="G2371" s="248"/>
      <c r="H2371" s="248"/>
      <c r="I2371" s="248"/>
      <c r="J2371" s="248"/>
      <c r="K2371" s="248"/>
      <c r="L2371" s="248"/>
      <c r="M2371" s="248"/>
    </row>
    <row r="2372" spans="1:13" ht="20.100000000000001" customHeight="1">
      <c r="A2372" s="248"/>
      <c r="B2372" s="248"/>
      <c r="C2372" s="248"/>
      <c r="D2372" s="248"/>
      <c r="E2372" s="248"/>
      <c r="F2372" s="248"/>
      <c r="G2372" s="248"/>
      <c r="H2372" s="248"/>
      <c r="I2372" s="248"/>
      <c r="J2372" s="248"/>
      <c r="K2372" s="248"/>
      <c r="L2372" s="248"/>
      <c r="M2372" s="248"/>
    </row>
    <row r="2373" spans="1:13" ht="20.100000000000001" customHeight="1">
      <c r="A2373" s="248"/>
      <c r="B2373" s="248"/>
      <c r="C2373" s="248"/>
      <c r="D2373" s="248"/>
      <c r="E2373" s="248"/>
      <c r="F2373" s="248"/>
      <c r="G2373" s="248"/>
      <c r="H2373" s="248"/>
      <c r="I2373" s="248"/>
      <c r="J2373" s="248"/>
      <c r="K2373" s="248"/>
      <c r="L2373" s="248"/>
      <c r="M2373" s="248"/>
    </row>
    <row r="2374" spans="1:13" ht="20.100000000000001" customHeight="1">
      <c r="A2374" s="248"/>
      <c r="B2374" s="248"/>
      <c r="C2374" s="248"/>
      <c r="D2374" s="248"/>
      <c r="E2374" s="248"/>
      <c r="F2374" s="248"/>
      <c r="G2374" s="248"/>
      <c r="H2374" s="248"/>
      <c r="I2374" s="248"/>
      <c r="J2374" s="248"/>
      <c r="K2374" s="248"/>
      <c r="L2374" s="248"/>
      <c r="M2374" s="248"/>
    </row>
    <row r="2375" spans="1:13" ht="20.100000000000001" customHeight="1">
      <c r="A2375" s="248"/>
      <c r="B2375" s="248"/>
      <c r="C2375" s="248"/>
      <c r="D2375" s="248"/>
      <c r="E2375" s="248"/>
      <c r="F2375" s="248"/>
      <c r="G2375" s="248"/>
      <c r="H2375" s="248"/>
      <c r="I2375" s="248"/>
      <c r="J2375" s="248"/>
      <c r="K2375" s="248"/>
      <c r="L2375" s="248"/>
      <c r="M2375" s="248"/>
    </row>
    <row r="2376" spans="1:13" ht="20.100000000000001" customHeight="1">
      <c r="A2376" s="248"/>
      <c r="B2376" s="248"/>
      <c r="C2376" s="248"/>
      <c r="D2376" s="248"/>
      <c r="E2376" s="248"/>
      <c r="F2376" s="248"/>
      <c r="G2376" s="248"/>
      <c r="H2376" s="248"/>
      <c r="I2376" s="248"/>
      <c r="J2376" s="248"/>
      <c r="K2376" s="248"/>
      <c r="L2376" s="248"/>
      <c r="M2376" s="248"/>
    </row>
    <row r="2377" spans="1:13" ht="20.100000000000001" customHeight="1">
      <c r="A2377" s="248"/>
      <c r="B2377" s="248"/>
      <c r="C2377" s="248"/>
      <c r="D2377" s="248"/>
      <c r="E2377" s="248"/>
      <c r="F2377" s="248"/>
      <c r="G2377" s="248"/>
      <c r="H2377" s="248"/>
      <c r="I2377" s="248"/>
      <c r="J2377" s="248"/>
      <c r="K2377" s="248"/>
      <c r="L2377" s="248"/>
      <c r="M2377" s="248"/>
    </row>
    <row r="2378" spans="1:13" ht="20.100000000000001" customHeight="1">
      <c r="A2378" s="248"/>
      <c r="B2378" s="248"/>
      <c r="C2378" s="248"/>
      <c r="D2378" s="248"/>
      <c r="E2378" s="248"/>
      <c r="F2378" s="248"/>
      <c r="G2378" s="248"/>
      <c r="H2378" s="248"/>
      <c r="I2378" s="248"/>
      <c r="J2378" s="248"/>
      <c r="K2378" s="248"/>
      <c r="L2378" s="248"/>
      <c r="M2378" s="248"/>
    </row>
    <row r="2379" spans="1:13" ht="20.100000000000001" customHeight="1">
      <c r="A2379" s="248"/>
      <c r="B2379" s="248"/>
      <c r="C2379" s="248"/>
      <c r="D2379" s="248"/>
      <c r="E2379" s="248"/>
      <c r="F2379" s="248"/>
      <c r="G2379" s="248"/>
      <c r="H2379" s="248"/>
      <c r="I2379" s="248"/>
      <c r="J2379" s="248"/>
      <c r="K2379" s="248"/>
      <c r="L2379" s="248"/>
      <c r="M2379" s="248"/>
    </row>
    <row r="2380" spans="1:13" ht="20.100000000000001" customHeight="1">
      <c r="A2380" s="248"/>
      <c r="B2380" s="248"/>
      <c r="C2380" s="248"/>
      <c r="D2380" s="248"/>
      <c r="E2380" s="248"/>
      <c r="F2380" s="248"/>
      <c r="G2380" s="248"/>
      <c r="H2380" s="248"/>
      <c r="I2380" s="248"/>
      <c r="J2380" s="248"/>
      <c r="K2380" s="248"/>
      <c r="L2380" s="248"/>
      <c r="M2380" s="248"/>
    </row>
    <row r="2381" spans="1:13" ht="20.100000000000001" customHeight="1">
      <c r="A2381" s="248"/>
      <c r="B2381" s="248"/>
      <c r="C2381" s="248"/>
      <c r="D2381" s="248"/>
      <c r="E2381" s="248"/>
      <c r="F2381" s="248"/>
      <c r="G2381" s="248"/>
      <c r="H2381" s="248"/>
      <c r="I2381" s="248"/>
      <c r="J2381" s="248"/>
      <c r="K2381" s="248"/>
      <c r="L2381" s="248"/>
      <c r="M2381" s="248"/>
    </row>
    <row r="2382" spans="1:13" ht="20.100000000000001" customHeight="1">
      <c r="A2382" s="248"/>
      <c r="B2382" s="248"/>
      <c r="C2382" s="248"/>
      <c r="D2382" s="248"/>
      <c r="E2382" s="248"/>
      <c r="F2382" s="248"/>
      <c r="G2382" s="248"/>
      <c r="H2382" s="248"/>
      <c r="I2382" s="248"/>
      <c r="J2382" s="248"/>
      <c r="K2382" s="248"/>
      <c r="L2382" s="248"/>
      <c r="M2382" s="248"/>
    </row>
    <row r="2383" spans="1:13" ht="20.100000000000001" customHeight="1">
      <c r="A2383" s="248"/>
      <c r="B2383" s="248"/>
      <c r="C2383" s="248"/>
      <c r="D2383" s="248"/>
      <c r="E2383" s="248"/>
      <c r="F2383" s="248"/>
      <c r="G2383" s="248"/>
      <c r="H2383" s="248"/>
      <c r="I2383" s="248"/>
      <c r="J2383" s="248"/>
      <c r="K2383" s="248"/>
      <c r="L2383" s="248"/>
      <c r="M2383" s="248"/>
    </row>
    <row r="2384" spans="1:13" ht="20.100000000000001" customHeight="1">
      <c r="A2384" s="248"/>
      <c r="B2384" s="248"/>
      <c r="C2384" s="248"/>
      <c r="D2384" s="248"/>
      <c r="E2384" s="248"/>
      <c r="F2384" s="248"/>
      <c r="G2384" s="248"/>
      <c r="H2384" s="248"/>
      <c r="I2384" s="248"/>
      <c r="J2384" s="248"/>
      <c r="K2384" s="248"/>
      <c r="L2384" s="248"/>
      <c r="M2384" s="248"/>
    </row>
    <row r="2385" spans="1:13" ht="20.100000000000001" customHeight="1">
      <c r="A2385" s="248"/>
      <c r="B2385" s="248"/>
      <c r="C2385" s="248"/>
      <c r="D2385" s="248"/>
      <c r="E2385" s="248"/>
      <c r="F2385" s="248"/>
      <c r="G2385" s="248"/>
      <c r="H2385" s="248"/>
      <c r="I2385" s="248"/>
      <c r="J2385" s="248"/>
      <c r="K2385" s="248"/>
      <c r="L2385" s="248"/>
      <c r="M2385" s="248"/>
    </row>
    <row r="2386" spans="1:13" ht="20.100000000000001" customHeight="1">
      <c r="A2386" s="248"/>
      <c r="B2386" s="248"/>
      <c r="C2386" s="248"/>
      <c r="D2386" s="248"/>
      <c r="E2386" s="248"/>
      <c r="F2386" s="248"/>
      <c r="G2386" s="248"/>
      <c r="H2386" s="248"/>
      <c r="I2386" s="248"/>
      <c r="J2386" s="248"/>
      <c r="K2386" s="248"/>
      <c r="L2386" s="248"/>
      <c r="M2386" s="248"/>
    </row>
    <row r="2387" spans="1:13" ht="20.100000000000001" customHeight="1">
      <c r="A2387" s="248"/>
      <c r="B2387" s="248"/>
      <c r="C2387" s="248"/>
      <c r="D2387" s="248"/>
      <c r="E2387" s="248"/>
      <c r="F2387" s="248"/>
      <c r="G2387" s="248"/>
      <c r="H2387" s="248"/>
      <c r="I2387" s="248"/>
      <c r="J2387" s="248"/>
      <c r="K2387" s="248"/>
      <c r="L2387" s="248"/>
      <c r="M2387" s="248"/>
    </row>
    <row r="2388" spans="1:13" ht="20.100000000000001" customHeight="1">
      <c r="A2388" s="248"/>
      <c r="B2388" s="248"/>
      <c r="C2388" s="248"/>
      <c r="D2388" s="248"/>
      <c r="E2388" s="248"/>
      <c r="F2388" s="248"/>
      <c r="G2388" s="248"/>
      <c r="H2388" s="248"/>
      <c r="I2388" s="248"/>
      <c r="J2388" s="248"/>
      <c r="K2388" s="248"/>
      <c r="L2388" s="248"/>
      <c r="M2388" s="248"/>
    </row>
    <row r="2389" spans="1:13" ht="20.100000000000001" customHeight="1">
      <c r="A2389" s="248"/>
      <c r="B2389" s="248"/>
      <c r="C2389" s="248"/>
      <c r="D2389" s="248"/>
      <c r="E2389" s="248"/>
      <c r="F2389" s="248"/>
      <c r="G2389" s="248"/>
      <c r="H2389" s="248"/>
      <c r="I2389" s="248"/>
      <c r="J2389" s="248"/>
      <c r="K2389" s="248"/>
      <c r="L2389" s="248"/>
      <c r="M2389" s="248"/>
    </row>
    <row r="2390" spans="1:13" ht="20.100000000000001" customHeight="1">
      <c r="A2390" s="248"/>
      <c r="B2390" s="248"/>
      <c r="C2390" s="248"/>
      <c r="D2390" s="248"/>
      <c r="E2390" s="248"/>
      <c r="F2390" s="248"/>
      <c r="G2390" s="248"/>
      <c r="H2390" s="248"/>
      <c r="I2390" s="248"/>
      <c r="J2390" s="248"/>
      <c r="K2390" s="248"/>
      <c r="L2390" s="248"/>
      <c r="M2390" s="248"/>
    </row>
    <row r="2391" spans="1:13" ht="20.100000000000001" customHeight="1">
      <c r="A2391" s="248"/>
      <c r="B2391" s="248"/>
      <c r="C2391" s="248"/>
      <c r="D2391" s="248"/>
      <c r="E2391" s="248"/>
      <c r="F2391" s="248"/>
      <c r="G2391" s="248"/>
      <c r="H2391" s="248"/>
      <c r="I2391" s="248"/>
      <c r="J2391" s="248"/>
      <c r="K2391" s="248"/>
      <c r="L2391" s="248"/>
      <c r="M2391" s="248"/>
    </row>
    <row r="2392" spans="1:13" ht="20.100000000000001" customHeight="1">
      <c r="A2392" s="248"/>
      <c r="B2392" s="248"/>
      <c r="C2392" s="248"/>
      <c r="D2392" s="248"/>
      <c r="E2392" s="248"/>
      <c r="F2392" s="248"/>
      <c r="G2392" s="248"/>
      <c r="H2392" s="248"/>
      <c r="I2392" s="248"/>
      <c r="J2392" s="248"/>
      <c r="K2392" s="248"/>
      <c r="L2392" s="248"/>
      <c r="M2392" s="248"/>
    </row>
    <row r="2393" spans="1:13" ht="20.100000000000001" customHeight="1">
      <c r="A2393" s="248"/>
      <c r="B2393" s="248"/>
      <c r="C2393" s="248"/>
      <c r="D2393" s="248"/>
      <c r="E2393" s="248"/>
      <c r="F2393" s="248"/>
      <c r="G2393" s="248"/>
      <c r="H2393" s="248"/>
      <c r="I2393" s="248"/>
      <c r="J2393" s="248"/>
      <c r="K2393" s="248"/>
      <c r="L2393" s="248"/>
      <c r="M2393" s="248"/>
    </row>
    <row r="2394" spans="1:13" ht="20.100000000000001" customHeight="1">
      <c r="A2394" s="248"/>
      <c r="B2394" s="248"/>
      <c r="C2394" s="248"/>
      <c r="D2394" s="248"/>
      <c r="E2394" s="248"/>
      <c r="F2394" s="248"/>
      <c r="G2394" s="248"/>
      <c r="H2394" s="248"/>
      <c r="I2394" s="248"/>
      <c r="J2394" s="248"/>
      <c r="K2394" s="248"/>
      <c r="L2394" s="248"/>
      <c r="M2394" s="248"/>
    </row>
    <row r="2395" spans="1:13" ht="20.100000000000001" customHeight="1">
      <c r="A2395" s="248"/>
      <c r="B2395" s="248"/>
      <c r="C2395" s="248"/>
      <c r="D2395" s="248"/>
      <c r="E2395" s="248"/>
      <c r="F2395" s="248"/>
      <c r="G2395" s="248"/>
      <c r="H2395" s="248"/>
      <c r="I2395" s="248"/>
      <c r="J2395" s="248"/>
      <c r="K2395" s="248"/>
      <c r="L2395" s="248"/>
      <c r="M2395" s="248"/>
    </row>
    <row r="2396" spans="1:13" ht="20.100000000000001" customHeight="1">
      <c r="A2396" s="248"/>
      <c r="B2396" s="248"/>
      <c r="C2396" s="248"/>
      <c r="D2396" s="248"/>
      <c r="E2396" s="248"/>
      <c r="F2396" s="248"/>
      <c r="G2396" s="248"/>
      <c r="H2396" s="248"/>
      <c r="I2396" s="248"/>
      <c r="J2396" s="248"/>
      <c r="K2396" s="248"/>
      <c r="L2396" s="248"/>
      <c r="M2396" s="248"/>
    </row>
    <row r="2397" spans="1:13" ht="20.100000000000001" customHeight="1">
      <c r="A2397" s="248"/>
      <c r="B2397" s="248"/>
      <c r="C2397" s="248"/>
      <c r="D2397" s="248"/>
      <c r="E2397" s="248"/>
      <c r="F2397" s="248"/>
      <c r="G2397" s="248"/>
      <c r="H2397" s="248"/>
      <c r="I2397" s="248"/>
      <c r="J2397" s="248"/>
      <c r="K2397" s="248"/>
      <c r="L2397" s="248"/>
      <c r="M2397" s="248"/>
    </row>
    <row r="2398" spans="1:13" ht="20.100000000000001" customHeight="1">
      <c r="A2398" s="248"/>
      <c r="B2398" s="248"/>
      <c r="C2398" s="248"/>
      <c r="D2398" s="248"/>
      <c r="E2398" s="248"/>
      <c r="F2398" s="248"/>
      <c r="G2398" s="248"/>
      <c r="H2398" s="248"/>
      <c r="I2398" s="248"/>
      <c r="J2398" s="248"/>
      <c r="K2398" s="248"/>
      <c r="L2398" s="248"/>
      <c r="M2398" s="248"/>
    </row>
    <row r="2399" spans="1:13" ht="20.100000000000001" customHeight="1">
      <c r="A2399" s="248"/>
      <c r="B2399" s="248"/>
      <c r="C2399" s="248"/>
      <c r="D2399" s="248"/>
      <c r="E2399" s="248"/>
      <c r="F2399" s="248"/>
      <c r="G2399" s="248"/>
      <c r="H2399" s="248"/>
      <c r="I2399" s="248"/>
      <c r="J2399" s="248"/>
      <c r="K2399" s="248"/>
      <c r="L2399" s="248"/>
      <c r="M2399" s="248"/>
    </row>
    <row r="2400" spans="1:13" ht="20.100000000000001" customHeight="1">
      <c r="A2400" s="248"/>
      <c r="B2400" s="248"/>
      <c r="C2400" s="248"/>
      <c r="D2400" s="248"/>
      <c r="E2400" s="248"/>
      <c r="F2400" s="248"/>
      <c r="G2400" s="248"/>
      <c r="H2400" s="248"/>
      <c r="I2400" s="248"/>
      <c r="J2400" s="248"/>
      <c r="K2400" s="248"/>
      <c r="L2400" s="248"/>
      <c r="M2400" s="248"/>
    </row>
    <row r="2401" spans="1:13" ht="20.100000000000001" customHeight="1">
      <c r="A2401" s="248"/>
      <c r="B2401" s="248"/>
      <c r="C2401" s="248"/>
      <c r="D2401" s="248"/>
      <c r="E2401" s="248"/>
      <c r="F2401" s="248"/>
      <c r="G2401" s="248"/>
      <c r="H2401" s="248"/>
      <c r="I2401" s="248"/>
      <c r="J2401" s="248"/>
      <c r="K2401" s="248"/>
      <c r="L2401" s="248"/>
      <c r="M2401" s="248"/>
    </row>
    <row r="2402" spans="1:13" ht="20.100000000000001" customHeight="1">
      <c r="A2402" s="248"/>
      <c r="B2402" s="248"/>
      <c r="C2402" s="248"/>
      <c r="D2402" s="248"/>
      <c r="E2402" s="248"/>
      <c r="F2402" s="248"/>
      <c r="G2402" s="248"/>
      <c r="H2402" s="248"/>
      <c r="I2402" s="248"/>
      <c r="J2402" s="248"/>
      <c r="K2402" s="248"/>
      <c r="L2402" s="248"/>
      <c r="M2402" s="248"/>
    </row>
    <row r="2403" spans="1:13" ht="20.100000000000001" customHeight="1">
      <c r="A2403" s="248"/>
      <c r="B2403" s="248"/>
      <c r="C2403" s="248"/>
      <c r="D2403" s="248"/>
      <c r="E2403" s="248"/>
      <c r="F2403" s="248"/>
      <c r="G2403" s="248"/>
      <c r="H2403" s="248"/>
      <c r="I2403" s="248"/>
      <c r="J2403" s="248"/>
      <c r="K2403" s="248"/>
      <c r="L2403" s="248"/>
      <c r="M2403" s="248"/>
    </row>
    <row r="2404" spans="1:13" ht="20.100000000000001" customHeight="1">
      <c r="A2404" s="248"/>
      <c r="B2404" s="248"/>
      <c r="C2404" s="248"/>
      <c r="D2404" s="248"/>
      <c r="E2404" s="248"/>
      <c r="F2404" s="248"/>
      <c r="G2404" s="248"/>
      <c r="H2404" s="248"/>
      <c r="I2404" s="248"/>
      <c r="J2404" s="248"/>
      <c r="K2404" s="248"/>
      <c r="L2404" s="248"/>
      <c r="M2404" s="248"/>
    </row>
    <row r="2405" spans="1:13" ht="20.100000000000001" customHeight="1">
      <c r="A2405" s="248"/>
      <c r="B2405" s="248"/>
      <c r="C2405" s="248"/>
      <c r="D2405" s="248"/>
      <c r="E2405" s="248"/>
      <c r="F2405" s="248"/>
      <c r="G2405" s="248"/>
      <c r="H2405" s="248"/>
      <c r="I2405" s="248"/>
      <c r="J2405" s="248"/>
      <c r="K2405" s="248"/>
      <c r="L2405" s="248"/>
      <c r="M2405" s="248"/>
    </row>
    <row r="2406" spans="1:13" ht="20.100000000000001" customHeight="1">
      <c r="A2406" s="248"/>
      <c r="B2406" s="248"/>
      <c r="C2406" s="248"/>
      <c r="D2406" s="248"/>
      <c r="E2406" s="248"/>
      <c r="F2406" s="248"/>
      <c r="G2406" s="248"/>
      <c r="H2406" s="248"/>
      <c r="I2406" s="248"/>
      <c r="J2406" s="248"/>
      <c r="K2406" s="248"/>
      <c r="L2406" s="248"/>
      <c r="M2406" s="248"/>
    </row>
    <row r="2407" spans="1:13" ht="20.100000000000001" customHeight="1">
      <c r="A2407" s="248"/>
      <c r="B2407" s="248"/>
      <c r="C2407" s="248"/>
      <c r="D2407" s="248"/>
      <c r="E2407" s="248"/>
      <c r="F2407" s="248"/>
      <c r="G2407" s="248"/>
      <c r="H2407" s="248"/>
      <c r="I2407" s="248"/>
      <c r="J2407" s="248"/>
      <c r="K2407" s="248"/>
      <c r="L2407" s="248"/>
      <c r="M2407" s="248"/>
    </row>
    <row r="2408" spans="1:13" ht="20.100000000000001" customHeight="1">
      <c r="A2408" s="248"/>
      <c r="B2408" s="248"/>
      <c r="C2408" s="248"/>
      <c r="D2408" s="248"/>
      <c r="E2408" s="248"/>
      <c r="F2408" s="248"/>
      <c r="G2408" s="248"/>
      <c r="H2408" s="248"/>
      <c r="I2408" s="248"/>
      <c r="J2408" s="248"/>
      <c r="K2408" s="248"/>
      <c r="L2408" s="248"/>
      <c r="M2408" s="248"/>
    </row>
    <row r="2409" spans="1:13" ht="20.100000000000001" customHeight="1">
      <c r="A2409" s="248"/>
      <c r="B2409" s="248"/>
      <c r="C2409" s="248"/>
      <c r="D2409" s="248"/>
      <c r="E2409" s="248"/>
      <c r="F2409" s="248"/>
      <c r="G2409" s="248"/>
      <c r="H2409" s="248"/>
      <c r="I2409" s="248"/>
      <c r="J2409" s="248"/>
      <c r="K2409" s="248"/>
      <c r="L2409" s="248"/>
      <c r="M2409" s="248"/>
    </row>
    <row r="2410" spans="1:13" ht="20.100000000000001" customHeight="1">
      <c r="A2410" s="248"/>
      <c r="B2410" s="248"/>
      <c r="C2410" s="248"/>
      <c r="D2410" s="248"/>
      <c r="E2410" s="248"/>
      <c r="F2410" s="248"/>
      <c r="G2410" s="248"/>
      <c r="H2410" s="248"/>
      <c r="I2410" s="248"/>
      <c r="J2410" s="248"/>
      <c r="K2410" s="248"/>
      <c r="L2410" s="248"/>
      <c r="M2410" s="248"/>
    </row>
    <row r="2411" spans="1:13" ht="20.100000000000001" customHeight="1">
      <c r="A2411" s="248"/>
      <c r="B2411" s="248"/>
      <c r="C2411" s="248"/>
      <c r="D2411" s="248"/>
      <c r="E2411" s="248"/>
      <c r="F2411" s="248"/>
      <c r="G2411" s="248"/>
      <c r="H2411" s="248"/>
      <c r="I2411" s="248"/>
      <c r="J2411" s="248"/>
      <c r="K2411" s="248"/>
      <c r="L2411" s="248"/>
      <c r="M2411" s="248"/>
    </row>
    <row r="2412" spans="1:13" ht="20.100000000000001" customHeight="1">
      <c r="A2412" s="248"/>
      <c r="B2412" s="248"/>
      <c r="C2412" s="248"/>
      <c r="D2412" s="248"/>
      <c r="E2412" s="248"/>
      <c r="F2412" s="248"/>
      <c r="G2412" s="248"/>
      <c r="H2412" s="248"/>
      <c r="I2412" s="248"/>
      <c r="J2412" s="248"/>
      <c r="K2412" s="248"/>
      <c r="L2412" s="248"/>
      <c r="M2412" s="248"/>
    </row>
    <row r="2413" spans="1:13" ht="20.100000000000001" customHeight="1">
      <c r="A2413" s="248"/>
      <c r="B2413" s="248"/>
      <c r="C2413" s="248"/>
      <c r="D2413" s="248"/>
      <c r="E2413" s="248"/>
      <c r="F2413" s="248"/>
      <c r="G2413" s="248"/>
      <c r="H2413" s="248"/>
      <c r="I2413" s="248"/>
      <c r="J2413" s="248"/>
      <c r="K2413" s="248"/>
      <c r="L2413" s="248"/>
      <c r="M2413" s="248"/>
    </row>
    <row r="2414" spans="1:13" ht="20.100000000000001" customHeight="1">
      <c r="A2414" s="248"/>
      <c r="B2414" s="248"/>
      <c r="C2414" s="248"/>
      <c r="D2414" s="248"/>
      <c r="E2414" s="248"/>
      <c r="F2414" s="248"/>
      <c r="G2414" s="248"/>
      <c r="H2414" s="248"/>
      <c r="I2414" s="248"/>
      <c r="J2414" s="248"/>
      <c r="K2414" s="248"/>
      <c r="L2414" s="248"/>
      <c r="M2414" s="248"/>
    </row>
    <row r="2415" spans="1:13" ht="20.100000000000001" customHeight="1">
      <c r="A2415" s="248"/>
      <c r="B2415" s="248"/>
      <c r="C2415" s="248"/>
      <c r="D2415" s="248"/>
      <c r="E2415" s="248"/>
      <c r="F2415" s="248"/>
      <c r="G2415" s="248"/>
      <c r="H2415" s="248"/>
      <c r="I2415" s="248"/>
      <c r="J2415" s="248"/>
      <c r="K2415" s="248"/>
      <c r="L2415" s="248"/>
      <c r="M2415" s="248"/>
    </row>
    <row r="2416" spans="1:13" ht="20.100000000000001" customHeight="1">
      <c r="A2416" s="248"/>
      <c r="B2416" s="248"/>
      <c r="C2416" s="248"/>
      <c r="D2416" s="248"/>
      <c r="E2416" s="248"/>
      <c r="F2416" s="248"/>
      <c r="G2416" s="248"/>
      <c r="H2416" s="248"/>
      <c r="I2416" s="248"/>
      <c r="J2416" s="248"/>
      <c r="K2416" s="248"/>
      <c r="L2416" s="248"/>
      <c r="M2416" s="248"/>
    </row>
    <row r="2417" spans="1:13" ht="20.100000000000001" customHeight="1">
      <c r="A2417" s="248"/>
      <c r="B2417" s="248"/>
      <c r="C2417" s="248"/>
      <c r="D2417" s="248"/>
      <c r="E2417" s="248"/>
      <c r="F2417" s="248"/>
      <c r="G2417" s="248"/>
      <c r="H2417" s="248"/>
      <c r="I2417" s="248"/>
      <c r="J2417" s="248"/>
      <c r="K2417" s="248"/>
      <c r="L2417" s="248"/>
      <c r="M2417" s="248"/>
    </row>
    <row r="2418" spans="1:13" ht="20.100000000000001" customHeight="1">
      <c r="A2418" s="248"/>
      <c r="B2418" s="248"/>
      <c r="C2418" s="248"/>
      <c r="D2418" s="248"/>
      <c r="E2418" s="248"/>
      <c r="F2418" s="248"/>
      <c r="G2418" s="248"/>
      <c r="H2418" s="248"/>
      <c r="I2418" s="248"/>
      <c r="J2418" s="248"/>
      <c r="K2418" s="248"/>
      <c r="L2418" s="248"/>
      <c r="M2418" s="248"/>
    </row>
    <row r="2419" spans="1:13" ht="20.100000000000001" customHeight="1">
      <c r="A2419" s="248"/>
      <c r="B2419" s="248"/>
      <c r="C2419" s="248"/>
      <c r="D2419" s="248"/>
      <c r="E2419" s="248"/>
      <c r="F2419" s="248"/>
      <c r="G2419" s="248"/>
      <c r="H2419" s="248"/>
      <c r="I2419" s="248"/>
      <c r="J2419" s="248"/>
      <c r="K2419" s="248"/>
      <c r="L2419" s="248"/>
      <c r="M2419" s="248"/>
    </row>
    <row r="2420" spans="1:13" ht="20.100000000000001" customHeight="1">
      <c r="A2420" s="248"/>
      <c r="B2420" s="248"/>
      <c r="C2420" s="248"/>
      <c r="D2420" s="248"/>
      <c r="E2420" s="248"/>
      <c r="F2420" s="248"/>
      <c r="G2420" s="248"/>
      <c r="H2420" s="248"/>
      <c r="I2420" s="248"/>
      <c r="J2420" s="248"/>
      <c r="K2420" s="248"/>
      <c r="L2420" s="248"/>
      <c r="M2420" s="248"/>
    </row>
    <row r="2421" spans="1:13" ht="20.100000000000001" customHeight="1">
      <c r="A2421" s="248"/>
      <c r="B2421" s="248"/>
      <c r="C2421" s="248"/>
      <c r="D2421" s="248"/>
      <c r="E2421" s="248"/>
      <c r="F2421" s="248"/>
      <c r="G2421" s="248"/>
      <c r="H2421" s="248"/>
      <c r="I2421" s="248"/>
      <c r="J2421" s="248"/>
      <c r="K2421" s="248"/>
      <c r="L2421" s="248"/>
      <c r="M2421" s="248"/>
    </row>
    <row r="2422" spans="1:13" ht="20.100000000000001" customHeight="1">
      <c r="A2422" s="248"/>
      <c r="B2422" s="248"/>
      <c r="C2422" s="248"/>
      <c r="D2422" s="248"/>
      <c r="E2422" s="248"/>
      <c r="F2422" s="248"/>
      <c r="G2422" s="248"/>
      <c r="H2422" s="248"/>
      <c r="I2422" s="248"/>
      <c r="J2422" s="248"/>
      <c r="K2422" s="248"/>
      <c r="L2422" s="248"/>
      <c r="M2422" s="248"/>
    </row>
    <row r="2423" spans="1:13" ht="20.100000000000001" customHeight="1">
      <c r="A2423" s="248"/>
      <c r="B2423" s="248"/>
      <c r="C2423" s="248"/>
      <c r="D2423" s="248"/>
      <c r="E2423" s="248"/>
      <c r="F2423" s="248"/>
      <c r="G2423" s="248"/>
      <c r="H2423" s="248"/>
      <c r="I2423" s="248"/>
      <c r="J2423" s="248"/>
      <c r="K2423" s="248"/>
      <c r="L2423" s="248"/>
      <c r="M2423" s="248"/>
    </row>
    <row r="2424" spans="1:13" ht="20.100000000000001" customHeight="1">
      <c r="A2424" s="248"/>
      <c r="B2424" s="248"/>
      <c r="C2424" s="248"/>
      <c r="D2424" s="248"/>
      <c r="E2424" s="248"/>
      <c r="F2424" s="248"/>
      <c r="G2424" s="248"/>
      <c r="H2424" s="248"/>
      <c r="I2424" s="248"/>
      <c r="J2424" s="248"/>
      <c r="K2424" s="248"/>
      <c r="L2424" s="248"/>
      <c r="M2424" s="248"/>
    </row>
    <row r="2425" spans="1:13" ht="20.100000000000001" customHeight="1">
      <c r="A2425" s="248"/>
      <c r="B2425" s="248"/>
      <c r="C2425" s="248"/>
      <c r="D2425" s="248"/>
      <c r="E2425" s="248"/>
      <c r="F2425" s="248"/>
      <c r="G2425" s="248"/>
      <c r="H2425" s="248"/>
      <c r="I2425" s="248"/>
      <c r="J2425" s="248"/>
      <c r="K2425" s="248"/>
      <c r="L2425" s="248"/>
      <c r="M2425" s="248"/>
    </row>
    <row r="2426" spans="1:13" ht="20.100000000000001" customHeight="1">
      <c r="A2426" s="248"/>
      <c r="B2426" s="248"/>
      <c r="C2426" s="248"/>
      <c r="D2426" s="248"/>
      <c r="E2426" s="248"/>
      <c r="F2426" s="248"/>
      <c r="G2426" s="248"/>
      <c r="H2426" s="248"/>
      <c r="I2426" s="248"/>
      <c r="J2426" s="248"/>
      <c r="K2426" s="248"/>
      <c r="L2426" s="248"/>
      <c r="M2426" s="248"/>
    </row>
    <row r="2427" spans="1:13" ht="20.100000000000001" customHeight="1">
      <c r="A2427" s="248"/>
      <c r="B2427" s="248"/>
      <c r="C2427" s="248"/>
      <c r="D2427" s="248"/>
      <c r="E2427" s="248"/>
      <c r="F2427" s="248"/>
      <c r="G2427" s="248"/>
      <c r="H2427" s="248"/>
      <c r="I2427" s="248"/>
      <c r="J2427" s="248"/>
      <c r="K2427" s="248"/>
      <c r="L2427" s="248"/>
      <c r="M2427" s="248"/>
    </row>
    <row r="2428" spans="1:13" ht="20.100000000000001" customHeight="1">
      <c r="A2428" s="248"/>
      <c r="B2428" s="248"/>
      <c r="C2428" s="248"/>
      <c r="D2428" s="248"/>
      <c r="E2428" s="248"/>
      <c r="F2428" s="248"/>
      <c r="G2428" s="248"/>
      <c r="H2428" s="248"/>
      <c r="I2428" s="248"/>
      <c r="J2428" s="248"/>
      <c r="K2428" s="248"/>
      <c r="L2428" s="248"/>
      <c r="M2428" s="248"/>
    </row>
    <row r="2429" spans="1:13" ht="20.100000000000001" customHeight="1">
      <c r="A2429" s="248"/>
      <c r="B2429" s="248"/>
      <c r="C2429" s="248"/>
      <c r="D2429" s="248"/>
      <c r="E2429" s="248"/>
      <c r="F2429" s="248"/>
      <c r="G2429" s="248"/>
      <c r="H2429" s="248"/>
      <c r="I2429" s="248"/>
      <c r="J2429" s="248"/>
      <c r="K2429" s="248"/>
      <c r="L2429" s="248"/>
      <c r="M2429" s="248"/>
    </row>
    <row r="2430" spans="1:13" ht="20.100000000000001" customHeight="1">
      <c r="A2430" s="248"/>
      <c r="B2430" s="248"/>
      <c r="C2430" s="248"/>
      <c r="D2430" s="248"/>
      <c r="E2430" s="248"/>
      <c r="F2430" s="248"/>
      <c r="G2430" s="248"/>
      <c r="H2430" s="248"/>
      <c r="I2430" s="248"/>
      <c r="J2430" s="248"/>
      <c r="K2430" s="248"/>
      <c r="L2430" s="248"/>
      <c r="M2430" s="248"/>
    </row>
    <row r="2431" spans="1:13" ht="20.100000000000001" customHeight="1">
      <c r="A2431" s="248"/>
      <c r="B2431" s="248"/>
      <c r="C2431" s="248"/>
      <c r="D2431" s="248"/>
      <c r="E2431" s="248"/>
      <c r="F2431" s="248"/>
      <c r="G2431" s="248"/>
      <c r="H2431" s="248"/>
      <c r="I2431" s="248"/>
      <c r="J2431" s="248"/>
      <c r="K2431" s="248"/>
      <c r="L2431" s="248"/>
      <c r="M2431" s="248"/>
    </row>
    <row r="2432" spans="1:13" ht="20.100000000000001" customHeight="1">
      <c r="A2432" s="248"/>
      <c r="B2432" s="248"/>
      <c r="C2432" s="248"/>
      <c r="D2432" s="248"/>
      <c r="E2432" s="248"/>
      <c r="F2432" s="248"/>
      <c r="G2432" s="248"/>
      <c r="H2432" s="248"/>
      <c r="I2432" s="248"/>
      <c r="J2432" s="248"/>
      <c r="K2432" s="248"/>
      <c r="L2432" s="248"/>
      <c r="M2432" s="248"/>
    </row>
    <row r="2433" spans="1:13" ht="20.100000000000001" customHeight="1">
      <c r="A2433" s="248"/>
      <c r="B2433" s="248"/>
      <c r="C2433" s="248"/>
      <c r="D2433" s="248"/>
      <c r="E2433" s="248"/>
      <c r="F2433" s="248"/>
      <c r="G2433" s="248"/>
      <c r="H2433" s="248"/>
      <c r="I2433" s="248"/>
      <c r="J2433" s="248"/>
      <c r="K2433" s="248"/>
      <c r="L2433" s="248"/>
      <c r="M2433" s="248"/>
    </row>
    <row r="2434" spans="1:13" ht="20.100000000000001" customHeight="1">
      <c r="A2434" s="248"/>
      <c r="B2434" s="248"/>
      <c r="C2434" s="248"/>
      <c r="D2434" s="248"/>
      <c r="E2434" s="248"/>
      <c r="F2434" s="248"/>
      <c r="G2434" s="248"/>
      <c r="H2434" s="248"/>
      <c r="I2434" s="248"/>
      <c r="J2434" s="248"/>
      <c r="K2434" s="248"/>
      <c r="L2434" s="248"/>
      <c r="M2434" s="248"/>
    </row>
    <row r="2435" spans="1:13" ht="20.100000000000001" customHeight="1">
      <c r="A2435" s="248"/>
      <c r="B2435" s="248"/>
      <c r="C2435" s="248"/>
      <c r="D2435" s="248"/>
      <c r="E2435" s="248"/>
      <c r="F2435" s="248"/>
      <c r="G2435" s="248"/>
      <c r="H2435" s="248"/>
      <c r="I2435" s="248"/>
      <c r="J2435" s="248"/>
      <c r="K2435" s="248"/>
      <c r="L2435" s="248"/>
      <c r="M2435" s="248"/>
    </row>
    <row r="2436" spans="1:13" ht="20.100000000000001" customHeight="1">
      <c r="A2436" s="248"/>
      <c r="B2436" s="248"/>
      <c r="C2436" s="248"/>
      <c r="D2436" s="248"/>
      <c r="E2436" s="248"/>
      <c r="F2436" s="248"/>
      <c r="G2436" s="248"/>
      <c r="H2436" s="248"/>
      <c r="I2436" s="248"/>
      <c r="J2436" s="248"/>
      <c r="K2436" s="248"/>
      <c r="L2436" s="248"/>
      <c r="M2436" s="248"/>
    </row>
    <row r="2437" spans="1:13" ht="20.100000000000001" customHeight="1">
      <c r="A2437" s="248"/>
      <c r="B2437" s="248"/>
      <c r="C2437" s="248"/>
      <c r="D2437" s="248"/>
      <c r="E2437" s="248"/>
      <c r="F2437" s="248"/>
      <c r="G2437" s="248"/>
      <c r="H2437" s="248"/>
      <c r="I2437" s="248"/>
      <c r="J2437" s="248"/>
      <c r="K2437" s="248"/>
      <c r="L2437" s="248"/>
      <c r="M2437" s="248"/>
    </row>
    <row r="2438" spans="1:13" ht="20.100000000000001" customHeight="1">
      <c r="A2438" s="248"/>
      <c r="B2438" s="248"/>
      <c r="C2438" s="248"/>
      <c r="D2438" s="248"/>
      <c r="E2438" s="248"/>
      <c r="F2438" s="248"/>
      <c r="G2438" s="248"/>
      <c r="H2438" s="248"/>
      <c r="I2438" s="248"/>
      <c r="J2438" s="248"/>
      <c r="K2438" s="248"/>
      <c r="L2438" s="248"/>
      <c r="M2438" s="248"/>
    </row>
    <row r="2439" spans="1:13" ht="20.100000000000001" customHeight="1">
      <c r="A2439" s="248"/>
      <c r="B2439" s="248"/>
      <c r="C2439" s="248"/>
      <c r="D2439" s="248"/>
      <c r="E2439" s="248"/>
      <c r="F2439" s="248"/>
      <c r="G2439" s="248"/>
      <c r="H2439" s="248"/>
      <c r="I2439" s="248"/>
      <c r="J2439" s="248"/>
      <c r="K2439" s="248"/>
      <c r="L2439" s="248"/>
      <c r="M2439" s="248"/>
    </row>
    <row r="2440" spans="1:13" ht="20.100000000000001" customHeight="1">
      <c r="A2440" s="248"/>
      <c r="B2440" s="248"/>
      <c r="C2440" s="248"/>
      <c r="D2440" s="248"/>
      <c r="E2440" s="248"/>
      <c r="F2440" s="248"/>
      <c r="G2440" s="248"/>
      <c r="H2440" s="248"/>
      <c r="I2440" s="248"/>
      <c r="J2440" s="248"/>
      <c r="K2440" s="248"/>
      <c r="L2440" s="248"/>
      <c r="M2440" s="248"/>
    </row>
    <row r="2441" spans="1:13" ht="20.100000000000001" customHeight="1">
      <c r="A2441" s="248"/>
      <c r="B2441" s="248"/>
      <c r="C2441" s="248"/>
      <c r="D2441" s="248"/>
      <c r="E2441" s="248"/>
      <c r="F2441" s="248"/>
      <c r="G2441" s="248"/>
      <c r="H2441" s="248"/>
      <c r="I2441" s="248"/>
      <c r="J2441" s="248"/>
      <c r="K2441" s="248"/>
      <c r="L2441" s="248"/>
      <c r="M2441" s="248"/>
    </row>
    <row r="2442" spans="1:13" ht="20.100000000000001" customHeight="1">
      <c r="A2442" s="248"/>
      <c r="B2442" s="248"/>
      <c r="C2442" s="248"/>
      <c r="D2442" s="248"/>
      <c r="E2442" s="248"/>
      <c r="F2442" s="248"/>
      <c r="G2442" s="248"/>
      <c r="H2442" s="248"/>
      <c r="I2442" s="248"/>
      <c r="J2442" s="248"/>
      <c r="K2442" s="248"/>
      <c r="L2442" s="248"/>
      <c r="M2442" s="248"/>
    </row>
    <row r="2443" spans="1:13" ht="20.100000000000001" customHeight="1">
      <c r="A2443" s="248"/>
      <c r="B2443" s="248"/>
      <c r="C2443" s="248"/>
      <c r="D2443" s="248"/>
      <c r="E2443" s="248"/>
      <c r="F2443" s="248"/>
      <c r="G2443" s="248"/>
      <c r="H2443" s="248"/>
      <c r="I2443" s="248"/>
      <c r="J2443" s="248"/>
      <c r="K2443" s="248"/>
      <c r="L2443" s="248"/>
      <c r="M2443" s="248"/>
    </row>
    <row r="2444" spans="1:13" ht="20.100000000000001" customHeight="1">
      <c r="A2444" s="248"/>
      <c r="B2444" s="248"/>
      <c r="C2444" s="248"/>
      <c r="D2444" s="248"/>
      <c r="E2444" s="248"/>
      <c r="F2444" s="248"/>
      <c r="G2444" s="248"/>
      <c r="H2444" s="248"/>
      <c r="I2444" s="248"/>
      <c r="J2444" s="248"/>
      <c r="K2444" s="248"/>
      <c r="L2444" s="248"/>
      <c r="M2444" s="248"/>
    </row>
    <row r="2445" spans="1:13" ht="20.100000000000001" customHeight="1">
      <c r="A2445" s="248"/>
      <c r="B2445" s="248"/>
      <c r="C2445" s="248"/>
      <c r="D2445" s="248"/>
      <c r="E2445" s="248"/>
      <c r="F2445" s="248"/>
      <c r="G2445" s="248"/>
      <c r="H2445" s="248"/>
      <c r="I2445" s="248"/>
      <c r="J2445" s="248"/>
      <c r="K2445" s="248"/>
      <c r="L2445" s="248"/>
      <c r="M2445" s="248"/>
    </row>
    <row r="2446" spans="1:13" ht="20.100000000000001" customHeight="1">
      <c r="A2446" s="248"/>
      <c r="B2446" s="248"/>
      <c r="C2446" s="248"/>
      <c r="D2446" s="248"/>
      <c r="E2446" s="248"/>
      <c r="F2446" s="248"/>
      <c r="G2446" s="248"/>
      <c r="H2446" s="248"/>
      <c r="I2446" s="248"/>
      <c r="J2446" s="248"/>
      <c r="K2446" s="248"/>
      <c r="L2446" s="248"/>
      <c r="M2446" s="248"/>
    </row>
    <row r="2447" spans="1:13" ht="20.100000000000001" customHeight="1">
      <c r="A2447" s="248"/>
      <c r="B2447" s="248"/>
      <c r="C2447" s="248"/>
      <c r="D2447" s="248"/>
      <c r="E2447" s="248"/>
      <c r="F2447" s="248"/>
      <c r="G2447" s="248"/>
      <c r="H2447" s="248"/>
      <c r="I2447" s="248"/>
      <c r="J2447" s="248"/>
      <c r="K2447" s="248"/>
      <c r="L2447" s="248"/>
      <c r="M2447" s="248"/>
    </row>
    <row r="2448" spans="1:13" ht="20.100000000000001" customHeight="1">
      <c r="A2448" s="248"/>
      <c r="B2448" s="248"/>
      <c r="C2448" s="248"/>
      <c r="D2448" s="248"/>
      <c r="E2448" s="248"/>
      <c r="F2448" s="248"/>
      <c r="G2448" s="248"/>
      <c r="H2448" s="248"/>
      <c r="I2448" s="248"/>
      <c r="J2448" s="248"/>
      <c r="K2448" s="248"/>
      <c r="L2448" s="248"/>
      <c r="M2448" s="248"/>
    </row>
    <row r="2449" spans="1:13" ht="20.100000000000001" customHeight="1">
      <c r="A2449" s="248"/>
      <c r="B2449" s="248"/>
      <c r="C2449" s="248"/>
      <c r="D2449" s="248"/>
      <c r="E2449" s="248"/>
      <c r="F2449" s="248"/>
      <c r="G2449" s="248"/>
      <c r="H2449" s="248"/>
      <c r="I2449" s="248"/>
      <c r="J2449" s="248"/>
      <c r="K2449" s="248"/>
      <c r="L2449" s="248"/>
      <c r="M2449" s="248"/>
    </row>
    <row r="2450" spans="1:13" ht="20.100000000000001" customHeight="1">
      <c r="A2450" s="248"/>
      <c r="B2450" s="248"/>
      <c r="C2450" s="248"/>
      <c r="D2450" s="248"/>
      <c r="E2450" s="248"/>
      <c r="F2450" s="248"/>
      <c r="G2450" s="248"/>
      <c r="H2450" s="248"/>
      <c r="I2450" s="248"/>
      <c r="J2450" s="248"/>
      <c r="K2450" s="248"/>
      <c r="L2450" s="248"/>
      <c r="M2450" s="248"/>
    </row>
    <row r="2451" spans="1:13" ht="20.100000000000001" customHeight="1">
      <c r="A2451" s="248"/>
      <c r="B2451" s="248"/>
      <c r="C2451" s="248"/>
      <c r="D2451" s="248"/>
      <c r="E2451" s="248"/>
      <c r="F2451" s="248"/>
      <c r="G2451" s="248"/>
      <c r="H2451" s="248"/>
      <c r="I2451" s="248"/>
      <c r="J2451" s="248"/>
      <c r="K2451" s="248"/>
      <c r="L2451" s="248"/>
      <c r="M2451" s="248"/>
    </row>
    <row r="2452" spans="1:13" ht="20.100000000000001" customHeight="1">
      <c r="A2452" s="248"/>
      <c r="B2452" s="248"/>
      <c r="C2452" s="248"/>
      <c r="D2452" s="248"/>
      <c r="E2452" s="248"/>
      <c r="F2452" s="248"/>
      <c r="G2452" s="248"/>
      <c r="H2452" s="248"/>
      <c r="I2452" s="248"/>
      <c r="J2452" s="248"/>
      <c r="K2452" s="248"/>
      <c r="L2452" s="248"/>
      <c r="M2452" s="248"/>
    </row>
    <row r="2453" spans="1:13" ht="20.100000000000001" customHeight="1">
      <c r="A2453" s="248"/>
      <c r="B2453" s="248"/>
      <c r="C2453" s="248"/>
      <c r="D2453" s="248"/>
      <c r="E2453" s="248"/>
      <c r="F2453" s="248"/>
      <c r="G2453" s="248"/>
      <c r="H2453" s="248"/>
      <c r="I2453" s="248"/>
      <c r="J2453" s="248"/>
      <c r="K2453" s="248"/>
      <c r="L2453" s="248"/>
      <c r="M2453" s="248"/>
    </row>
    <row r="2454" spans="1:13" ht="20.100000000000001" customHeight="1">
      <c r="A2454" s="248"/>
      <c r="B2454" s="248"/>
      <c r="C2454" s="248"/>
      <c r="D2454" s="248"/>
      <c r="E2454" s="248"/>
      <c r="F2454" s="248"/>
      <c r="G2454" s="248"/>
      <c r="H2454" s="248"/>
      <c r="I2454" s="248"/>
      <c r="J2454" s="248"/>
      <c r="K2454" s="248"/>
      <c r="L2454" s="248"/>
      <c r="M2454" s="248"/>
    </row>
    <row r="2455" spans="1:13" ht="20.100000000000001" customHeight="1">
      <c r="A2455" s="248"/>
      <c r="B2455" s="248"/>
      <c r="C2455" s="248"/>
      <c r="D2455" s="248"/>
      <c r="E2455" s="248"/>
      <c r="F2455" s="248"/>
      <c r="G2455" s="248"/>
      <c r="H2455" s="248"/>
      <c r="I2455" s="248"/>
      <c r="J2455" s="248"/>
      <c r="K2455" s="248"/>
      <c r="L2455" s="248"/>
      <c r="M2455" s="248"/>
    </row>
    <row r="2456" spans="1:13" ht="20.100000000000001" customHeight="1">
      <c r="A2456" s="248"/>
      <c r="B2456" s="248"/>
      <c r="C2456" s="248"/>
      <c r="D2456" s="248"/>
      <c r="E2456" s="248"/>
      <c r="F2456" s="248"/>
      <c r="G2456" s="248"/>
      <c r="H2456" s="248"/>
      <c r="I2456" s="248"/>
      <c r="J2456" s="248"/>
      <c r="K2456" s="248"/>
      <c r="L2456" s="248"/>
      <c r="M2456" s="248"/>
    </row>
    <row r="2457" spans="1:13" ht="20.100000000000001" customHeight="1">
      <c r="A2457" s="248"/>
      <c r="B2457" s="248"/>
      <c r="C2457" s="248"/>
      <c r="D2457" s="248"/>
      <c r="E2457" s="248"/>
      <c r="F2457" s="248"/>
      <c r="G2457" s="248"/>
      <c r="H2457" s="248"/>
      <c r="I2457" s="248"/>
      <c r="J2457" s="248"/>
      <c r="K2457" s="248"/>
      <c r="L2457" s="248"/>
      <c r="M2457" s="248"/>
    </row>
    <row r="2458" spans="1:13" ht="20.100000000000001" customHeight="1">
      <c r="A2458" s="248"/>
      <c r="B2458" s="248"/>
      <c r="C2458" s="248"/>
      <c r="D2458" s="248"/>
      <c r="E2458" s="248"/>
      <c r="F2458" s="248"/>
      <c r="G2458" s="248"/>
      <c r="H2458" s="248"/>
      <c r="I2458" s="248"/>
      <c r="J2458" s="248"/>
      <c r="K2458" s="248"/>
      <c r="L2458" s="248"/>
      <c r="M2458" s="248"/>
    </row>
    <row r="2459" spans="1:13" ht="20.100000000000001" customHeight="1">
      <c r="A2459" s="248"/>
      <c r="B2459" s="248"/>
      <c r="C2459" s="248"/>
      <c r="D2459" s="248"/>
      <c r="E2459" s="248"/>
      <c r="F2459" s="248"/>
      <c r="G2459" s="248"/>
      <c r="H2459" s="248"/>
      <c r="I2459" s="248"/>
      <c r="J2459" s="248"/>
      <c r="K2459" s="248"/>
      <c r="L2459" s="248"/>
      <c r="M2459" s="248"/>
    </row>
    <row r="2460" spans="1:13" ht="20.100000000000001" customHeight="1">
      <c r="A2460" s="248"/>
      <c r="B2460" s="248"/>
      <c r="C2460" s="248"/>
      <c r="D2460" s="248"/>
      <c r="E2460" s="248"/>
      <c r="F2460" s="248"/>
      <c r="G2460" s="248"/>
      <c r="H2460" s="248"/>
      <c r="I2460" s="248"/>
      <c r="J2460" s="248"/>
      <c r="K2460" s="248"/>
      <c r="L2460" s="248"/>
      <c r="M2460" s="248"/>
    </row>
    <row r="2461" spans="1:13" ht="20.100000000000001" customHeight="1">
      <c r="A2461" s="248"/>
      <c r="B2461" s="248"/>
      <c r="C2461" s="248"/>
      <c r="D2461" s="248"/>
      <c r="E2461" s="248"/>
      <c r="F2461" s="248"/>
      <c r="G2461" s="248"/>
      <c r="H2461" s="248"/>
      <c r="I2461" s="248"/>
      <c r="J2461" s="248"/>
      <c r="K2461" s="248"/>
      <c r="L2461" s="248"/>
      <c r="M2461" s="248"/>
    </row>
    <row r="2462" spans="1:13" ht="20.100000000000001" customHeight="1">
      <c r="A2462" s="248"/>
      <c r="B2462" s="248"/>
      <c r="C2462" s="248"/>
      <c r="D2462" s="248"/>
      <c r="E2462" s="248"/>
      <c r="F2462" s="248"/>
      <c r="G2462" s="248"/>
      <c r="H2462" s="248"/>
      <c r="I2462" s="248"/>
      <c r="J2462" s="248"/>
      <c r="K2462" s="248"/>
      <c r="L2462" s="248"/>
      <c r="M2462" s="248"/>
    </row>
    <row r="2463" spans="1:13" ht="20.100000000000001" customHeight="1">
      <c r="A2463" s="248"/>
      <c r="B2463" s="248"/>
      <c r="C2463" s="248"/>
      <c r="D2463" s="248"/>
      <c r="E2463" s="248"/>
      <c r="F2463" s="248"/>
      <c r="G2463" s="248"/>
      <c r="H2463" s="248"/>
      <c r="I2463" s="248"/>
      <c r="J2463" s="248"/>
      <c r="K2463" s="248"/>
      <c r="L2463" s="248"/>
      <c r="M2463" s="248"/>
    </row>
    <row r="2464" spans="1:13" ht="20.100000000000001" customHeight="1">
      <c r="A2464" s="248"/>
      <c r="B2464" s="248"/>
      <c r="C2464" s="248"/>
      <c r="D2464" s="248"/>
      <c r="E2464" s="248"/>
      <c r="F2464" s="248"/>
      <c r="G2464" s="248"/>
      <c r="H2464" s="248"/>
      <c r="I2464" s="248"/>
      <c r="J2464" s="248"/>
      <c r="K2464" s="248"/>
      <c r="L2464" s="248"/>
      <c r="M2464" s="248"/>
    </row>
    <row r="2465" spans="1:13" ht="20.100000000000001" customHeight="1">
      <c r="A2465" s="248"/>
      <c r="B2465" s="248"/>
      <c r="C2465" s="248"/>
      <c r="D2465" s="248"/>
      <c r="E2465" s="248"/>
      <c r="F2465" s="248"/>
      <c r="G2465" s="248"/>
      <c r="H2465" s="248"/>
      <c r="I2465" s="248"/>
      <c r="J2465" s="248"/>
      <c r="K2465" s="248"/>
      <c r="L2465" s="248"/>
      <c r="M2465" s="248"/>
    </row>
    <row r="2466" spans="1:13" ht="20.100000000000001" customHeight="1">
      <c r="A2466" s="248"/>
      <c r="B2466" s="248"/>
      <c r="C2466" s="248"/>
      <c r="D2466" s="248"/>
      <c r="E2466" s="248"/>
      <c r="F2466" s="248"/>
      <c r="G2466" s="248"/>
      <c r="H2466" s="248"/>
      <c r="I2466" s="248"/>
      <c r="J2466" s="248"/>
      <c r="K2466" s="248"/>
      <c r="L2466" s="248"/>
      <c r="M2466" s="248"/>
    </row>
    <row r="2467" spans="1:13" ht="20.100000000000001" customHeight="1">
      <c r="A2467" s="248"/>
      <c r="B2467" s="248"/>
      <c r="C2467" s="248"/>
      <c r="D2467" s="248"/>
      <c r="E2467" s="248"/>
      <c r="F2467" s="248"/>
      <c r="G2467" s="248"/>
      <c r="H2467" s="248"/>
      <c r="I2467" s="248"/>
      <c r="J2467" s="248"/>
      <c r="K2467" s="248"/>
      <c r="L2467" s="248"/>
      <c r="M2467" s="248"/>
    </row>
    <row r="2468" spans="1:13" ht="20.100000000000001" customHeight="1">
      <c r="A2468" s="248"/>
      <c r="B2468" s="248"/>
      <c r="C2468" s="248"/>
      <c r="D2468" s="248"/>
      <c r="E2468" s="248"/>
      <c r="F2468" s="248"/>
      <c r="G2468" s="248"/>
      <c r="H2468" s="248"/>
      <c r="I2468" s="248"/>
      <c r="J2468" s="248"/>
      <c r="K2468" s="248"/>
      <c r="L2468" s="248"/>
      <c r="M2468" s="248"/>
    </row>
    <row r="2469" spans="1:13" ht="20.100000000000001" customHeight="1">
      <c r="A2469" s="248"/>
      <c r="B2469" s="248"/>
      <c r="C2469" s="248"/>
      <c r="D2469" s="248"/>
      <c r="E2469" s="248"/>
      <c r="F2469" s="248"/>
      <c r="G2469" s="248"/>
      <c r="H2469" s="248"/>
      <c r="I2469" s="248"/>
      <c r="J2469" s="248"/>
      <c r="K2469" s="248"/>
      <c r="L2469" s="248"/>
      <c r="M2469" s="248"/>
    </row>
    <row r="2470" spans="1:13" ht="20.100000000000001" customHeight="1">
      <c r="A2470" s="248"/>
      <c r="B2470" s="248"/>
      <c r="C2470" s="248"/>
      <c r="D2470" s="248"/>
      <c r="E2470" s="248"/>
      <c r="F2470" s="248"/>
      <c r="G2470" s="248"/>
      <c r="H2470" s="248"/>
      <c r="I2470" s="248"/>
      <c r="J2470" s="248"/>
      <c r="K2470" s="248"/>
      <c r="L2470" s="248"/>
      <c r="M2470" s="248"/>
    </row>
    <row r="2471" spans="1:13" ht="20.100000000000001" customHeight="1">
      <c r="A2471" s="248"/>
      <c r="B2471" s="248"/>
      <c r="C2471" s="248"/>
      <c r="D2471" s="248"/>
      <c r="E2471" s="248"/>
      <c r="F2471" s="248"/>
      <c r="G2471" s="248"/>
      <c r="H2471" s="248"/>
      <c r="I2471" s="248"/>
      <c r="J2471" s="248"/>
      <c r="K2471" s="248"/>
      <c r="L2471" s="248"/>
      <c r="M2471" s="248"/>
    </row>
    <row r="2472" spans="1:13" ht="20.100000000000001" customHeight="1">
      <c r="A2472" s="248"/>
      <c r="B2472" s="248"/>
      <c r="C2472" s="248"/>
      <c r="D2472" s="248"/>
      <c r="E2472" s="248"/>
      <c r="F2472" s="248"/>
      <c r="G2472" s="248"/>
      <c r="H2472" s="248"/>
      <c r="I2472" s="248"/>
      <c r="J2472" s="248"/>
      <c r="K2472" s="248"/>
      <c r="L2472" s="248"/>
      <c r="M2472" s="248"/>
    </row>
    <row r="2473" spans="1:13" ht="20.100000000000001" customHeight="1">
      <c r="A2473" s="248"/>
      <c r="B2473" s="248"/>
      <c r="C2473" s="248"/>
      <c r="D2473" s="248"/>
      <c r="E2473" s="248"/>
      <c r="F2473" s="248"/>
      <c r="G2473" s="248"/>
      <c r="H2473" s="248"/>
      <c r="I2473" s="248"/>
      <c r="J2473" s="248"/>
      <c r="K2473" s="248"/>
      <c r="L2473" s="248"/>
      <c r="M2473" s="248"/>
    </row>
    <row r="2474" spans="1:13" ht="20.100000000000001" customHeight="1">
      <c r="A2474" s="248"/>
      <c r="B2474" s="248"/>
      <c r="C2474" s="248"/>
      <c r="D2474" s="248"/>
      <c r="E2474" s="248"/>
      <c r="F2474" s="248"/>
      <c r="G2474" s="248"/>
      <c r="H2474" s="248"/>
      <c r="I2474" s="248"/>
      <c r="J2474" s="248"/>
      <c r="K2474" s="248"/>
      <c r="L2474" s="248"/>
      <c r="M2474" s="248"/>
    </row>
    <row r="2475" spans="1:13" ht="20.100000000000001" customHeight="1">
      <c r="A2475" s="248"/>
      <c r="B2475" s="248"/>
      <c r="C2475" s="248"/>
      <c r="D2475" s="248"/>
      <c r="E2475" s="248"/>
      <c r="F2475" s="248"/>
      <c r="G2475" s="248"/>
      <c r="H2475" s="248"/>
      <c r="I2475" s="248"/>
      <c r="J2475" s="248"/>
      <c r="K2475" s="248"/>
      <c r="L2475" s="248"/>
      <c r="M2475" s="248"/>
    </row>
    <row r="2476" spans="1:13" ht="20.100000000000001" customHeight="1">
      <c r="A2476" s="248"/>
      <c r="B2476" s="248"/>
      <c r="C2476" s="248"/>
      <c r="D2476" s="248"/>
      <c r="E2476" s="248"/>
      <c r="F2476" s="248"/>
      <c r="G2476" s="248"/>
      <c r="H2476" s="248"/>
      <c r="I2476" s="248"/>
      <c r="J2476" s="248"/>
      <c r="K2476" s="248"/>
      <c r="L2476" s="248"/>
      <c r="M2476" s="248"/>
    </row>
    <row r="2477" spans="1:13" ht="20.100000000000001" customHeight="1">
      <c r="A2477" s="248"/>
      <c r="B2477" s="248"/>
      <c r="C2477" s="248"/>
      <c r="D2477" s="248"/>
      <c r="E2477" s="248"/>
      <c r="F2477" s="248"/>
      <c r="G2477" s="248"/>
      <c r="H2477" s="248"/>
      <c r="I2477" s="248"/>
      <c r="J2477" s="248"/>
      <c r="K2477" s="248"/>
      <c r="L2477" s="248"/>
      <c r="M2477" s="248"/>
    </row>
    <row r="2478" spans="1:13" ht="20.100000000000001" customHeight="1">
      <c r="A2478" s="248"/>
      <c r="B2478" s="248"/>
      <c r="C2478" s="248"/>
      <c r="D2478" s="248"/>
      <c r="E2478" s="248"/>
      <c r="F2478" s="248"/>
      <c r="G2478" s="248"/>
      <c r="H2478" s="248"/>
      <c r="I2478" s="248"/>
      <c r="J2478" s="248"/>
      <c r="K2478" s="248"/>
      <c r="L2478" s="248"/>
      <c r="M2478" s="248"/>
    </row>
    <row r="2479" spans="1:13" ht="20.100000000000001" customHeight="1">
      <c r="A2479" s="248"/>
      <c r="B2479" s="248"/>
      <c r="C2479" s="248"/>
      <c r="D2479" s="248"/>
      <c r="E2479" s="248"/>
      <c r="F2479" s="248"/>
      <c r="G2479" s="248"/>
      <c r="H2479" s="248"/>
      <c r="I2479" s="248"/>
      <c r="J2479" s="248"/>
      <c r="K2479" s="248"/>
      <c r="L2479" s="248"/>
      <c r="M2479" s="248"/>
    </row>
    <row r="2480" spans="1:13" ht="20.100000000000001" customHeight="1">
      <c r="A2480" s="248"/>
      <c r="B2480" s="248"/>
      <c r="C2480" s="248"/>
      <c r="D2480" s="248"/>
      <c r="E2480" s="248"/>
      <c r="F2480" s="248"/>
      <c r="G2480" s="248"/>
      <c r="H2480" s="248"/>
      <c r="I2480" s="248"/>
      <c r="J2480" s="248"/>
      <c r="K2480" s="248"/>
      <c r="L2480" s="248"/>
      <c r="M2480" s="248"/>
    </row>
    <row r="2481" spans="1:13" ht="20.100000000000001" customHeight="1">
      <c r="A2481" s="248"/>
      <c r="B2481" s="248"/>
      <c r="C2481" s="248"/>
      <c r="D2481" s="248"/>
      <c r="E2481" s="248"/>
      <c r="F2481" s="248"/>
      <c r="G2481" s="248"/>
      <c r="H2481" s="248"/>
      <c r="I2481" s="248"/>
      <c r="J2481" s="248"/>
      <c r="K2481" s="248"/>
      <c r="L2481" s="248"/>
      <c r="M2481" s="248"/>
    </row>
    <row r="2482" spans="1:13" ht="20.100000000000001" customHeight="1">
      <c r="A2482" s="248"/>
      <c r="B2482" s="248"/>
      <c r="C2482" s="248"/>
      <c r="D2482" s="248"/>
      <c r="E2482" s="248"/>
      <c r="F2482" s="248"/>
      <c r="G2482" s="248"/>
      <c r="H2482" s="248"/>
      <c r="I2482" s="248"/>
      <c r="J2482" s="248"/>
      <c r="K2482" s="248"/>
      <c r="L2482" s="248"/>
      <c r="M2482" s="248"/>
    </row>
    <row r="2483" spans="1:13" ht="20.100000000000001" customHeight="1">
      <c r="A2483" s="248"/>
      <c r="B2483" s="248"/>
      <c r="C2483" s="248"/>
      <c r="D2483" s="248"/>
      <c r="E2483" s="248"/>
      <c r="F2483" s="248"/>
      <c r="G2483" s="248"/>
      <c r="H2483" s="248"/>
      <c r="I2483" s="248"/>
      <c r="J2483" s="248"/>
      <c r="K2483" s="248"/>
      <c r="L2483" s="248"/>
      <c r="M2483" s="248"/>
    </row>
    <row r="2484" spans="1:13" ht="20.100000000000001" customHeight="1">
      <c r="A2484" s="248"/>
      <c r="B2484" s="248"/>
      <c r="C2484" s="248"/>
      <c r="D2484" s="248"/>
      <c r="E2484" s="248"/>
      <c r="F2484" s="248"/>
      <c r="G2484" s="248"/>
      <c r="H2484" s="248"/>
      <c r="I2484" s="248"/>
      <c r="J2484" s="248"/>
      <c r="K2484" s="248"/>
      <c r="L2484" s="248"/>
      <c r="M2484" s="248"/>
    </row>
    <row r="2485" spans="1:13" ht="20.100000000000001" customHeight="1">
      <c r="A2485" s="248"/>
      <c r="B2485" s="248"/>
      <c r="C2485" s="248"/>
      <c r="D2485" s="248"/>
      <c r="E2485" s="248"/>
      <c r="F2485" s="248"/>
      <c r="G2485" s="248"/>
      <c r="H2485" s="248"/>
      <c r="I2485" s="248"/>
      <c r="J2485" s="248"/>
      <c r="K2485" s="248"/>
      <c r="L2485" s="248"/>
      <c r="M2485" s="248"/>
    </row>
    <row r="2486" spans="1:13" ht="20.100000000000001" customHeight="1">
      <c r="A2486" s="248"/>
      <c r="B2486" s="248"/>
      <c r="C2486" s="248"/>
      <c r="D2486" s="248"/>
      <c r="E2486" s="248"/>
      <c r="F2486" s="248"/>
      <c r="G2486" s="248"/>
      <c r="H2486" s="248"/>
      <c r="I2486" s="248"/>
      <c r="J2486" s="248"/>
      <c r="K2486" s="248"/>
      <c r="L2486" s="248"/>
      <c r="M2486" s="248"/>
    </row>
    <row r="2487" spans="1:13" ht="20.100000000000001" customHeight="1">
      <c r="A2487" s="248"/>
      <c r="B2487" s="248"/>
      <c r="C2487" s="248"/>
      <c r="D2487" s="248"/>
      <c r="E2487" s="248"/>
      <c r="F2487" s="248"/>
      <c r="G2487" s="248"/>
      <c r="H2487" s="248"/>
      <c r="I2487" s="248"/>
      <c r="J2487" s="248"/>
      <c r="K2487" s="248"/>
      <c r="L2487" s="248"/>
      <c r="M2487" s="248"/>
    </row>
    <row r="2488" spans="1:13" ht="20.100000000000001" customHeight="1">
      <c r="A2488" s="248"/>
      <c r="B2488" s="248"/>
      <c r="C2488" s="248"/>
      <c r="D2488" s="248"/>
      <c r="E2488" s="248"/>
      <c r="F2488" s="248"/>
      <c r="G2488" s="248"/>
      <c r="H2488" s="248"/>
      <c r="I2488" s="248"/>
      <c r="J2488" s="248"/>
      <c r="K2488" s="248"/>
      <c r="L2488" s="248"/>
      <c r="M2488" s="248"/>
    </row>
    <row r="2489" spans="1:13" ht="20.100000000000001" customHeight="1">
      <c r="A2489" s="248"/>
      <c r="B2489" s="248"/>
      <c r="C2489" s="248"/>
      <c r="D2489" s="248"/>
      <c r="E2489" s="248"/>
      <c r="F2489" s="248"/>
      <c r="G2489" s="248"/>
      <c r="H2489" s="248"/>
      <c r="I2489" s="248"/>
      <c r="J2489" s="248"/>
      <c r="K2489" s="248"/>
      <c r="L2489" s="248"/>
      <c r="M2489" s="248"/>
    </row>
    <row r="2490" spans="1:13" ht="20.100000000000001" customHeight="1">
      <c r="A2490" s="248"/>
      <c r="B2490" s="248"/>
      <c r="C2490" s="248"/>
      <c r="D2490" s="248"/>
      <c r="E2490" s="248"/>
      <c r="F2490" s="248"/>
      <c r="G2490" s="248"/>
      <c r="H2490" s="248"/>
      <c r="I2490" s="248"/>
      <c r="J2490" s="248"/>
      <c r="K2490" s="248"/>
      <c r="L2490" s="248"/>
      <c r="M2490" s="248"/>
    </row>
    <row r="2491" spans="1:13" ht="20.100000000000001" customHeight="1">
      <c r="A2491" s="248"/>
      <c r="B2491" s="248"/>
      <c r="C2491" s="248"/>
      <c r="D2491" s="248"/>
      <c r="E2491" s="248"/>
      <c r="F2491" s="248"/>
      <c r="G2491" s="248"/>
      <c r="H2491" s="248"/>
      <c r="I2491" s="248"/>
      <c r="J2491" s="248"/>
      <c r="K2491" s="248"/>
      <c r="L2491" s="248"/>
      <c r="M2491" s="248"/>
    </row>
    <row r="2492" spans="1:13" ht="20.100000000000001" customHeight="1">
      <c r="A2492" s="248"/>
      <c r="B2492" s="248"/>
      <c r="C2492" s="248"/>
      <c r="D2492" s="248"/>
      <c r="E2492" s="248"/>
      <c r="F2492" s="248"/>
      <c r="G2492" s="248"/>
      <c r="H2492" s="248"/>
      <c r="I2492" s="248"/>
      <c r="J2492" s="248"/>
      <c r="K2492" s="248"/>
      <c r="L2492" s="248"/>
      <c r="M2492" s="248"/>
    </row>
    <row r="2493" spans="1:13" ht="20.100000000000001" customHeight="1">
      <c r="A2493" s="248"/>
      <c r="B2493" s="248"/>
      <c r="C2493" s="248"/>
      <c r="D2493" s="248"/>
      <c r="E2493" s="248"/>
      <c r="F2493" s="248"/>
      <c r="G2493" s="248"/>
      <c r="H2493" s="248"/>
      <c r="I2493" s="248"/>
      <c r="J2493" s="248"/>
      <c r="K2493" s="248"/>
      <c r="L2493" s="248"/>
      <c r="M2493" s="248"/>
    </row>
    <row r="2494" spans="1:13" ht="20.100000000000001" customHeight="1">
      <c r="A2494" s="248"/>
      <c r="B2494" s="248"/>
      <c r="C2494" s="248"/>
      <c r="D2494" s="248"/>
      <c r="E2494" s="248"/>
      <c r="F2494" s="248"/>
      <c r="G2494" s="248"/>
      <c r="H2494" s="248"/>
      <c r="I2494" s="248"/>
      <c r="J2494" s="248"/>
      <c r="K2494" s="248"/>
      <c r="L2494" s="248"/>
      <c r="M2494" s="248"/>
    </row>
    <row r="2495" spans="1:13" ht="20.100000000000001" customHeight="1">
      <c r="A2495" s="248"/>
      <c r="B2495" s="248"/>
      <c r="C2495" s="248"/>
      <c r="D2495" s="248"/>
      <c r="E2495" s="248"/>
      <c r="F2495" s="248"/>
      <c r="G2495" s="248"/>
      <c r="H2495" s="248"/>
      <c r="I2495" s="248"/>
      <c r="J2495" s="248"/>
      <c r="K2495" s="248"/>
      <c r="L2495" s="248"/>
      <c r="M2495" s="248"/>
    </row>
    <row r="2496" spans="1:13" ht="20.100000000000001" customHeight="1">
      <c r="A2496" s="248"/>
      <c r="B2496" s="248"/>
      <c r="C2496" s="248"/>
      <c r="D2496" s="248"/>
      <c r="E2496" s="248"/>
      <c r="F2496" s="248"/>
      <c r="G2496" s="248"/>
      <c r="H2496" s="248"/>
      <c r="I2496" s="248"/>
      <c r="J2496" s="248"/>
      <c r="K2496" s="248"/>
      <c r="L2496" s="248"/>
      <c r="M2496" s="248"/>
    </row>
    <row r="2497" spans="1:13" ht="20.100000000000001" customHeight="1">
      <c r="A2497" s="248"/>
      <c r="B2497" s="248"/>
      <c r="C2497" s="248"/>
      <c r="D2497" s="248"/>
      <c r="E2497" s="248"/>
      <c r="F2497" s="248"/>
      <c r="G2497" s="248"/>
      <c r="H2497" s="248"/>
      <c r="I2497" s="248"/>
      <c r="J2497" s="248"/>
      <c r="K2497" s="248"/>
      <c r="L2497" s="248"/>
      <c r="M2497" s="248"/>
    </row>
    <row r="2498" spans="1:13" ht="20.100000000000001" customHeight="1">
      <c r="A2498" s="248"/>
      <c r="B2498" s="248"/>
      <c r="C2498" s="248"/>
      <c r="D2498" s="248"/>
      <c r="E2498" s="248"/>
      <c r="F2498" s="248"/>
      <c r="G2498" s="248"/>
      <c r="H2498" s="248"/>
      <c r="I2498" s="248"/>
      <c r="J2498" s="248"/>
      <c r="K2498" s="248"/>
      <c r="L2498" s="248"/>
      <c r="M2498" s="248"/>
    </row>
    <row r="2499" spans="1:13" ht="20.100000000000001" customHeight="1">
      <c r="A2499" s="248"/>
      <c r="B2499" s="248"/>
      <c r="C2499" s="248"/>
      <c r="D2499" s="248"/>
      <c r="E2499" s="248"/>
      <c r="F2499" s="248"/>
      <c r="G2499" s="248"/>
      <c r="H2499" s="248"/>
      <c r="I2499" s="248"/>
      <c r="J2499" s="248"/>
      <c r="K2499" s="248"/>
      <c r="L2499" s="248"/>
      <c r="M2499" s="248"/>
    </row>
    <row r="2500" spans="1:13" ht="20.100000000000001" customHeight="1">
      <c r="A2500" s="248"/>
      <c r="B2500" s="248"/>
      <c r="C2500" s="248"/>
      <c r="D2500" s="248"/>
      <c r="E2500" s="248"/>
      <c r="F2500" s="248"/>
      <c r="G2500" s="248"/>
      <c r="H2500" s="248"/>
      <c r="I2500" s="248"/>
      <c r="J2500" s="248"/>
      <c r="K2500" s="248"/>
      <c r="L2500" s="248"/>
      <c r="M2500" s="248"/>
    </row>
    <row r="2501" spans="1:13" ht="20.100000000000001" customHeight="1">
      <c r="A2501" s="248"/>
      <c r="B2501" s="248"/>
      <c r="C2501" s="248"/>
      <c r="D2501" s="248"/>
      <c r="E2501" s="248"/>
      <c r="F2501" s="248"/>
      <c r="G2501" s="248"/>
      <c r="H2501" s="248"/>
      <c r="I2501" s="248"/>
      <c r="J2501" s="248"/>
      <c r="K2501" s="248"/>
      <c r="L2501" s="248"/>
      <c r="M2501" s="248"/>
    </row>
    <row r="2502" spans="1:13" ht="20.100000000000001" customHeight="1">
      <c r="A2502" s="248"/>
      <c r="B2502" s="248"/>
      <c r="C2502" s="248"/>
      <c r="D2502" s="248"/>
      <c r="E2502" s="248"/>
      <c r="F2502" s="248"/>
      <c r="G2502" s="248"/>
      <c r="H2502" s="248"/>
      <c r="I2502" s="248"/>
      <c r="J2502" s="248"/>
      <c r="K2502" s="248"/>
      <c r="L2502" s="248"/>
      <c r="M2502" s="248"/>
    </row>
    <row r="2503" spans="1:13" ht="20.100000000000001" customHeight="1">
      <c r="A2503" s="248"/>
      <c r="B2503" s="248"/>
      <c r="C2503" s="248"/>
      <c r="D2503" s="248"/>
      <c r="E2503" s="248"/>
      <c r="F2503" s="248"/>
      <c r="G2503" s="248"/>
      <c r="H2503" s="248"/>
      <c r="I2503" s="248"/>
      <c r="J2503" s="248"/>
      <c r="K2503" s="248"/>
      <c r="L2503" s="248"/>
      <c r="M2503" s="248"/>
    </row>
    <row r="2504" spans="1:13" ht="20.100000000000001" customHeight="1">
      <c r="A2504" s="248"/>
      <c r="B2504" s="248"/>
      <c r="C2504" s="248"/>
      <c r="D2504" s="248"/>
      <c r="E2504" s="248"/>
      <c r="F2504" s="248"/>
      <c r="G2504" s="248"/>
      <c r="H2504" s="248"/>
      <c r="I2504" s="248"/>
      <c r="J2504" s="248"/>
      <c r="K2504" s="248"/>
      <c r="L2504" s="248"/>
      <c r="M2504" s="248"/>
    </row>
    <row r="2505" spans="1:13" ht="20.100000000000001" customHeight="1">
      <c r="A2505" s="248"/>
      <c r="B2505" s="248"/>
      <c r="C2505" s="248"/>
      <c r="D2505" s="248"/>
      <c r="E2505" s="248"/>
      <c r="F2505" s="248"/>
      <c r="G2505" s="248"/>
      <c r="H2505" s="248"/>
      <c r="I2505" s="248"/>
      <c r="J2505" s="248"/>
      <c r="K2505" s="248"/>
      <c r="L2505" s="248"/>
      <c r="M2505" s="248"/>
    </row>
    <row r="2506" spans="1:13" ht="20.100000000000001" customHeight="1">
      <c r="A2506" s="248"/>
      <c r="B2506" s="248"/>
      <c r="C2506" s="248"/>
      <c r="D2506" s="248"/>
      <c r="E2506" s="248"/>
      <c r="F2506" s="248"/>
      <c r="G2506" s="248"/>
      <c r="H2506" s="248"/>
      <c r="I2506" s="248"/>
      <c r="J2506" s="248"/>
      <c r="K2506" s="248"/>
      <c r="L2506" s="248"/>
      <c r="M2506" s="248"/>
    </row>
    <row r="2507" spans="1:13" ht="20.100000000000001" customHeight="1">
      <c r="A2507" s="248"/>
      <c r="B2507" s="248"/>
      <c r="C2507" s="248"/>
      <c r="D2507" s="248"/>
      <c r="E2507" s="248"/>
      <c r="F2507" s="248"/>
      <c r="G2507" s="248"/>
      <c r="H2507" s="248"/>
      <c r="I2507" s="248"/>
      <c r="J2507" s="248"/>
      <c r="K2507" s="248"/>
      <c r="L2507" s="248"/>
      <c r="M2507" s="248"/>
    </row>
    <row r="2508" spans="1:13" ht="20.100000000000001" customHeight="1">
      <c r="A2508" s="248"/>
      <c r="B2508" s="248"/>
      <c r="C2508" s="248"/>
      <c r="D2508" s="248"/>
      <c r="E2508" s="248"/>
      <c r="F2508" s="248"/>
      <c r="G2508" s="248"/>
      <c r="H2508" s="248"/>
      <c r="I2508" s="248"/>
      <c r="J2508" s="248"/>
      <c r="K2508" s="248"/>
      <c r="L2508" s="248"/>
      <c r="M2508" s="248"/>
    </row>
    <row r="2509" spans="1:13" ht="20.100000000000001" customHeight="1">
      <c r="A2509" s="248"/>
      <c r="B2509" s="248"/>
      <c r="C2509" s="248"/>
      <c r="D2509" s="248"/>
      <c r="E2509" s="248"/>
      <c r="F2509" s="248"/>
      <c r="G2509" s="248"/>
      <c r="H2509" s="248"/>
      <c r="I2509" s="248"/>
      <c r="J2509" s="248"/>
      <c r="K2509" s="248"/>
      <c r="L2509" s="248"/>
      <c r="M2509" s="248"/>
    </row>
    <row r="2510" spans="1:13" ht="20.100000000000001" customHeight="1">
      <c r="A2510" s="248"/>
      <c r="B2510" s="248"/>
      <c r="C2510" s="248"/>
      <c r="D2510" s="248"/>
      <c r="E2510" s="248"/>
      <c r="F2510" s="248"/>
      <c r="G2510" s="248"/>
      <c r="H2510" s="248"/>
      <c r="I2510" s="248"/>
      <c r="J2510" s="248"/>
      <c r="K2510" s="248"/>
      <c r="L2510" s="248"/>
      <c r="M2510" s="248"/>
    </row>
    <row r="2511" spans="1:13" ht="20.100000000000001" customHeight="1">
      <c r="A2511" s="248"/>
      <c r="B2511" s="248"/>
      <c r="C2511" s="248"/>
      <c r="D2511" s="248"/>
      <c r="E2511" s="248"/>
      <c r="F2511" s="248"/>
      <c r="G2511" s="248"/>
      <c r="H2511" s="248"/>
      <c r="I2511" s="248"/>
      <c r="J2511" s="248"/>
      <c r="K2511" s="248"/>
      <c r="L2511" s="248"/>
      <c r="M2511" s="248"/>
    </row>
    <row r="2512" spans="1:13" ht="20.100000000000001" customHeight="1">
      <c r="A2512" s="248"/>
      <c r="B2512" s="248"/>
      <c r="C2512" s="248"/>
      <c r="D2512" s="248"/>
      <c r="E2512" s="248"/>
      <c r="F2512" s="248"/>
      <c r="G2512" s="248"/>
      <c r="H2512" s="248"/>
      <c r="I2512" s="248"/>
      <c r="J2512" s="248"/>
      <c r="K2512" s="248"/>
      <c r="L2512" s="248"/>
      <c r="M2512" s="248"/>
    </row>
    <row r="2513" spans="1:13" ht="20.100000000000001" customHeight="1">
      <c r="A2513" s="248"/>
      <c r="B2513" s="248"/>
      <c r="C2513" s="248"/>
      <c r="D2513" s="248"/>
      <c r="E2513" s="248"/>
      <c r="F2513" s="248"/>
      <c r="G2513" s="248"/>
      <c r="H2513" s="248"/>
      <c r="I2513" s="248"/>
      <c r="J2513" s="248"/>
      <c r="K2513" s="248"/>
      <c r="L2513" s="248"/>
      <c r="M2513" s="248"/>
    </row>
    <row r="2514" spans="1:13" ht="20.100000000000001" customHeight="1">
      <c r="A2514" s="248"/>
      <c r="B2514" s="248"/>
      <c r="C2514" s="248"/>
      <c r="D2514" s="248"/>
      <c r="E2514" s="248"/>
      <c r="F2514" s="248"/>
      <c r="G2514" s="248"/>
      <c r="H2514" s="248"/>
      <c r="I2514" s="248"/>
      <c r="J2514" s="248"/>
      <c r="K2514" s="248"/>
      <c r="L2514" s="248"/>
      <c r="M2514" s="248"/>
    </row>
    <row r="2515" spans="1:13" ht="20.100000000000001" customHeight="1">
      <c r="A2515" s="248"/>
      <c r="B2515" s="248"/>
      <c r="C2515" s="248"/>
      <c r="D2515" s="248"/>
      <c r="E2515" s="248"/>
      <c r="F2515" s="248"/>
      <c r="G2515" s="248"/>
      <c r="H2515" s="248"/>
      <c r="I2515" s="248"/>
      <c r="J2515" s="248"/>
      <c r="K2515" s="248"/>
      <c r="L2515" s="248"/>
      <c r="M2515" s="248"/>
    </row>
    <row r="2516" spans="1:13" ht="20.100000000000001" customHeight="1">
      <c r="A2516" s="248"/>
      <c r="B2516" s="248"/>
      <c r="C2516" s="248"/>
      <c r="D2516" s="248"/>
      <c r="E2516" s="248"/>
      <c r="F2516" s="248"/>
      <c r="G2516" s="248"/>
      <c r="H2516" s="248"/>
      <c r="I2516" s="248"/>
      <c r="J2516" s="248"/>
      <c r="K2516" s="248"/>
      <c r="L2516" s="248"/>
      <c r="M2516" s="248"/>
    </row>
    <row r="2517" spans="1:13" ht="20.100000000000001" customHeight="1">
      <c r="A2517" s="248"/>
      <c r="B2517" s="248"/>
      <c r="C2517" s="248"/>
      <c r="D2517" s="248"/>
      <c r="E2517" s="248"/>
      <c r="F2517" s="248"/>
      <c r="G2517" s="248"/>
      <c r="H2517" s="248"/>
      <c r="I2517" s="248"/>
      <c r="J2517" s="248"/>
      <c r="K2517" s="248"/>
      <c r="L2517" s="248"/>
      <c r="M2517" s="248"/>
    </row>
    <row r="2518" spans="1:13" ht="20.100000000000001" customHeight="1">
      <c r="A2518" s="248"/>
      <c r="B2518" s="248"/>
      <c r="C2518" s="248"/>
      <c r="D2518" s="248"/>
      <c r="E2518" s="248"/>
      <c r="F2518" s="248"/>
      <c r="G2518" s="248"/>
      <c r="H2518" s="248"/>
      <c r="I2518" s="248"/>
      <c r="J2518" s="248"/>
      <c r="K2518" s="248"/>
      <c r="L2518" s="248"/>
      <c r="M2518" s="248"/>
    </row>
    <row r="2519" spans="1:13" ht="20.100000000000001" customHeight="1">
      <c r="A2519" s="248"/>
      <c r="B2519" s="248"/>
      <c r="C2519" s="248"/>
      <c r="D2519" s="248"/>
      <c r="E2519" s="248"/>
      <c r="F2519" s="248"/>
      <c r="G2519" s="248"/>
      <c r="H2519" s="248"/>
      <c r="I2519" s="248"/>
      <c r="J2519" s="248"/>
      <c r="K2519" s="248"/>
      <c r="L2519" s="248"/>
      <c r="M2519" s="248"/>
    </row>
    <row r="2520" spans="1:13" ht="20.100000000000001" customHeight="1">
      <c r="A2520" s="248"/>
      <c r="B2520" s="248"/>
      <c r="C2520" s="248"/>
      <c r="D2520" s="248"/>
      <c r="E2520" s="248"/>
      <c r="F2520" s="248"/>
      <c r="G2520" s="248"/>
      <c r="H2520" s="248"/>
      <c r="I2520" s="248"/>
      <c r="J2520" s="248"/>
      <c r="K2520" s="248"/>
      <c r="L2520" s="248"/>
      <c r="M2520" s="248"/>
    </row>
    <row r="2521" spans="1:13" ht="20.100000000000001" customHeight="1">
      <c r="A2521" s="248"/>
      <c r="B2521" s="248"/>
      <c r="C2521" s="248"/>
      <c r="D2521" s="248"/>
      <c r="E2521" s="248"/>
      <c r="F2521" s="248"/>
      <c r="G2521" s="248"/>
      <c r="H2521" s="248"/>
      <c r="I2521" s="248"/>
      <c r="J2521" s="248"/>
      <c r="K2521" s="248"/>
      <c r="L2521" s="248"/>
      <c r="M2521" s="248"/>
    </row>
    <row r="2522" spans="1:13" ht="20.100000000000001" customHeight="1">
      <c r="A2522" s="248"/>
      <c r="B2522" s="248"/>
      <c r="C2522" s="248"/>
      <c r="D2522" s="248"/>
      <c r="E2522" s="248"/>
      <c r="F2522" s="248"/>
      <c r="G2522" s="248"/>
      <c r="H2522" s="248"/>
      <c r="I2522" s="248"/>
      <c r="J2522" s="248"/>
      <c r="K2522" s="248"/>
      <c r="L2522" s="248"/>
      <c r="M2522" s="248"/>
    </row>
    <row r="2523" spans="1:13" ht="20.100000000000001" customHeight="1">
      <c r="A2523" s="248"/>
      <c r="B2523" s="248"/>
      <c r="C2523" s="248"/>
      <c r="D2523" s="248"/>
      <c r="E2523" s="248"/>
      <c r="F2523" s="248"/>
      <c r="G2523" s="248"/>
      <c r="H2523" s="248"/>
      <c r="I2523" s="248"/>
      <c r="J2523" s="248"/>
      <c r="K2523" s="248"/>
      <c r="L2523" s="248"/>
      <c r="M2523" s="248"/>
    </row>
    <row r="2524" spans="1:13" ht="20.100000000000001" customHeight="1">
      <c r="A2524" s="248"/>
      <c r="B2524" s="248"/>
      <c r="C2524" s="248"/>
      <c r="D2524" s="248"/>
      <c r="E2524" s="248"/>
      <c r="F2524" s="248"/>
      <c r="G2524" s="248"/>
      <c r="H2524" s="248"/>
      <c r="I2524" s="248"/>
      <c r="J2524" s="248"/>
      <c r="K2524" s="248"/>
      <c r="L2524" s="248"/>
      <c r="M2524" s="248"/>
    </row>
    <row r="2525" spans="1:13" ht="20.100000000000001" customHeight="1">
      <c r="A2525" s="248"/>
      <c r="B2525" s="248"/>
      <c r="C2525" s="248"/>
      <c r="D2525" s="248"/>
      <c r="E2525" s="248"/>
      <c r="F2525" s="248"/>
      <c r="G2525" s="248"/>
      <c r="H2525" s="248"/>
      <c r="I2525" s="248"/>
      <c r="J2525" s="248"/>
      <c r="K2525" s="248"/>
      <c r="L2525" s="248"/>
      <c r="M2525" s="248"/>
    </row>
    <row r="2526" spans="1:13" ht="20.100000000000001" customHeight="1">
      <c r="A2526" s="248"/>
      <c r="B2526" s="248"/>
      <c r="C2526" s="248"/>
      <c r="D2526" s="248"/>
      <c r="E2526" s="248"/>
      <c r="F2526" s="248"/>
      <c r="G2526" s="248"/>
      <c r="H2526" s="248"/>
      <c r="I2526" s="248"/>
      <c r="J2526" s="248"/>
      <c r="K2526" s="248"/>
      <c r="L2526" s="248"/>
      <c r="M2526" s="248"/>
    </row>
    <row r="2527" spans="1:13" ht="20.100000000000001" customHeight="1">
      <c r="A2527" s="248"/>
      <c r="B2527" s="248"/>
      <c r="C2527" s="248"/>
      <c r="D2527" s="248"/>
      <c r="E2527" s="248"/>
      <c r="F2527" s="248"/>
      <c r="G2527" s="248"/>
      <c r="H2527" s="248"/>
      <c r="I2527" s="248"/>
      <c r="J2527" s="248"/>
      <c r="K2527" s="248"/>
      <c r="L2527" s="248"/>
      <c r="M2527" s="248"/>
    </row>
    <row r="2528" spans="1:13" ht="20.100000000000001" customHeight="1">
      <c r="A2528" s="248"/>
      <c r="B2528" s="248"/>
      <c r="C2528" s="248"/>
      <c r="D2528" s="248"/>
      <c r="E2528" s="248"/>
      <c r="F2528" s="248"/>
      <c r="G2528" s="248"/>
      <c r="H2528" s="248"/>
      <c r="I2528" s="248"/>
      <c r="J2528" s="248"/>
      <c r="K2528" s="248"/>
      <c r="L2528" s="248"/>
      <c r="M2528" s="248"/>
    </row>
    <row r="2529" spans="1:13" ht="20.100000000000001" customHeight="1">
      <c r="A2529" s="248"/>
      <c r="B2529" s="248"/>
      <c r="C2529" s="248"/>
      <c r="D2529" s="248"/>
      <c r="E2529" s="248"/>
      <c r="F2529" s="248"/>
      <c r="G2529" s="248"/>
      <c r="H2529" s="248"/>
      <c r="I2529" s="248"/>
      <c r="J2529" s="248"/>
      <c r="K2529" s="248"/>
      <c r="L2529" s="248"/>
      <c r="M2529" s="248"/>
    </row>
    <row r="2530" spans="1:13" ht="20.100000000000001" customHeight="1">
      <c r="A2530" s="248"/>
      <c r="B2530" s="248"/>
      <c r="C2530" s="248"/>
      <c r="D2530" s="248"/>
      <c r="E2530" s="248"/>
      <c r="F2530" s="248"/>
      <c r="G2530" s="248"/>
      <c r="H2530" s="248"/>
      <c r="I2530" s="248"/>
      <c r="J2530" s="248"/>
      <c r="K2530" s="248"/>
      <c r="L2530" s="248"/>
      <c r="M2530" s="248"/>
    </row>
    <row r="2531" spans="1:13" ht="20.100000000000001" customHeight="1">
      <c r="A2531" s="248"/>
      <c r="B2531" s="248"/>
      <c r="C2531" s="248"/>
      <c r="D2531" s="248"/>
      <c r="E2531" s="248"/>
      <c r="F2531" s="248"/>
      <c r="G2531" s="248"/>
      <c r="H2531" s="248"/>
      <c r="I2531" s="248"/>
      <c r="J2531" s="248"/>
      <c r="K2531" s="248"/>
      <c r="L2531" s="248"/>
      <c r="M2531" s="248"/>
    </row>
    <row r="2532" spans="1:13" ht="20.100000000000001" customHeight="1">
      <c r="A2532" s="248"/>
      <c r="B2532" s="248"/>
      <c r="C2532" s="248"/>
      <c r="D2532" s="248"/>
      <c r="E2532" s="248"/>
      <c r="F2532" s="248"/>
      <c r="G2532" s="248"/>
      <c r="H2532" s="248"/>
      <c r="I2532" s="248"/>
      <c r="J2532" s="248"/>
      <c r="K2532" s="248"/>
      <c r="L2532" s="248"/>
      <c r="M2532" s="248"/>
    </row>
    <row r="2533" spans="1:13" ht="20.100000000000001" customHeight="1">
      <c r="A2533" s="248"/>
      <c r="B2533" s="248"/>
      <c r="C2533" s="248"/>
      <c r="D2533" s="248"/>
      <c r="E2533" s="248"/>
      <c r="F2533" s="248"/>
      <c r="G2533" s="248"/>
      <c r="H2533" s="248"/>
      <c r="I2533" s="248"/>
      <c r="J2533" s="248"/>
      <c r="K2533" s="248"/>
      <c r="L2533" s="248"/>
      <c r="M2533" s="248"/>
    </row>
    <row r="2534" spans="1:13" ht="20.100000000000001" customHeight="1">
      <c r="A2534" s="248"/>
      <c r="B2534" s="248"/>
      <c r="C2534" s="248"/>
      <c r="D2534" s="248"/>
      <c r="E2534" s="248"/>
      <c r="F2534" s="248"/>
      <c r="G2534" s="248"/>
      <c r="H2534" s="248"/>
      <c r="I2534" s="248"/>
      <c r="J2534" s="248"/>
      <c r="K2534" s="248"/>
      <c r="L2534" s="248"/>
      <c r="M2534" s="248"/>
    </row>
    <row r="2535" spans="1:13" ht="20.100000000000001" customHeight="1">
      <c r="A2535" s="248"/>
      <c r="B2535" s="248"/>
      <c r="C2535" s="248"/>
      <c r="D2535" s="248"/>
      <c r="E2535" s="248"/>
      <c r="F2535" s="248"/>
      <c r="G2535" s="248"/>
      <c r="H2535" s="248"/>
      <c r="I2535" s="248"/>
      <c r="J2535" s="248"/>
      <c r="K2535" s="248"/>
      <c r="L2535" s="248"/>
      <c r="M2535" s="248"/>
    </row>
    <row r="2536" spans="1:13" ht="20.100000000000001" customHeight="1">
      <c r="A2536" s="248"/>
      <c r="B2536" s="248"/>
      <c r="C2536" s="248"/>
      <c r="D2536" s="248"/>
      <c r="E2536" s="248"/>
      <c r="F2536" s="248"/>
      <c r="G2536" s="248"/>
      <c r="H2536" s="248"/>
      <c r="I2536" s="248"/>
      <c r="J2536" s="248"/>
      <c r="K2536" s="248"/>
      <c r="L2536" s="248"/>
      <c r="M2536" s="248"/>
    </row>
    <row r="2537" spans="1:13" ht="20.100000000000001" customHeight="1">
      <c r="A2537" s="248"/>
      <c r="B2537" s="248"/>
      <c r="C2537" s="248"/>
      <c r="D2537" s="248"/>
      <c r="E2537" s="248"/>
      <c r="F2537" s="248"/>
      <c r="G2537" s="248"/>
      <c r="H2537" s="248"/>
      <c r="I2537" s="248"/>
      <c r="J2537" s="248"/>
      <c r="K2537" s="248"/>
      <c r="L2537" s="248"/>
      <c r="M2537" s="248"/>
    </row>
    <row r="2538" spans="1:13" ht="20.100000000000001" customHeight="1">
      <c r="A2538" s="248"/>
      <c r="B2538" s="248"/>
      <c r="C2538" s="248"/>
      <c r="D2538" s="248"/>
      <c r="E2538" s="248"/>
      <c r="F2538" s="248"/>
      <c r="G2538" s="248"/>
      <c r="H2538" s="248"/>
      <c r="I2538" s="248"/>
      <c r="J2538" s="248"/>
      <c r="K2538" s="248"/>
      <c r="L2538" s="248"/>
      <c r="M2538" s="248"/>
    </row>
    <row r="2539" spans="1:13" ht="20.100000000000001" customHeight="1">
      <c r="A2539" s="248"/>
      <c r="B2539" s="248"/>
      <c r="C2539" s="248"/>
      <c r="D2539" s="248"/>
      <c r="E2539" s="248"/>
      <c r="F2539" s="248"/>
      <c r="G2539" s="248"/>
      <c r="H2539" s="248"/>
      <c r="I2539" s="248"/>
      <c r="J2539" s="248"/>
      <c r="K2539" s="248"/>
      <c r="L2539" s="248"/>
      <c r="M2539" s="248"/>
    </row>
    <row r="2540" spans="1:13" ht="20.100000000000001" customHeight="1">
      <c r="A2540" s="248"/>
      <c r="B2540" s="248"/>
      <c r="C2540" s="248"/>
      <c r="D2540" s="248"/>
      <c r="E2540" s="248"/>
      <c r="F2540" s="248"/>
      <c r="G2540" s="248"/>
      <c r="H2540" s="248"/>
      <c r="I2540" s="248"/>
      <c r="J2540" s="248"/>
      <c r="K2540" s="248"/>
      <c r="L2540" s="248"/>
      <c r="M2540" s="248"/>
    </row>
    <row r="2541" spans="1:13" ht="20.100000000000001" customHeight="1">
      <c r="A2541" s="248"/>
      <c r="B2541" s="248"/>
      <c r="C2541" s="248"/>
      <c r="D2541" s="248"/>
      <c r="E2541" s="248"/>
      <c r="F2541" s="248"/>
      <c r="G2541" s="248"/>
      <c r="H2541" s="248"/>
      <c r="I2541" s="248"/>
      <c r="J2541" s="248"/>
      <c r="K2541" s="248"/>
      <c r="L2541" s="248"/>
      <c r="M2541" s="248"/>
    </row>
    <row r="2542" spans="1:13" ht="20.100000000000001" customHeight="1">
      <c r="A2542" s="248"/>
      <c r="B2542" s="248"/>
      <c r="C2542" s="248"/>
      <c r="D2542" s="248"/>
      <c r="E2542" s="248"/>
      <c r="F2542" s="248"/>
      <c r="G2542" s="248"/>
      <c r="H2542" s="248"/>
      <c r="I2542" s="248"/>
      <c r="J2542" s="248"/>
      <c r="K2542" s="248"/>
      <c r="L2542" s="248"/>
      <c r="M2542" s="248"/>
    </row>
    <row r="2543" spans="1:13" ht="20.100000000000001" customHeight="1">
      <c r="A2543" s="248"/>
      <c r="B2543" s="248"/>
      <c r="C2543" s="248"/>
      <c r="D2543" s="248"/>
      <c r="E2543" s="248"/>
      <c r="F2543" s="248"/>
      <c r="G2543" s="248"/>
      <c r="H2543" s="248"/>
      <c r="I2543" s="248"/>
      <c r="J2543" s="248"/>
      <c r="K2543" s="248"/>
      <c r="L2543" s="248"/>
      <c r="M2543" s="248"/>
    </row>
    <row r="2544" spans="1:13" ht="20.100000000000001" customHeight="1">
      <c r="A2544" s="248"/>
      <c r="B2544" s="248"/>
      <c r="C2544" s="248"/>
      <c r="D2544" s="248"/>
      <c r="E2544" s="248"/>
      <c r="F2544" s="248"/>
      <c r="G2544" s="248"/>
      <c r="H2544" s="248"/>
      <c r="I2544" s="248"/>
      <c r="J2544" s="248"/>
      <c r="K2544" s="248"/>
      <c r="L2544" s="248"/>
      <c r="M2544" s="248"/>
    </row>
    <row r="2545" spans="1:13" ht="20.100000000000001" customHeight="1">
      <c r="A2545" s="248"/>
      <c r="B2545" s="248"/>
      <c r="C2545" s="248"/>
      <c r="D2545" s="248"/>
      <c r="E2545" s="248"/>
      <c r="F2545" s="248"/>
      <c r="G2545" s="248"/>
      <c r="H2545" s="248"/>
      <c r="I2545" s="248"/>
      <c r="J2545" s="248"/>
      <c r="K2545" s="248"/>
      <c r="L2545" s="248"/>
      <c r="M2545" s="248"/>
    </row>
    <row r="2546" spans="1:13" ht="20.100000000000001" customHeight="1">
      <c r="A2546" s="248"/>
      <c r="B2546" s="248"/>
      <c r="C2546" s="248"/>
      <c r="D2546" s="248"/>
      <c r="E2546" s="248"/>
      <c r="F2546" s="248"/>
      <c r="G2546" s="248"/>
      <c r="H2546" s="248"/>
      <c r="I2546" s="248"/>
      <c r="J2546" s="248"/>
      <c r="K2546" s="248"/>
      <c r="L2546" s="248"/>
      <c r="M2546" s="248"/>
    </row>
    <row r="2547" spans="1:13" ht="20.100000000000001" customHeight="1">
      <c r="A2547" s="248"/>
      <c r="B2547" s="248"/>
      <c r="C2547" s="248"/>
      <c r="D2547" s="248"/>
      <c r="E2547" s="248"/>
      <c r="F2547" s="248"/>
      <c r="G2547" s="248"/>
      <c r="H2547" s="248"/>
      <c r="I2547" s="248"/>
      <c r="J2547" s="248"/>
      <c r="K2547" s="248"/>
      <c r="L2547" s="248"/>
      <c r="M2547" s="248"/>
    </row>
    <row r="2548" spans="1:13" ht="20.100000000000001" customHeight="1">
      <c r="A2548" s="248"/>
      <c r="B2548" s="248"/>
      <c r="C2548" s="248"/>
      <c r="D2548" s="248"/>
      <c r="E2548" s="248"/>
      <c r="F2548" s="248"/>
      <c r="G2548" s="248"/>
      <c r="H2548" s="248"/>
      <c r="I2548" s="248"/>
      <c r="J2548" s="248"/>
      <c r="K2548" s="248"/>
      <c r="L2548" s="248"/>
      <c r="M2548" s="248"/>
    </row>
    <row r="2549" spans="1:13" ht="20.100000000000001" customHeight="1">
      <c r="A2549" s="248"/>
      <c r="B2549" s="248"/>
      <c r="C2549" s="248"/>
      <c r="D2549" s="248"/>
      <c r="E2549" s="248"/>
      <c r="F2549" s="248"/>
      <c r="G2549" s="248"/>
      <c r="H2549" s="248"/>
      <c r="I2549" s="248"/>
      <c r="J2549" s="248"/>
      <c r="K2549" s="248"/>
      <c r="L2549" s="248"/>
      <c r="M2549" s="248"/>
    </row>
    <row r="2550" spans="1:13" ht="20.100000000000001" customHeight="1">
      <c r="A2550" s="248"/>
      <c r="B2550" s="248"/>
      <c r="C2550" s="248"/>
      <c r="D2550" s="248"/>
      <c r="E2550" s="248"/>
      <c r="F2550" s="248"/>
      <c r="G2550" s="248"/>
      <c r="H2550" s="248"/>
      <c r="I2550" s="248"/>
      <c r="J2550" s="248"/>
      <c r="K2550" s="248"/>
      <c r="L2550" s="248"/>
      <c r="M2550" s="248"/>
    </row>
    <row r="2551" spans="1:13" ht="20.100000000000001" customHeight="1">
      <c r="A2551" s="248"/>
      <c r="B2551" s="248"/>
      <c r="C2551" s="248"/>
      <c r="D2551" s="248"/>
      <c r="E2551" s="248"/>
      <c r="F2551" s="248"/>
      <c r="G2551" s="248"/>
      <c r="H2551" s="248"/>
      <c r="I2551" s="248"/>
      <c r="J2551" s="248"/>
      <c r="K2551" s="248"/>
      <c r="L2551" s="248"/>
      <c r="M2551" s="248"/>
    </row>
    <row r="2552" spans="1:13" ht="20.100000000000001" customHeight="1">
      <c r="A2552" s="248"/>
      <c r="B2552" s="248"/>
      <c r="C2552" s="248"/>
      <c r="D2552" s="248"/>
      <c r="E2552" s="248"/>
      <c r="F2552" s="248"/>
      <c r="G2552" s="248"/>
      <c r="H2552" s="248"/>
      <c r="I2552" s="248"/>
      <c r="J2552" s="248"/>
      <c r="K2552" s="248"/>
      <c r="L2552" s="248"/>
      <c r="M2552" s="248"/>
    </row>
    <row r="2553" spans="1:13" ht="20.100000000000001" customHeight="1">
      <c r="A2553" s="248"/>
      <c r="B2553" s="248"/>
      <c r="C2553" s="248"/>
      <c r="D2553" s="248"/>
      <c r="E2553" s="248"/>
      <c r="F2553" s="248"/>
      <c r="G2553" s="248"/>
      <c r="H2553" s="248"/>
      <c r="I2553" s="248"/>
      <c r="J2553" s="248"/>
      <c r="K2553" s="248"/>
      <c r="L2553" s="248"/>
      <c r="M2553" s="248"/>
    </row>
    <row r="2554" spans="1:13" ht="20.100000000000001" customHeight="1">
      <c r="A2554" s="248"/>
      <c r="B2554" s="248"/>
      <c r="C2554" s="248"/>
      <c r="D2554" s="248"/>
      <c r="E2554" s="248"/>
      <c r="F2554" s="248"/>
      <c r="G2554" s="248"/>
      <c r="H2554" s="248"/>
      <c r="I2554" s="248"/>
      <c r="J2554" s="248"/>
      <c r="K2554" s="248"/>
      <c r="L2554" s="248"/>
      <c r="M2554" s="248"/>
    </row>
    <row r="2555" spans="1:13" ht="20.100000000000001" customHeight="1">
      <c r="A2555" s="248"/>
      <c r="B2555" s="248"/>
      <c r="C2555" s="248"/>
      <c r="D2555" s="248"/>
      <c r="E2555" s="248"/>
      <c r="F2555" s="248"/>
      <c r="G2555" s="248"/>
      <c r="H2555" s="248"/>
      <c r="I2555" s="248"/>
      <c r="J2555" s="248"/>
      <c r="K2555" s="248"/>
      <c r="L2555" s="248"/>
      <c r="M2555" s="248"/>
    </row>
    <row r="2556" spans="1:13" ht="20.100000000000001" customHeight="1">
      <c r="A2556" s="248"/>
      <c r="B2556" s="248"/>
      <c r="C2556" s="248"/>
      <c r="D2556" s="248"/>
      <c r="E2556" s="248"/>
      <c r="F2556" s="248"/>
      <c r="G2556" s="248"/>
      <c r="H2556" s="248"/>
      <c r="I2556" s="248"/>
      <c r="J2556" s="248"/>
      <c r="K2556" s="248"/>
      <c r="L2556" s="248"/>
      <c r="M2556" s="248"/>
    </row>
    <row r="2557" spans="1:13" ht="20.100000000000001" customHeight="1">
      <c r="A2557" s="248"/>
      <c r="B2557" s="248"/>
      <c r="C2557" s="248"/>
      <c r="D2557" s="248"/>
      <c r="E2557" s="248"/>
      <c r="F2557" s="248"/>
      <c r="G2557" s="248"/>
      <c r="H2557" s="248"/>
      <c r="I2557" s="248"/>
      <c r="J2557" s="248"/>
      <c r="K2557" s="248"/>
      <c r="L2557" s="248"/>
      <c r="M2557" s="248"/>
    </row>
    <row r="2558" spans="1:13" ht="20.100000000000001" customHeight="1">
      <c r="A2558" s="248"/>
      <c r="B2558" s="248"/>
      <c r="C2558" s="248"/>
      <c r="D2558" s="248"/>
      <c r="E2558" s="248"/>
      <c r="F2558" s="248"/>
      <c r="G2558" s="248"/>
      <c r="H2558" s="248"/>
      <c r="I2558" s="248"/>
      <c r="J2558" s="248"/>
      <c r="K2558" s="248"/>
      <c r="L2558" s="248"/>
      <c r="M2558" s="248"/>
    </row>
    <row r="2559" spans="1:13" ht="20.100000000000001" customHeight="1">
      <c r="A2559" s="248"/>
      <c r="B2559" s="248"/>
      <c r="C2559" s="248"/>
      <c r="D2559" s="248"/>
      <c r="E2559" s="248"/>
      <c r="F2559" s="248"/>
      <c r="G2559" s="248"/>
      <c r="H2559" s="248"/>
      <c r="I2559" s="248"/>
      <c r="J2559" s="248"/>
      <c r="K2559" s="248"/>
      <c r="L2559" s="248"/>
      <c r="M2559" s="248"/>
    </row>
    <row r="2560" spans="1:13" ht="20.100000000000001" customHeight="1">
      <c r="A2560" s="248"/>
      <c r="B2560" s="248"/>
      <c r="C2560" s="248"/>
      <c r="D2560" s="248"/>
      <c r="E2560" s="248"/>
      <c r="F2560" s="248"/>
      <c r="G2560" s="248"/>
      <c r="H2560" s="248"/>
      <c r="I2560" s="248"/>
      <c r="J2560" s="248"/>
      <c r="K2560" s="248"/>
      <c r="L2560" s="248"/>
      <c r="M2560" s="248"/>
    </row>
    <row r="2561" spans="1:13" ht="20.100000000000001" customHeight="1">
      <c r="A2561" s="248"/>
      <c r="B2561" s="248"/>
      <c r="C2561" s="248"/>
      <c r="D2561" s="248"/>
      <c r="E2561" s="248"/>
      <c r="F2561" s="248"/>
      <c r="G2561" s="248"/>
      <c r="H2561" s="248"/>
      <c r="I2561" s="248"/>
      <c r="J2561" s="248"/>
      <c r="K2561" s="248"/>
      <c r="L2561" s="248"/>
      <c r="M2561" s="248"/>
    </row>
    <row r="2562" spans="1:13" ht="20.100000000000001" customHeight="1">
      <c r="A2562" s="248"/>
      <c r="B2562" s="248"/>
      <c r="C2562" s="248"/>
      <c r="D2562" s="248"/>
      <c r="E2562" s="248"/>
      <c r="F2562" s="248"/>
      <c r="G2562" s="248"/>
      <c r="H2562" s="248"/>
      <c r="I2562" s="248"/>
      <c r="J2562" s="248"/>
      <c r="K2562" s="248"/>
      <c r="L2562" s="248"/>
      <c r="M2562" s="248"/>
    </row>
    <row r="2563" spans="1:13" ht="20.100000000000001" customHeight="1">
      <c r="A2563" s="248"/>
      <c r="B2563" s="248"/>
      <c r="C2563" s="248"/>
      <c r="D2563" s="248"/>
      <c r="E2563" s="248"/>
      <c r="F2563" s="248"/>
      <c r="G2563" s="248"/>
      <c r="H2563" s="248"/>
      <c r="I2563" s="248"/>
      <c r="J2563" s="248"/>
      <c r="K2563" s="248"/>
      <c r="L2563" s="248"/>
      <c r="M2563" s="248"/>
    </row>
    <row r="2564" spans="1:13" ht="20.100000000000001" customHeight="1">
      <c r="A2564" s="248"/>
      <c r="B2564" s="248"/>
      <c r="C2564" s="248"/>
      <c r="D2564" s="248"/>
      <c r="E2564" s="248"/>
      <c r="F2564" s="248"/>
      <c r="G2564" s="248"/>
      <c r="H2564" s="248"/>
      <c r="I2564" s="248"/>
      <c r="J2564" s="248"/>
      <c r="K2564" s="248"/>
      <c r="L2564" s="248"/>
      <c r="M2564" s="248"/>
    </row>
    <row r="2565" spans="1:13" ht="20.100000000000001" customHeight="1">
      <c r="A2565" s="248"/>
      <c r="B2565" s="248"/>
      <c r="C2565" s="248"/>
      <c r="D2565" s="248"/>
      <c r="E2565" s="248"/>
      <c r="F2565" s="248"/>
      <c r="G2565" s="248"/>
      <c r="H2565" s="248"/>
      <c r="I2565" s="248"/>
      <c r="J2565" s="248"/>
      <c r="K2565" s="248"/>
      <c r="L2565" s="248"/>
      <c r="M2565" s="248"/>
    </row>
    <row r="2566" spans="1:13" ht="20.100000000000001" customHeight="1">
      <c r="A2566" s="248"/>
      <c r="B2566" s="248"/>
      <c r="C2566" s="248"/>
      <c r="D2566" s="248"/>
      <c r="E2566" s="248"/>
      <c r="F2566" s="248"/>
      <c r="G2566" s="248"/>
      <c r="H2566" s="248"/>
      <c r="I2566" s="248"/>
      <c r="J2566" s="248"/>
      <c r="K2566" s="248"/>
      <c r="L2566" s="248"/>
      <c r="M2566" s="248"/>
    </row>
    <row r="2567" spans="1:13" ht="20.100000000000001" customHeight="1">
      <c r="A2567" s="248"/>
      <c r="B2567" s="248"/>
      <c r="C2567" s="248"/>
      <c r="D2567" s="248"/>
      <c r="E2567" s="248"/>
      <c r="F2567" s="248"/>
      <c r="G2567" s="248"/>
      <c r="H2567" s="248"/>
      <c r="I2567" s="248"/>
      <c r="J2567" s="248"/>
      <c r="K2567" s="248"/>
      <c r="L2567" s="248"/>
      <c r="M2567" s="248"/>
    </row>
    <row r="2568" spans="1:13" ht="20.100000000000001" customHeight="1">
      <c r="A2568" s="248"/>
      <c r="B2568" s="248"/>
      <c r="C2568" s="248"/>
      <c r="D2568" s="248"/>
      <c r="E2568" s="248"/>
      <c r="F2568" s="248"/>
      <c r="G2568" s="248"/>
      <c r="H2568" s="248"/>
      <c r="I2568" s="248"/>
      <c r="J2568" s="248"/>
      <c r="K2568" s="248"/>
      <c r="L2568" s="248"/>
      <c r="M2568" s="248"/>
    </row>
    <row r="2569" spans="1:13" ht="20.100000000000001" customHeight="1">
      <c r="A2569" s="248"/>
      <c r="B2569" s="248"/>
      <c r="C2569" s="248"/>
      <c r="D2569" s="248"/>
      <c r="E2569" s="248"/>
      <c r="F2569" s="248"/>
      <c r="G2569" s="248"/>
      <c r="H2569" s="248"/>
      <c r="I2569" s="248"/>
      <c r="J2569" s="248"/>
      <c r="K2569" s="248"/>
      <c r="L2569" s="248"/>
      <c r="M2569" s="248"/>
    </row>
    <row r="2570" spans="1:13" ht="20.100000000000001" customHeight="1">
      <c r="A2570" s="248"/>
      <c r="B2570" s="248"/>
      <c r="C2570" s="248"/>
      <c r="D2570" s="248"/>
      <c r="E2570" s="248"/>
      <c r="F2570" s="248"/>
      <c r="G2570" s="248"/>
      <c r="H2570" s="248"/>
      <c r="I2570" s="248"/>
      <c r="J2570" s="248"/>
      <c r="K2570" s="248"/>
      <c r="L2570" s="248"/>
      <c r="M2570" s="248"/>
    </row>
    <row r="2571" spans="1:13" ht="20.100000000000001" customHeight="1">
      <c r="A2571" s="248"/>
      <c r="B2571" s="248"/>
      <c r="C2571" s="248"/>
      <c r="D2571" s="248"/>
      <c r="E2571" s="248"/>
      <c r="F2571" s="248"/>
      <c r="G2571" s="248"/>
      <c r="H2571" s="248"/>
      <c r="I2571" s="248"/>
      <c r="J2571" s="248"/>
      <c r="K2571" s="248"/>
      <c r="L2571" s="248"/>
      <c r="M2571" s="248"/>
    </row>
    <row r="2572" spans="1:13" ht="20.100000000000001" customHeight="1">
      <c r="A2572" s="248"/>
      <c r="B2572" s="248"/>
      <c r="C2572" s="248"/>
      <c r="D2572" s="248"/>
      <c r="E2572" s="248"/>
      <c r="F2572" s="248"/>
      <c r="G2572" s="248"/>
      <c r="H2572" s="248"/>
      <c r="I2572" s="248"/>
      <c r="J2572" s="248"/>
      <c r="K2572" s="248"/>
      <c r="L2572" s="248"/>
      <c r="M2572" s="248"/>
    </row>
    <row r="2573" spans="1:13" ht="20.100000000000001" customHeight="1">
      <c r="A2573" s="248"/>
      <c r="B2573" s="248"/>
      <c r="C2573" s="248"/>
      <c r="D2573" s="248"/>
      <c r="E2573" s="248"/>
      <c r="F2573" s="248"/>
      <c r="G2573" s="248"/>
      <c r="H2573" s="248"/>
      <c r="I2573" s="248"/>
      <c r="J2573" s="248"/>
      <c r="K2573" s="248"/>
      <c r="L2573" s="248"/>
      <c r="M2573" s="248"/>
    </row>
    <row r="2574" spans="1:13" ht="20.100000000000001" customHeight="1">
      <c r="A2574" s="248"/>
      <c r="B2574" s="248"/>
      <c r="C2574" s="248"/>
      <c r="D2574" s="248"/>
      <c r="E2574" s="248"/>
      <c r="F2574" s="248"/>
      <c r="G2574" s="248"/>
      <c r="H2574" s="248"/>
      <c r="I2574" s="248"/>
      <c r="J2574" s="248"/>
      <c r="K2574" s="248"/>
      <c r="L2574" s="248"/>
      <c r="M2574" s="248"/>
    </row>
    <row r="2575" spans="1:13" ht="20.100000000000001" customHeight="1">
      <c r="A2575" s="248"/>
      <c r="B2575" s="248"/>
      <c r="C2575" s="248"/>
      <c r="D2575" s="248"/>
      <c r="E2575" s="248"/>
      <c r="F2575" s="248"/>
      <c r="G2575" s="248"/>
      <c r="H2575" s="248"/>
      <c r="I2575" s="248"/>
      <c r="J2575" s="248"/>
      <c r="K2575" s="248"/>
      <c r="L2575" s="248"/>
      <c r="M2575" s="248"/>
    </row>
    <row r="2576" spans="1:13" ht="20.100000000000001" customHeight="1">
      <c r="A2576" s="248"/>
      <c r="B2576" s="248"/>
      <c r="C2576" s="248"/>
      <c r="D2576" s="248"/>
      <c r="E2576" s="248"/>
      <c r="F2576" s="248"/>
      <c r="G2576" s="248"/>
      <c r="H2576" s="248"/>
      <c r="I2576" s="248"/>
      <c r="J2576" s="248"/>
      <c r="K2576" s="248"/>
      <c r="L2576" s="248"/>
      <c r="M2576" s="248"/>
    </row>
    <row r="2577" spans="1:13" ht="20.100000000000001" customHeight="1">
      <c r="A2577" s="248"/>
      <c r="B2577" s="248"/>
      <c r="C2577" s="248"/>
      <c r="D2577" s="248"/>
      <c r="E2577" s="248"/>
      <c r="F2577" s="248"/>
      <c r="G2577" s="248"/>
      <c r="H2577" s="248"/>
      <c r="I2577" s="248"/>
      <c r="J2577" s="248"/>
      <c r="K2577" s="248"/>
      <c r="L2577" s="248"/>
      <c r="M2577" s="248"/>
    </row>
    <row r="2578" spans="1:13" ht="20.100000000000001" customHeight="1">
      <c r="A2578" s="248"/>
      <c r="B2578" s="248"/>
      <c r="C2578" s="248"/>
      <c r="D2578" s="248"/>
      <c r="E2578" s="248"/>
      <c r="F2578" s="248"/>
      <c r="G2578" s="248"/>
      <c r="H2578" s="248"/>
      <c r="I2578" s="248"/>
      <c r="J2578" s="248"/>
      <c r="K2578" s="248"/>
      <c r="L2578" s="248"/>
      <c r="M2578" s="248"/>
    </row>
    <row r="2579" spans="1:13" ht="20.100000000000001" customHeight="1">
      <c r="A2579" s="248"/>
      <c r="B2579" s="248"/>
      <c r="C2579" s="248"/>
      <c r="D2579" s="248"/>
      <c r="E2579" s="248"/>
      <c r="F2579" s="248"/>
      <c r="G2579" s="248"/>
      <c r="H2579" s="248"/>
      <c r="I2579" s="248"/>
      <c r="J2579" s="248"/>
      <c r="K2579" s="248"/>
      <c r="L2579" s="248"/>
      <c r="M2579" s="248"/>
    </row>
    <row r="2580" spans="1:13" ht="20.100000000000001" customHeight="1">
      <c r="A2580" s="248"/>
      <c r="B2580" s="248"/>
      <c r="C2580" s="248"/>
      <c r="D2580" s="248"/>
      <c r="E2580" s="248"/>
      <c r="F2580" s="248"/>
      <c r="G2580" s="248"/>
      <c r="H2580" s="248"/>
      <c r="I2580" s="248"/>
      <c r="J2580" s="248"/>
      <c r="K2580" s="248"/>
      <c r="L2580" s="248"/>
      <c r="M2580" s="248"/>
    </row>
    <row r="2581" spans="1:13" ht="20.100000000000001" customHeight="1">
      <c r="A2581" s="248"/>
      <c r="B2581" s="248"/>
      <c r="C2581" s="248"/>
      <c r="D2581" s="248"/>
      <c r="E2581" s="248"/>
      <c r="F2581" s="248"/>
      <c r="G2581" s="248"/>
      <c r="H2581" s="248"/>
      <c r="I2581" s="248"/>
      <c r="J2581" s="248"/>
      <c r="K2581" s="248"/>
      <c r="L2581" s="248"/>
      <c r="M2581" s="248"/>
    </row>
    <row r="2582" spans="1:13" ht="20.100000000000001" customHeight="1">
      <c r="A2582" s="248"/>
      <c r="B2582" s="248"/>
      <c r="C2582" s="248"/>
      <c r="D2582" s="248"/>
      <c r="E2582" s="248"/>
      <c r="F2582" s="248"/>
      <c r="G2582" s="248"/>
      <c r="H2582" s="248"/>
      <c r="I2582" s="248"/>
      <c r="J2582" s="248"/>
      <c r="K2582" s="248"/>
      <c r="L2582" s="248"/>
      <c r="M2582" s="248"/>
    </row>
    <row r="2583" spans="1:13" ht="20.100000000000001" customHeight="1">
      <c r="A2583" s="248"/>
      <c r="B2583" s="248"/>
      <c r="C2583" s="248"/>
      <c r="D2583" s="248"/>
      <c r="E2583" s="248"/>
      <c r="F2583" s="248"/>
      <c r="G2583" s="248"/>
      <c r="H2583" s="248"/>
      <c r="I2583" s="248"/>
      <c r="J2583" s="248"/>
      <c r="K2583" s="248"/>
      <c r="L2583" s="248"/>
      <c r="M2583" s="248"/>
    </row>
    <row r="2584" spans="1:13" ht="20.100000000000001" customHeight="1">
      <c r="A2584" s="248"/>
      <c r="B2584" s="248"/>
      <c r="C2584" s="248"/>
      <c r="D2584" s="248"/>
      <c r="E2584" s="248"/>
      <c r="F2584" s="248"/>
      <c r="G2584" s="248"/>
      <c r="H2584" s="248"/>
      <c r="I2584" s="248"/>
      <c r="J2584" s="248"/>
      <c r="K2584" s="248"/>
      <c r="L2584" s="248"/>
      <c r="M2584" s="248"/>
    </row>
    <row r="2585" spans="1:13" ht="20.100000000000001" customHeight="1">
      <c r="A2585" s="248"/>
      <c r="B2585" s="248"/>
      <c r="C2585" s="248"/>
      <c r="D2585" s="248"/>
      <c r="E2585" s="248"/>
      <c r="F2585" s="248"/>
      <c r="G2585" s="248"/>
      <c r="H2585" s="248"/>
      <c r="I2585" s="248"/>
      <c r="J2585" s="248"/>
      <c r="K2585" s="248"/>
      <c r="L2585" s="248"/>
      <c r="M2585" s="248"/>
    </row>
    <row r="2586" spans="1:13" ht="20.100000000000001" customHeight="1">
      <c r="A2586" s="248"/>
      <c r="B2586" s="248"/>
      <c r="C2586" s="248"/>
      <c r="D2586" s="248"/>
      <c r="E2586" s="248"/>
      <c r="F2586" s="248"/>
      <c r="G2586" s="248"/>
      <c r="H2586" s="248"/>
      <c r="I2586" s="248"/>
      <c r="J2586" s="248"/>
      <c r="K2586" s="248"/>
      <c r="L2586" s="248"/>
      <c r="M2586" s="248"/>
    </row>
    <row r="2587" spans="1:13" ht="20.100000000000001" customHeight="1">
      <c r="A2587" s="248"/>
      <c r="B2587" s="248"/>
      <c r="C2587" s="248"/>
      <c r="D2587" s="248"/>
      <c r="E2587" s="248"/>
      <c r="F2587" s="248"/>
      <c r="G2587" s="248"/>
      <c r="H2587" s="248"/>
      <c r="I2587" s="248"/>
      <c r="J2587" s="248"/>
      <c r="K2587" s="248"/>
      <c r="L2587" s="248"/>
      <c r="M2587" s="248"/>
    </row>
    <row r="2588" spans="1:13" ht="20.100000000000001" customHeight="1">
      <c r="A2588" s="248"/>
      <c r="B2588" s="248"/>
      <c r="C2588" s="248"/>
      <c r="D2588" s="248"/>
      <c r="E2588" s="248"/>
      <c r="F2588" s="248"/>
      <c r="G2588" s="248"/>
      <c r="H2588" s="248"/>
      <c r="I2588" s="248"/>
      <c r="J2588" s="248"/>
      <c r="K2588" s="248"/>
      <c r="L2588" s="248"/>
      <c r="M2588" s="248"/>
    </row>
    <row r="2589" spans="1:13" ht="20.100000000000001" customHeight="1">
      <c r="A2589" s="248"/>
      <c r="B2589" s="248"/>
      <c r="C2589" s="248"/>
      <c r="D2589" s="248"/>
      <c r="E2589" s="248"/>
      <c r="F2589" s="248"/>
      <c r="G2589" s="248"/>
      <c r="H2589" s="248"/>
      <c r="I2589" s="248"/>
      <c r="J2589" s="248"/>
      <c r="K2589" s="248"/>
      <c r="L2589" s="248"/>
      <c r="M2589" s="248"/>
    </row>
    <row r="2590" spans="1:13" ht="20.100000000000001" customHeight="1">
      <c r="A2590" s="248"/>
      <c r="B2590" s="248"/>
      <c r="C2590" s="248"/>
      <c r="D2590" s="248"/>
      <c r="E2590" s="248"/>
      <c r="F2590" s="248"/>
      <c r="G2590" s="248"/>
      <c r="H2590" s="248"/>
      <c r="I2590" s="248"/>
      <c r="J2590" s="248"/>
      <c r="K2590" s="248"/>
      <c r="L2590" s="248"/>
      <c r="M2590" s="248"/>
    </row>
    <row r="2591" spans="1:13" ht="20.100000000000001" customHeight="1">
      <c r="A2591" s="248"/>
      <c r="B2591" s="248"/>
      <c r="C2591" s="248"/>
      <c r="D2591" s="248"/>
      <c r="E2591" s="248"/>
      <c r="F2591" s="248"/>
      <c r="G2591" s="248"/>
      <c r="H2591" s="248"/>
      <c r="I2591" s="248"/>
      <c r="J2591" s="248"/>
      <c r="K2591" s="248"/>
      <c r="L2591" s="248"/>
      <c r="M2591" s="248"/>
    </row>
    <row r="2592" spans="1:13" ht="20.100000000000001" customHeight="1">
      <c r="A2592" s="248"/>
      <c r="B2592" s="248"/>
      <c r="C2592" s="248"/>
      <c r="D2592" s="248"/>
      <c r="E2592" s="248"/>
      <c r="F2592" s="248"/>
      <c r="G2592" s="248"/>
      <c r="H2592" s="248"/>
      <c r="I2592" s="248"/>
      <c r="J2592" s="248"/>
      <c r="K2592" s="248"/>
      <c r="L2592" s="248"/>
      <c r="M2592" s="248"/>
    </row>
    <row r="2593" spans="1:13" ht="20.100000000000001" customHeight="1">
      <c r="A2593" s="248"/>
      <c r="B2593" s="248"/>
      <c r="C2593" s="248"/>
      <c r="D2593" s="248"/>
      <c r="E2593" s="248"/>
      <c r="F2593" s="248"/>
      <c r="G2593" s="248"/>
      <c r="H2593" s="248"/>
      <c r="I2593" s="248"/>
      <c r="J2593" s="248"/>
      <c r="K2593" s="248"/>
      <c r="L2593" s="248"/>
      <c r="M2593" s="248"/>
    </row>
    <row r="2594" spans="1:13" ht="20.100000000000001" customHeight="1">
      <c r="A2594" s="248"/>
      <c r="B2594" s="248"/>
      <c r="C2594" s="248"/>
      <c r="D2594" s="248"/>
      <c r="E2594" s="248"/>
      <c r="F2594" s="248"/>
      <c r="G2594" s="248"/>
      <c r="H2594" s="248"/>
      <c r="I2594" s="248"/>
      <c r="J2594" s="248"/>
      <c r="K2594" s="248"/>
      <c r="L2594" s="248"/>
      <c r="M2594" s="248"/>
    </row>
    <row r="2595" spans="1:13" ht="20.100000000000001" customHeight="1">
      <c r="A2595" s="248"/>
      <c r="B2595" s="248"/>
      <c r="C2595" s="248"/>
      <c r="D2595" s="248"/>
      <c r="E2595" s="248"/>
      <c r="F2595" s="248"/>
      <c r="G2595" s="248"/>
      <c r="H2595" s="248"/>
      <c r="I2595" s="248"/>
      <c r="J2595" s="248"/>
      <c r="K2595" s="248"/>
      <c r="L2595" s="248"/>
      <c r="M2595" s="248"/>
    </row>
    <row r="2596" spans="1:13" ht="20.100000000000001" customHeight="1">
      <c r="A2596" s="248"/>
      <c r="B2596" s="248"/>
      <c r="C2596" s="248"/>
      <c r="D2596" s="248"/>
      <c r="E2596" s="248"/>
      <c r="F2596" s="248"/>
      <c r="G2596" s="248"/>
      <c r="H2596" s="248"/>
      <c r="I2596" s="248"/>
      <c r="J2596" s="248"/>
      <c r="K2596" s="248"/>
      <c r="L2596" s="248"/>
      <c r="M2596" s="248"/>
    </row>
    <row r="2597" spans="1:13" ht="20.100000000000001" customHeight="1">
      <c r="A2597" s="248"/>
      <c r="B2597" s="248"/>
      <c r="C2597" s="248"/>
      <c r="D2597" s="248"/>
      <c r="E2597" s="248"/>
      <c r="F2597" s="248"/>
      <c r="G2597" s="248"/>
      <c r="H2597" s="248"/>
      <c r="I2597" s="248"/>
      <c r="J2597" s="248"/>
      <c r="K2597" s="248"/>
      <c r="L2597" s="248"/>
      <c r="M2597" s="248"/>
    </row>
    <row r="2598" spans="1:13" ht="20.100000000000001" customHeight="1">
      <c r="A2598" s="248"/>
      <c r="B2598" s="248"/>
      <c r="C2598" s="248"/>
      <c r="D2598" s="248"/>
      <c r="E2598" s="248"/>
      <c r="F2598" s="248"/>
      <c r="G2598" s="248"/>
      <c r="H2598" s="248"/>
      <c r="I2598" s="248"/>
      <c r="J2598" s="248"/>
      <c r="K2598" s="248"/>
      <c r="L2598" s="248"/>
      <c r="M2598" s="248"/>
    </row>
    <row r="2599" spans="1:13" ht="20.100000000000001" customHeight="1">
      <c r="A2599" s="248"/>
      <c r="B2599" s="248"/>
      <c r="C2599" s="248"/>
      <c r="D2599" s="248"/>
      <c r="E2599" s="248"/>
      <c r="F2599" s="248"/>
      <c r="G2599" s="248"/>
      <c r="H2599" s="248"/>
      <c r="I2599" s="248"/>
      <c r="J2599" s="248"/>
      <c r="K2599" s="248"/>
      <c r="L2599" s="248"/>
      <c r="M2599" s="248"/>
    </row>
    <row r="2600" spans="1:13" ht="20.100000000000001" customHeight="1">
      <c r="A2600" s="248"/>
      <c r="B2600" s="248"/>
      <c r="C2600" s="248"/>
      <c r="D2600" s="248"/>
      <c r="E2600" s="248"/>
      <c r="F2600" s="248"/>
      <c r="G2600" s="248"/>
      <c r="H2600" s="248"/>
      <c r="I2600" s="248"/>
      <c r="J2600" s="248"/>
      <c r="K2600" s="248"/>
      <c r="L2600" s="248"/>
      <c r="M2600" s="248"/>
    </row>
  </sheetData>
  <sheetProtection algorithmName="SHA-512" hashValue="uBv/m9WwJkjfoj95go0KhJGabbiiDP/By/YK/6oF4y7MmWHI4RXM8c+TZiJT+QFTjIyyCr0TZCHs4vVZwReXRQ==" saltValue="rMP8RNDXxRb9nvICQU6Vwg==" spinCount="100000" sheet="1" objects="1" scenarios="1"/>
  <sortState xmlns:xlrd2="http://schemas.microsoft.com/office/spreadsheetml/2017/richdata2" ref="A2:M1819">
    <sortCondition ref="B2"/>
  </sortState>
  <phoneticPr fontId="6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13</vt:i4>
      </vt:variant>
    </vt:vector>
  </HeadingPairs>
  <TitlesOfParts>
    <vt:vector size="21" baseType="lpstr">
      <vt:lpstr>정렬시트</vt:lpstr>
      <vt:lpstr>방충망발주서</vt:lpstr>
      <vt:lpstr>바절단치수</vt:lpstr>
      <vt:lpstr>망재단치수</vt:lpstr>
      <vt:lpstr>견적서&amp;청구서</vt:lpstr>
      <vt:lpstr>위치표기시트</vt:lpstr>
      <vt:lpstr>데이터</vt:lpstr>
      <vt:lpstr>거래처리스트</vt:lpstr>
      <vt:lpstr>방충망발주서!Criteria</vt:lpstr>
      <vt:lpstr>방충망발주서!Extract</vt:lpstr>
      <vt:lpstr>'견적서&amp;청구서'!Print_Area</vt:lpstr>
      <vt:lpstr>망재단치수!Print_Area</vt:lpstr>
      <vt:lpstr>바절단치수!Print_Area</vt:lpstr>
      <vt:lpstr>방충망발주서!Print_Area</vt:lpstr>
      <vt:lpstr>망재단치수!Print_Titles</vt:lpstr>
      <vt:lpstr>바절단치수!Print_Titles</vt:lpstr>
      <vt:lpstr>방충망발주서!Print_Titles</vt:lpstr>
      <vt:lpstr>담당</vt:lpstr>
      <vt:lpstr>사출색상</vt:lpstr>
      <vt:lpstr>색상</vt:lpstr>
      <vt:lpstr>종류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이명화</dc:creator>
  <cp:lastModifiedBy>이명화</cp:lastModifiedBy>
  <cp:lastPrinted>2022-07-07T07:41:54Z</cp:lastPrinted>
  <dcterms:created xsi:type="dcterms:W3CDTF">2012-06-05T01:41:18Z</dcterms:created>
  <dcterms:modified xsi:type="dcterms:W3CDTF">2022-07-11T09:33:34Z</dcterms:modified>
</cp:coreProperties>
</file>